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ynuoffice365-my.sharepoint.com/personal/yoshikawa-taichi-dm_ynu_jp/Documents/Documents/Lecture/成績/"/>
    </mc:Choice>
  </mc:AlternateContent>
  <xr:revisionPtr revIDLastSave="0" documentId="13_ncr:13_{B5BC2A56-3CCA-4A88-A4F0-9712D5284EAA}" xr6:coauthVersionLast="44" xr6:coauthVersionMax="44" xr10:uidLastSave="{00000000-0000-0000-0000-000000000000}"/>
  <bookViews>
    <workbookView xWindow="7785" yWindow="705" windowWidth="19380" windowHeight="13890" xr2:uid="{C09F3B8B-51EE-44C1-9860-114C860C27CF}"/>
  </bookViews>
  <sheets>
    <sheet name="サポートマニュアル" sheetId="60" r:id="rId1"/>
    <sheet name="成績管理表" sheetId="9" r:id="rId2"/>
    <sheet name="先取履修" sheetId="68" r:id="rId3"/>
    <sheet name="１年春" sheetId="47" r:id="rId4"/>
    <sheet name="１年秋" sheetId="65" r:id="rId5"/>
    <sheet name="２年春" sheetId="66" r:id="rId6"/>
    <sheet name="２年秋" sheetId="67" r:id="rId7"/>
    <sheet name="総合単位表" sheetId="13" r:id="rId8"/>
    <sheet name="成績表" sheetId="4" r:id="rId9"/>
    <sheet name="GPT・GPAグラフ" sheetId="14" r:id="rId10"/>
    <sheet name="2020科目一覧" sheetId="63" state="hidden" r:id="rId11"/>
    <sheet name="2020時間割一覧" sheetId="64" state="hidden" r:id="rId12"/>
    <sheet name="2019科目一覧" sheetId="10" state="hidden" r:id="rId13"/>
    <sheet name="2019時間割一覧" sheetId="11" state="hidden" r:id="rId14"/>
  </sheets>
  <externalReferences>
    <externalReference r:id="rId15"/>
  </externalReferences>
  <definedNames>
    <definedName name="_xlnm._FilterDatabase" localSheetId="1" hidden="1">成績管理表!$C$6:$D$15</definedName>
    <definedName name="エネルギー化学" comment="プログラム" localSheetId="10">[1]成績管理表!#REF!</definedName>
    <definedName name="エネルギー化学" comment="プログラム" localSheetId="11">[1]成績管理表!#REF!</definedName>
    <definedName name="エネルギー化学" comment="プログラム">成績管理表!#REF!</definedName>
    <definedName name="応用化学" comment="プログラム" localSheetId="10">[1]成績管理表!#REF!</definedName>
    <definedName name="応用化学" comment="プログラム" localSheetId="11">[1]成績管理表!#REF!</definedName>
    <definedName name="応用化学" comment="プログラム">成績管理表!#REF!</definedName>
    <definedName name="応用物理" comment="プログラム">成績管理表!$J$25:$K$25</definedName>
    <definedName name="化学" comment="プログラム">成績管理表!$J$20</definedName>
    <definedName name="化学・生命系理工学" comment="教育分野">成績管理表!$J$12:$M$12</definedName>
    <definedName name="化学応用・バイオ" comment="プログラム" localSheetId="10">[1]成績管理表!#REF!</definedName>
    <definedName name="化学応用・バイオ" comment="プログラム" localSheetId="11">[1]成績管理表!#REF!</definedName>
    <definedName name="化学応用・バイオ" comment="プログラム">成績管理表!#REF!</definedName>
    <definedName name="課程" comment="教育課程" localSheetId="10">[1]成績管理表!$J$8:$K$8</definedName>
    <definedName name="課程" comment="教育課程" localSheetId="11">[1]成績管理表!$J$8:$K$8</definedName>
    <definedName name="課程" comment="教育課程">成績管理表!$J$8:$K$8</definedName>
    <definedName name="海洋空間" comment="プログラム">成績管理表!$J$16:$K$16</definedName>
    <definedName name="学府" comment="大学院の学府" localSheetId="10">[1]成績管理表!$J$7</definedName>
    <definedName name="学府" comment="大学院の学府" localSheetId="11">[1]成績管理表!$J$7</definedName>
    <definedName name="学府" comment="大学院の学府">成績管理表!$J$7</definedName>
    <definedName name="機械・材料・海洋系工学" comment="教育分野">成績管理表!$J$11:$M$11</definedName>
    <definedName name="機械工学" comment="プログラム">成績管理表!$J$14:$K$14</definedName>
    <definedName name="航空宇宙工学" comment="プログラム">成績管理表!$J$17:$K$17</definedName>
    <definedName name="材料工学" comment="プログラム">成績管理表!$J$15:$K$15</definedName>
    <definedName name="情報システム" comment="プログラム">成績管理表!$J$26:$K$26</definedName>
    <definedName name="数学" comment="プログラム">成績管理表!$J$21</definedName>
    <definedName name="数物・電子情報系理工学" comment="教育分野">成績管理表!$J$13:$N$13</definedName>
    <definedName name="大学院" comment="所属大学院" localSheetId="10">[1]成績管理表!$J$6</definedName>
    <definedName name="大学院" comment="所属大学院" localSheetId="11">[1]成績管理表!$J$6</definedName>
    <definedName name="大学院" comment="所属大学院">成績管理表!$J$6</definedName>
    <definedName name="電気電子ネットワーク" comment="プログラム">成績管理表!$J$27:$K$27</definedName>
    <definedName name="物理工学" comment="プログラム">成績管理表!$J$24</definedName>
    <definedName name="理工学府" comment="理工学府専攻">成績管理表!$J$10:$L$10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73" i="68" l="1"/>
  <c r="U72" i="68"/>
  <c r="U71" i="68"/>
  <c r="U70" i="68"/>
  <c r="U69" i="68"/>
  <c r="U68" i="68"/>
  <c r="U67" i="68"/>
  <c r="U66" i="68"/>
  <c r="U65" i="68"/>
  <c r="U64" i="68"/>
  <c r="U63" i="68"/>
  <c r="U62" i="68"/>
  <c r="U61" i="68"/>
  <c r="U60" i="68"/>
  <c r="U59" i="68"/>
  <c r="U58" i="68"/>
  <c r="U57" i="68"/>
  <c r="U56" i="68"/>
  <c r="U55" i="68"/>
  <c r="U54" i="68"/>
  <c r="U53" i="68"/>
  <c r="U52" i="68"/>
  <c r="U51" i="68"/>
  <c r="U50" i="68"/>
  <c r="U49" i="68"/>
  <c r="U48" i="68"/>
  <c r="U47" i="68"/>
  <c r="U46" i="68"/>
  <c r="U45" i="68"/>
  <c r="U44" i="68"/>
  <c r="W42" i="68"/>
  <c r="V42" i="68"/>
  <c r="U42" i="68"/>
  <c r="T42" i="68"/>
  <c r="S42" i="68"/>
  <c r="R42" i="68"/>
  <c r="Q42" i="68"/>
  <c r="P42" i="68"/>
  <c r="O42" i="68"/>
  <c r="N42" i="68"/>
  <c r="M42" i="68"/>
  <c r="L42" i="68"/>
  <c r="K42" i="68"/>
  <c r="J42" i="68"/>
  <c r="I42" i="68"/>
  <c r="H42" i="68"/>
  <c r="G42" i="68"/>
  <c r="F42" i="68"/>
  <c r="E42" i="68"/>
  <c r="D42" i="68"/>
  <c r="AF39" i="68"/>
  <c r="F39" i="68"/>
  <c r="D38" i="68"/>
  <c r="H38" i="68" s="1"/>
  <c r="AC34" i="68"/>
  <c r="B33" i="68"/>
  <c r="AA3" i="68"/>
  <c r="B2" i="68"/>
  <c r="U73" i="67"/>
  <c r="U72" i="67"/>
  <c r="U71" i="67"/>
  <c r="U70" i="67"/>
  <c r="U69" i="67"/>
  <c r="U68" i="67"/>
  <c r="U67" i="67"/>
  <c r="U66" i="67"/>
  <c r="U65" i="67"/>
  <c r="U64" i="67"/>
  <c r="U63" i="67"/>
  <c r="U62" i="67"/>
  <c r="U61" i="67"/>
  <c r="U60" i="67"/>
  <c r="U59" i="67"/>
  <c r="U58" i="67"/>
  <c r="U57" i="67"/>
  <c r="U56" i="67"/>
  <c r="U55" i="67"/>
  <c r="U54" i="67"/>
  <c r="U53" i="67"/>
  <c r="U52" i="67"/>
  <c r="U51" i="67"/>
  <c r="U50" i="67"/>
  <c r="U49" i="67"/>
  <c r="U48" i="67"/>
  <c r="U47" i="67"/>
  <c r="U46" i="67"/>
  <c r="U45" i="67"/>
  <c r="U44" i="67"/>
  <c r="W42" i="67"/>
  <c r="V42" i="67"/>
  <c r="U42" i="67"/>
  <c r="T42" i="67"/>
  <c r="S42" i="67"/>
  <c r="R42" i="67"/>
  <c r="Q42" i="67"/>
  <c r="P42" i="67"/>
  <c r="O42" i="67"/>
  <c r="N42" i="67"/>
  <c r="M42" i="67"/>
  <c r="L42" i="67"/>
  <c r="K42" i="67"/>
  <c r="J42" i="67"/>
  <c r="I42" i="67"/>
  <c r="H42" i="67"/>
  <c r="G42" i="67"/>
  <c r="F42" i="67"/>
  <c r="E42" i="67"/>
  <c r="D42" i="67"/>
  <c r="AF39" i="67"/>
  <c r="F39" i="67"/>
  <c r="H38" i="67"/>
  <c r="D38" i="67"/>
  <c r="F38" i="67" s="1"/>
  <c r="AC34" i="67"/>
  <c r="B33" i="67"/>
  <c r="AA3" i="67"/>
  <c r="B2" i="67"/>
  <c r="U73" i="66"/>
  <c r="U72" i="66"/>
  <c r="U71" i="66"/>
  <c r="U70" i="66"/>
  <c r="U69" i="66"/>
  <c r="U68" i="66"/>
  <c r="U67" i="66"/>
  <c r="U66" i="66"/>
  <c r="U65" i="66"/>
  <c r="U64" i="66"/>
  <c r="U63" i="66"/>
  <c r="U62" i="66"/>
  <c r="U61" i="66"/>
  <c r="U60" i="66"/>
  <c r="U59" i="66"/>
  <c r="U58" i="66"/>
  <c r="U57" i="66"/>
  <c r="U56" i="66"/>
  <c r="U55" i="66"/>
  <c r="U54" i="66"/>
  <c r="U53" i="66"/>
  <c r="U52" i="66"/>
  <c r="U51" i="66"/>
  <c r="U50" i="66"/>
  <c r="U49" i="66"/>
  <c r="U48" i="66"/>
  <c r="U47" i="66"/>
  <c r="U46" i="66"/>
  <c r="U45" i="66"/>
  <c r="U44" i="66"/>
  <c r="W42" i="66"/>
  <c r="V42" i="66"/>
  <c r="U42" i="66"/>
  <c r="T42" i="66"/>
  <c r="S42" i="66"/>
  <c r="R42" i="66"/>
  <c r="Q42" i="66"/>
  <c r="P42" i="66"/>
  <c r="O42" i="66"/>
  <c r="N42" i="66"/>
  <c r="M42" i="66"/>
  <c r="L42" i="66"/>
  <c r="K42" i="66"/>
  <c r="J42" i="66"/>
  <c r="I42" i="66"/>
  <c r="H42" i="66"/>
  <c r="G42" i="66"/>
  <c r="F42" i="66"/>
  <c r="E42" i="66"/>
  <c r="D42" i="66"/>
  <c r="AF39" i="66"/>
  <c r="F39" i="66"/>
  <c r="D38" i="66"/>
  <c r="H38" i="66" s="1"/>
  <c r="AC34" i="66"/>
  <c r="B33" i="66"/>
  <c r="AA3" i="66"/>
  <c r="B2" i="66"/>
  <c r="U73" i="65"/>
  <c r="U72" i="65"/>
  <c r="U71" i="65"/>
  <c r="U70" i="65"/>
  <c r="U69" i="65"/>
  <c r="U68" i="65"/>
  <c r="U67" i="65"/>
  <c r="U66" i="65"/>
  <c r="U65" i="65"/>
  <c r="U64" i="65"/>
  <c r="U63" i="65"/>
  <c r="U62" i="65"/>
  <c r="U61" i="65"/>
  <c r="U60" i="65"/>
  <c r="U59" i="65"/>
  <c r="U58" i="65"/>
  <c r="U57" i="65"/>
  <c r="U56" i="65"/>
  <c r="U55" i="65"/>
  <c r="U54" i="65"/>
  <c r="U53" i="65"/>
  <c r="U52" i="65"/>
  <c r="U51" i="65"/>
  <c r="U50" i="65"/>
  <c r="U49" i="65"/>
  <c r="U48" i="65"/>
  <c r="U47" i="65"/>
  <c r="U46" i="65"/>
  <c r="U45" i="65"/>
  <c r="U44" i="65"/>
  <c r="W42" i="65"/>
  <c r="V42" i="65"/>
  <c r="U42" i="65"/>
  <c r="T42" i="65"/>
  <c r="S42" i="65"/>
  <c r="R42" i="65"/>
  <c r="Q42" i="65"/>
  <c r="P42" i="65"/>
  <c r="O42" i="65"/>
  <c r="N42" i="65"/>
  <c r="M42" i="65"/>
  <c r="L42" i="65"/>
  <c r="K42" i="65"/>
  <c r="J42" i="65"/>
  <c r="I42" i="65"/>
  <c r="H42" i="65"/>
  <c r="G42" i="65"/>
  <c r="F42" i="65"/>
  <c r="E42" i="65"/>
  <c r="D42" i="65"/>
  <c r="AF39" i="65"/>
  <c r="F39" i="65"/>
  <c r="D38" i="65"/>
  <c r="H38" i="65" s="1"/>
  <c r="AC34" i="65"/>
  <c r="B33" i="65"/>
  <c r="AA3" i="65"/>
  <c r="B2" i="65"/>
  <c r="B7" i="64"/>
  <c r="B2" i="64"/>
  <c r="B7" i="63"/>
  <c r="B2" i="63"/>
  <c r="U49" i="47"/>
  <c r="U50" i="47"/>
  <c r="U51" i="47"/>
  <c r="U52" i="47"/>
  <c r="U53" i="47"/>
  <c r="U54" i="47"/>
  <c r="U55" i="47"/>
  <c r="U56" i="47"/>
  <c r="U57" i="47"/>
  <c r="U58" i="47"/>
  <c r="Q68" i="68"/>
  <c r="Q60" i="68"/>
  <c r="V71" i="68"/>
  <c r="P66" i="68"/>
  <c r="J61" i="68"/>
  <c r="V55" i="68"/>
  <c r="P50" i="68"/>
  <c r="J45" i="68"/>
  <c r="O60" i="68"/>
  <c r="O44" i="68"/>
  <c r="N66" i="68"/>
  <c r="N58" i="68"/>
  <c r="N50" i="68"/>
  <c r="L72" i="68"/>
  <c r="L64" i="68"/>
  <c r="L56" i="68"/>
  <c r="L48" i="68"/>
  <c r="P71" i="68"/>
  <c r="J66" i="68"/>
  <c r="V60" i="68"/>
  <c r="P55" i="68"/>
  <c r="J50" i="68"/>
  <c r="V44" i="68"/>
  <c r="O61" i="68"/>
  <c r="O45" i="68"/>
  <c r="S50" i="68"/>
  <c r="N57" i="68"/>
  <c r="L51" i="68"/>
  <c r="Q44" i="68"/>
  <c r="N49" i="68"/>
  <c r="Q68" i="67"/>
  <c r="Q60" i="67"/>
  <c r="Q52" i="67"/>
  <c r="Q44" i="67"/>
  <c r="J69" i="67"/>
  <c r="V63" i="67"/>
  <c r="P58" i="67"/>
  <c r="J53" i="67"/>
  <c r="V47" i="67"/>
  <c r="O68" i="67"/>
  <c r="O52" i="67"/>
  <c r="N70" i="67"/>
  <c r="N62" i="67"/>
  <c r="N54" i="67"/>
  <c r="N46" i="67"/>
  <c r="L68" i="67"/>
  <c r="L60" i="67"/>
  <c r="L52" i="67"/>
  <c r="L44" i="67"/>
  <c r="V68" i="67"/>
  <c r="P63" i="67"/>
  <c r="J58" i="67"/>
  <c r="V52" i="67"/>
  <c r="P47" i="67"/>
  <c r="O69" i="67"/>
  <c r="O53" i="67"/>
  <c r="F60" i="67"/>
  <c r="O66" i="66"/>
  <c r="X59" i="67"/>
  <c r="S69" i="66"/>
  <c r="S61" i="66"/>
  <c r="S53" i="66"/>
  <c r="S45" i="66"/>
  <c r="F48" i="67"/>
  <c r="Q67" i="66"/>
  <c r="Q59" i="66"/>
  <c r="S68" i="67"/>
  <c r="V72" i="66"/>
  <c r="P67" i="66"/>
  <c r="J62" i="66"/>
  <c r="V56" i="66"/>
  <c r="N61" i="67"/>
  <c r="O67" i="66"/>
  <c r="O51" i="66"/>
  <c r="N47" i="67"/>
  <c r="S68" i="66"/>
  <c r="P49" i="66"/>
  <c r="Q54" i="66"/>
  <c r="N69" i="66"/>
  <c r="P52" i="66"/>
  <c r="F72" i="67"/>
  <c r="V63" i="66"/>
  <c r="Q47" i="66"/>
  <c r="Y46" i="66"/>
  <c r="Q64" i="66"/>
  <c r="L49" i="66"/>
  <c r="N51" i="67"/>
  <c r="V59" i="66"/>
  <c r="V44" i="66"/>
  <c r="J65" i="66"/>
  <c r="V52" i="66"/>
  <c r="W47" i="66"/>
  <c r="Q58" i="66"/>
  <c r="L47" i="66"/>
  <c r="X65" i="66"/>
  <c r="L73" i="65"/>
  <c r="L65" i="65"/>
  <c r="L57" i="65"/>
  <c r="L49" i="65"/>
  <c r="P72" i="65"/>
  <c r="J67" i="65"/>
  <c r="V61" i="65"/>
  <c r="P56" i="65"/>
  <c r="J51" i="65"/>
  <c r="V45" i="65"/>
  <c r="O62" i="65"/>
  <c r="O46" i="65"/>
  <c r="S67" i="65"/>
  <c r="S59" i="65"/>
  <c r="S51" i="65"/>
  <c r="Q73" i="65"/>
  <c r="Q65" i="65"/>
  <c r="Q57" i="65"/>
  <c r="Q49" i="65"/>
  <c r="J72" i="65"/>
  <c r="V66" i="65"/>
  <c r="P61" i="65"/>
  <c r="J56" i="65"/>
  <c r="V50" i="65"/>
  <c r="P45" i="65"/>
  <c r="O63" i="65"/>
  <c r="O47" i="65"/>
  <c r="S46" i="65"/>
  <c r="F52" i="65"/>
  <c r="L67" i="68"/>
  <c r="L59" i="68"/>
  <c r="J71" i="68"/>
  <c r="V65" i="68"/>
  <c r="P60" i="68"/>
  <c r="J55" i="68"/>
  <c r="V49" i="68"/>
  <c r="P44" i="68"/>
  <c r="O58" i="68"/>
  <c r="S73" i="68"/>
  <c r="S65" i="68"/>
  <c r="S57" i="68"/>
  <c r="S49" i="68"/>
  <c r="Q71" i="68"/>
  <c r="Q63" i="68"/>
  <c r="Q55" i="68"/>
  <c r="Q47" i="68"/>
  <c r="V70" i="68"/>
  <c r="P65" i="68"/>
  <c r="J60" i="68"/>
  <c r="V54" i="68"/>
  <c r="P49" i="68"/>
  <c r="J44" i="68"/>
  <c r="O59" i="68"/>
  <c r="N69" i="68"/>
  <c r="L45" i="68"/>
  <c r="N55" i="68"/>
  <c r="S48" i="68"/>
  <c r="S72" i="68"/>
  <c r="N45" i="68"/>
  <c r="L67" i="67"/>
  <c r="L59" i="67"/>
  <c r="L51" i="67"/>
  <c r="V73" i="67"/>
  <c r="P68" i="67"/>
  <c r="J63" i="67"/>
  <c r="V57" i="67"/>
  <c r="P52" i="67"/>
  <c r="J47" i="67"/>
  <c r="O66" i="67"/>
  <c r="O50" i="67"/>
  <c r="S69" i="67"/>
  <c r="S61" i="67"/>
  <c r="S53" i="67"/>
  <c r="S45" i="67"/>
  <c r="Q67" i="67"/>
  <c r="Q59" i="67"/>
  <c r="Q51" i="67"/>
  <c r="P73" i="67"/>
  <c r="J68" i="67"/>
  <c r="V62" i="67"/>
  <c r="P57" i="67"/>
  <c r="J52" i="67"/>
  <c r="V46" i="67"/>
  <c r="O67" i="67"/>
  <c r="O51" i="67"/>
  <c r="X57" i="67"/>
  <c r="O64" i="66"/>
  <c r="N55" i="67"/>
  <c r="N68" i="66"/>
  <c r="N60" i="66"/>
  <c r="N52" i="66"/>
  <c r="N44" i="66"/>
  <c r="X45" i="67"/>
  <c r="L66" i="66"/>
  <c r="L58" i="66"/>
  <c r="F66" i="67"/>
  <c r="J72" i="66"/>
  <c r="V66" i="66"/>
  <c r="P61" i="66"/>
  <c r="J56" i="66"/>
  <c r="S54" i="67"/>
  <c r="O65" i="66"/>
  <c r="S72" i="67"/>
  <c r="N73" i="66"/>
  <c r="V67" i="66"/>
  <c r="S48" i="66"/>
  <c r="P51" i="66"/>
  <c r="Q68" i="66"/>
  <c r="L51" i="66"/>
  <c r="N67" i="67"/>
  <c r="J57" i="66"/>
  <c r="J45" i="66"/>
  <c r="Q44" i="66"/>
  <c r="S62" i="66"/>
  <c r="O48" i="66"/>
  <c r="J73" i="66"/>
  <c r="O56" i="66"/>
  <c r="X53" i="66"/>
  <c r="L63" i="66"/>
  <c r="S50" i="66"/>
  <c r="Z45" i="66"/>
  <c r="V57" i="66"/>
  <c r="O46" i="66"/>
  <c r="F60" i="66"/>
  <c r="Q72" i="65"/>
  <c r="Q64" i="65"/>
  <c r="Q56" i="65"/>
  <c r="Q48" i="65"/>
  <c r="V71" i="65"/>
  <c r="P66" i="65"/>
  <c r="J61" i="65"/>
  <c r="V55" i="65"/>
  <c r="P50" i="65"/>
  <c r="J45" i="65"/>
  <c r="O60" i="65"/>
  <c r="O44" i="65"/>
  <c r="N66" i="65"/>
  <c r="N58" i="65"/>
  <c r="N50" i="65"/>
  <c r="L72" i="65"/>
  <c r="L64" i="65"/>
  <c r="L56" i="65"/>
  <c r="L48" i="65"/>
  <c r="P71" i="65"/>
  <c r="J66" i="65"/>
  <c r="V60" i="65"/>
  <c r="P55" i="65"/>
  <c r="J50" i="65"/>
  <c r="V44" i="65"/>
  <c r="O61" i="65"/>
  <c r="O45" i="65"/>
  <c r="N71" i="65"/>
  <c r="N45" i="65"/>
  <c r="X45" i="65"/>
  <c r="F68" i="65"/>
  <c r="F70" i="65"/>
  <c r="Q66" i="68"/>
  <c r="Q58" i="68"/>
  <c r="P70" i="68"/>
  <c r="J65" i="68"/>
  <c r="V59" i="68"/>
  <c r="P54" i="68"/>
  <c r="J49" i="68"/>
  <c r="O72" i="68"/>
  <c r="O56" i="68"/>
  <c r="N72" i="68"/>
  <c r="N64" i="68"/>
  <c r="N56" i="68"/>
  <c r="N48" i="68"/>
  <c r="L70" i="68"/>
  <c r="L62" i="68"/>
  <c r="L54" i="68"/>
  <c r="L46" i="68"/>
  <c r="J70" i="68"/>
  <c r="V64" i="68"/>
  <c r="P59" i="68"/>
  <c r="J54" i="68"/>
  <c r="V48" i="68"/>
  <c r="O73" i="68"/>
  <c r="O57" i="68"/>
  <c r="S62" i="68"/>
  <c r="N71" i="68"/>
  <c r="N51" i="68"/>
  <c r="L47" i="68"/>
  <c r="N63" i="68"/>
  <c r="L49" i="68"/>
  <c r="Q66" i="67"/>
  <c r="Q58" i="67"/>
  <c r="Q50" i="67"/>
  <c r="J73" i="67"/>
  <c r="V67" i="67"/>
  <c r="P62" i="67"/>
  <c r="J57" i="67"/>
  <c r="V51" i="67"/>
  <c r="P46" i="67"/>
  <c r="O64" i="67"/>
  <c r="O48" i="67"/>
  <c r="N68" i="67"/>
  <c r="N60" i="67"/>
  <c r="N52" i="67"/>
  <c r="N44" i="67"/>
  <c r="L66" i="67"/>
  <c r="L58" i="67"/>
  <c r="L50" i="67"/>
  <c r="V72" i="67"/>
  <c r="P67" i="67"/>
  <c r="J62" i="67"/>
  <c r="V56" i="67"/>
  <c r="P51" i="67"/>
  <c r="J46" i="67"/>
  <c r="O65" i="67"/>
  <c r="O49" i="67"/>
  <c r="N53" i="67"/>
  <c r="O62" i="66"/>
  <c r="S48" i="67"/>
  <c r="S67" i="66"/>
  <c r="S59" i="66"/>
  <c r="S51" i="66"/>
  <c r="N73" i="67"/>
  <c r="Q73" i="66"/>
  <c r="Q65" i="66"/>
  <c r="Q57" i="66"/>
  <c r="X63" i="67"/>
  <c r="P71" i="66"/>
  <c r="J66" i="66"/>
  <c r="V60" i="66"/>
  <c r="P55" i="66"/>
  <c r="F52" i="67"/>
  <c r="O63" i="66"/>
  <c r="F70" i="67"/>
  <c r="S72" i="66"/>
  <c r="J59" i="66"/>
  <c r="V47" i="66"/>
  <c r="O45" i="66"/>
  <c r="S66" i="66"/>
  <c r="L50" i="66"/>
  <c r="J71" i="66"/>
  <c r="Q56" i="66"/>
  <c r="L44" i="66"/>
  <c r="X71" i="67"/>
  <c r="V61" i="66"/>
  <c r="P47" i="66"/>
  <c r="J67" i="66"/>
  <c r="N53" i="66"/>
  <c r="P50" i="66"/>
  <c r="P62" i="66"/>
  <c r="V49" i="66"/>
  <c r="X69" i="67"/>
  <c r="L55" i="66"/>
  <c r="P45" i="66"/>
  <c r="P58" i="66"/>
  <c r="L71" i="65"/>
  <c r="L63" i="65"/>
  <c r="L55" i="65"/>
  <c r="L47" i="65"/>
  <c r="J71" i="65"/>
  <c r="V65" i="65"/>
  <c r="P60" i="65"/>
  <c r="J55" i="65"/>
  <c r="V49" i="65"/>
  <c r="P44" i="65"/>
  <c r="O58" i="65"/>
  <c r="S73" i="65"/>
  <c r="S65" i="65"/>
  <c r="S57" i="65"/>
  <c r="S49" i="65"/>
  <c r="Q71" i="65"/>
  <c r="Q63" i="65"/>
  <c r="Q55" i="65"/>
  <c r="Q47" i="65"/>
  <c r="V70" i="65"/>
  <c r="P65" i="65"/>
  <c r="J60" i="65"/>
  <c r="V54" i="65"/>
  <c r="P49" i="65"/>
  <c r="J44" i="65"/>
  <c r="O59" i="65"/>
  <c r="X73" i="65"/>
  <c r="S64" i="65"/>
  <c r="N73" i="65"/>
  <c r="S68" i="65"/>
  <c r="L73" i="68"/>
  <c r="L65" i="68"/>
  <c r="L57" i="68"/>
  <c r="V69" i="68"/>
  <c r="P64" i="68"/>
  <c r="J59" i="68"/>
  <c r="V53" i="68"/>
  <c r="P48" i="68"/>
  <c r="O70" i="68"/>
  <c r="O54" i="68"/>
  <c r="S71" i="68"/>
  <c r="S63" i="68"/>
  <c r="S55" i="68"/>
  <c r="S47" i="68"/>
  <c r="Q69" i="68"/>
  <c r="Q61" i="68"/>
  <c r="Q53" i="68"/>
  <c r="Q45" i="68"/>
  <c r="P69" i="68"/>
  <c r="J64" i="68"/>
  <c r="V58" i="68"/>
  <c r="P53" i="68"/>
  <c r="J48" i="68"/>
  <c r="O71" i="68"/>
  <c r="O55" i="68"/>
  <c r="Q54" i="68"/>
  <c r="S64" i="68"/>
  <c r="N47" i="68"/>
  <c r="S44" i="68"/>
  <c r="S56" i="68"/>
  <c r="L73" i="67"/>
  <c r="L65" i="67"/>
  <c r="L57" i="67"/>
  <c r="L49" i="67"/>
  <c r="P72" i="67"/>
  <c r="J67" i="67"/>
  <c r="V61" i="67"/>
  <c r="P56" i="67"/>
  <c r="J51" i="67"/>
  <c r="V45" i="67"/>
  <c r="O62" i="67"/>
  <c r="O46" i="67"/>
  <c r="S67" i="67"/>
  <c r="S59" i="67"/>
  <c r="S51" i="67"/>
  <c r="Q73" i="67"/>
  <c r="Q65" i="67"/>
  <c r="Q57" i="67"/>
  <c r="Q49" i="67"/>
  <c r="J72" i="67"/>
  <c r="V66" i="67"/>
  <c r="P61" i="67"/>
  <c r="J56" i="67"/>
  <c r="V50" i="67"/>
  <c r="P45" i="67"/>
  <c r="O63" i="67"/>
  <c r="O47" i="67"/>
  <c r="S46" i="67"/>
  <c r="O60" i="66"/>
  <c r="F46" i="67"/>
  <c r="N66" i="66"/>
  <c r="N58" i="66"/>
  <c r="N50" i="66"/>
  <c r="S66" i="67"/>
  <c r="L72" i="66"/>
  <c r="L64" i="66"/>
  <c r="L56" i="66"/>
  <c r="N59" i="67"/>
  <c r="V70" i="66"/>
  <c r="P65" i="66"/>
  <c r="J60" i="66"/>
  <c r="V54" i="66"/>
  <c r="X49" i="67"/>
  <c r="O61" i="66"/>
  <c r="X67" i="67"/>
  <c r="S58" i="67"/>
  <c r="N57" i="66"/>
  <c r="J46" i="66"/>
  <c r="F58" i="67"/>
  <c r="V65" i="66"/>
  <c r="O49" i="66"/>
  <c r="L69" i="66"/>
  <c r="O52" i="66"/>
  <c r="V69" i="66"/>
  <c r="L73" i="66"/>
  <c r="P56" i="66"/>
  <c r="S46" i="66"/>
  <c r="L65" i="66"/>
  <c r="V51" i="66"/>
  <c r="J47" i="66"/>
  <c r="N61" i="66"/>
  <c r="J48" i="66"/>
  <c r="V71" i="66"/>
  <c r="S54" i="66"/>
  <c r="S44" i="66"/>
  <c r="J55" i="66"/>
  <c r="Q70" i="65"/>
  <c r="Q62" i="65"/>
  <c r="Q54" i="65"/>
  <c r="Q46" i="65"/>
  <c r="P70" i="65"/>
  <c r="J65" i="65"/>
  <c r="V59" i="65"/>
  <c r="P54" i="65"/>
  <c r="J49" i="65"/>
  <c r="O72" i="65"/>
  <c r="O56" i="65"/>
  <c r="N72" i="65"/>
  <c r="N64" i="65"/>
  <c r="N56" i="65"/>
  <c r="N48" i="65"/>
  <c r="L70" i="65"/>
  <c r="L62" i="65"/>
  <c r="L54" i="65"/>
  <c r="L46" i="65"/>
  <c r="J70" i="65"/>
  <c r="V64" i="65"/>
  <c r="P59" i="65"/>
  <c r="J54" i="65"/>
  <c r="V48" i="65"/>
  <c r="O73" i="65"/>
  <c r="O57" i="65"/>
  <c r="N69" i="65"/>
  <c r="F62" i="65"/>
  <c r="S66" i="65"/>
  <c r="F66" i="65"/>
  <c r="Q72" i="68"/>
  <c r="Q64" i="68"/>
  <c r="Q56" i="68"/>
  <c r="J69" i="68"/>
  <c r="V63" i="68"/>
  <c r="P58" i="68"/>
  <c r="J53" i="68"/>
  <c r="V47" i="68"/>
  <c r="O68" i="68"/>
  <c r="O52" i="68"/>
  <c r="N70" i="68"/>
  <c r="N62" i="68"/>
  <c r="N54" i="68"/>
  <c r="N46" i="68"/>
  <c r="L68" i="68"/>
  <c r="L60" i="68"/>
  <c r="L52" i="68"/>
  <c r="L44" i="68"/>
  <c r="V68" i="68"/>
  <c r="P63" i="68"/>
  <c r="J58" i="68"/>
  <c r="V52" i="68"/>
  <c r="P47" i="68"/>
  <c r="O69" i="68"/>
  <c r="O53" i="68"/>
  <c r="Q50" i="68"/>
  <c r="N67" i="68"/>
  <c r="S68" i="68"/>
  <c r="S70" i="68"/>
  <c r="S54" i="68"/>
  <c r="Q72" i="67"/>
  <c r="Q64" i="67"/>
  <c r="Q56" i="67"/>
  <c r="Q48" i="67"/>
  <c r="V71" i="67"/>
  <c r="P66" i="67"/>
  <c r="J61" i="67"/>
  <c r="V55" i="67"/>
  <c r="P50" i="67"/>
  <c r="J45" i="67"/>
  <c r="O60" i="67"/>
  <c r="O44" i="67"/>
  <c r="N66" i="67"/>
  <c r="N58" i="67"/>
  <c r="N50" i="67"/>
  <c r="L72" i="67"/>
  <c r="L64" i="67"/>
  <c r="L56" i="67"/>
  <c r="L48" i="67"/>
  <c r="P71" i="67"/>
  <c r="J66" i="67"/>
  <c r="V60" i="67"/>
  <c r="P55" i="67"/>
  <c r="J50" i="67"/>
  <c r="V44" i="67"/>
  <c r="O61" i="67"/>
  <c r="O45" i="67"/>
  <c r="F44" i="67"/>
  <c r="O58" i="66"/>
  <c r="S73" i="66"/>
  <c r="S65" i="66"/>
  <c r="S57" i="66"/>
  <c r="S49" i="66"/>
  <c r="F64" i="67"/>
  <c r="Q71" i="66"/>
  <c r="Q63" i="66"/>
  <c r="Q55" i="66"/>
  <c r="S52" i="67"/>
  <c r="J70" i="66"/>
  <c r="V64" i="66"/>
  <c r="P59" i="66"/>
  <c r="J54" i="66"/>
  <c r="N45" i="67"/>
  <c r="O59" i="66"/>
  <c r="N63" i="67"/>
  <c r="X53" i="67"/>
  <c r="P54" i="66"/>
  <c r="N45" i="66"/>
  <c r="V73" i="66"/>
  <c r="L57" i="66"/>
  <c r="Q48" i="66"/>
  <c r="P68" i="66"/>
  <c r="J51" i="66"/>
  <c r="Z66" i="66"/>
  <c r="J69" i="66"/>
  <c r="V55" i="66"/>
  <c r="V45" i="66"/>
  <c r="P64" i="66"/>
  <c r="J49" i="66"/>
  <c r="N65" i="67"/>
  <c r="Q60" i="66"/>
  <c r="N47" i="66"/>
  <c r="J63" i="66"/>
  <c r="J53" i="66"/>
  <c r="N49" i="67"/>
  <c r="AB50" i="66"/>
  <c r="L69" i="65"/>
  <c r="L61" i="65"/>
  <c r="L53" i="65"/>
  <c r="L45" i="65"/>
  <c r="V69" i="65"/>
  <c r="P64" i="65"/>
  <c r="J59" i="65"/>
  <c r="V53" i="65"/>
  <c r="P48" i="65"/>
  <c r="O70" i="65"/>
  <c r="O54" i="65"/>
  <c r="S71" i="65"/>
  <c r="S63" i="65"/>
  <c r="S55" i="65"/>
  <c r="S47" i="65"/>
  <c r="Q69" i="65"/>
  <c r="Q61" i="65"/>
  <c r="Q53" i="65"/>
  <c r="Q45" i="65"/>
  <c r="P69" i="65"/>
  <c r="J64" i="65"/>
  <c r="V58" i="65"/>
  <c r="P53" i="65"/>
  <c r="J48" i="65"/>
  <c r="O71" i="65"/>
  <c r="O55" i="65"/>
  <c r="S62" i="65"/>
  <c r="X59" i="65"/>
  <c r="F64" i="65"/>
  <c r="X63" i="65"/>
  <c r="X49" i="65"/>
  <c r="Q70" i="68"/>
  <c r="Q62" i="68"/>
  <c r="J73" i="68"/>
  <c r="V67" i="68"/>
  <c r="P62" i="68"/>
  <c r="J57" i="68"/>
  <c r="V51" i="68"/>
  <c r="P46" i="68"/>
  <c r="O64" i="68"/>
  <c r="O48" i="68"/>
  <c r="N68" i="68"/>
  <c r="N60" i="68"/>
  <c r="N52" i="68"/>
  <c r="N44" i="68"/>
  <c r="L66" i="68"/>
  <c r="L58" i="68"/>
  <c r="L50" i="68"/>
  <c r="V72" i="68"/>
  <c r="P67" i="68"/>
  <c r="J62" i="68"/>
  <c r="V56" i="68"/>
  <c r="P51" i="68"/>
  <c r="J46" i="68"/>
  <c r="O65" i="68"/>
  <c r="O49" i="68"/>
  <c r="S60" i="68"/>
  <c r="N73" i="68"/>
  <c r="L55" i="68"/>
  <c r="Q52" i="68"/>
  <c r="S58" i="68"/>
  <c r="Q70" i="67"/>
  <c r="Q62" i="67"/>
  <c r="Q54" i="67"/>
  <c r="Q46" i="67"/>
  <c r="P70" i="67"/>
  <c r="J65" i="67"/>
  <c r="V59" i="67"/>
  <c r="P54" i="67"/>
  <c r="J49" i="67"/>
  <c r="O72" i="67"/>
  <c r="O56" i="67"/>
  <c r="N72" i="67"/>
  <c r="N64" i="67"/>
  <c r="N56" i="67"/>
  <c r="N48" i="67"/>
  <c r="L70" i="67"/>
  <c r="L62" i="67"/>
  <c r="L54" i="67"/>
  <c r="L46" i="67"/>
  <c r="J70" i="67"/>
  <c r="V64" i="67"/>
  <c r="P59" i="67"/>
  <c r="J54" i="67"/>
  <c r="V48" i="67"/>
  <c r="O73" i="67"/>
  <c r="O57" i="67"/>
  <c r="N69" i="67"/>
  <c r="O70" i="66"/>
  <c r="S64" i="67"/>
  <c r="S71" i="66"/>
  <c r="S63" i="66"/>
  <c r="S55" i="66"/>
  <c r="S47" i="66"/>
  <c r="N57" i="67"/>
  <c r="Q69" i="66"/>
  <c r="Q61" i="66"/>
  <c r="Q53" i="66"/>
  <c r="X47" i="67"/>
  <c r="V68" i="66"/>
  <c r="P63" i="66"/>
  <c r="J58" i="66"/>
  <c r="F68" i="67"/>
  <c r="O71" i="66"/>
  <c r="O55" i="66"/>
  <c r="F54" i="67"/>
  <c r="N71" i="66"/>
  <c r="N51" i="66"/>
  <c r="AB64" i="66"/>
  <c r="L71" i="66"/>
  <c r="O54" i="66"/>
  <c r="L45" i="66"/>
  <c r="Q66" i="66"/>
  <c r="N49" i="66"/>
  <c r="S52" i="66"/>
  <c r="P66" i="66"/>
  <c r="J52" i="66"/>
  <c r="Q62" i="66"/>
  <c r="O47" i="66"/>
  <c r="X55" i="67"/>
  <c r="N55" i="66"/>
  <c r="Q45" i="66"/>
  <c r="P60" i="66"/>
  <c r="Q50" i="66"/>
  <c r="S70" i="66"/>
  <c r="L46" i="66"/>
  <c r="L67" i="65"/>
  <c r="L59" i="65"/>
  <c r="L51" i="65"/>
  <c r="V73" i="65"/>
  <c r="P68" i="65"/>
  <c r="J63" i="65"/>
  <c r="V57" i="65"/>
  <c r="P52" i="65"/>
  <c r="J47" i="65"/>
  <c r="O66" i="65"/>
  <c r="O50" i="65"/>
  <c r="S69" i="65"/>
  <c r="L63" i="68"/>
  <c r="V57" i="68"/>
  <c r="O50" i="68"/>
  <c r="S45" i="68"/>
  <c r="P73" i="68"/>
  <c r="J52" i="68"/>
  <c r="Q46" i="68"/>
  <c r="N65" i="68"/>
  <c r="L47" i="67"/>
  <c r="J55" i="67"/>
  <c r="S73" i="67"/>
  <c r="Q71" i="67"/>
  <c r="V70" i="67"/>
  <c r="P49" i="67"/>
  <c r="O72" i="66"/>
  <c r="N56" i="66"/>
  <c r="L62" i="66"/>
  <c r="J64" i="66"/>
  <c r="O57" i="66"/>
  <c r="P44" i="66"/>
  <c r="N67" i="66"/>
  <c r="P53" i="66"/>
  <c r="H53" i="66" s="1"/>
  <c r="S60" i="67"/>
  <c r="Q51" i="66"/>
  <c r="Q60" i="65"/>
  <c r="V63" i="65"/>
  <c r="O68" i="65"/>
  <c r="N60" i="65"/>
  <c r="Q67" i="65"/>
  <c r="L44" i="65"/>
  <c r="J62" i="65"/>
  <c r="V46" i="65"/>
  <c r="F60" i="65"/>
  <c r="S50" i="65"/>
  <c r="S70" i="65"/>
  <c r="X51" i="65"/>
  <c r="N65" i="65"/>
  <c r="N51" i="65"/>
  <c r="S51" i="47"/>
  <c r="S56" i="47"/>
  <c r="Q57" i="47"/>
  <c r="L52" i="47"/>
  <c r="P56" i="47"/>
  <c r="L58" i="47"/>
  <c r="N51" i="47"/>
  <c r="V54" i="47"/>
  <c r="O58" i="47"/>
  <c r="O50" i="47"/>
  <c r="V50" i="47"/>
  <c r="O51" i="47"/>
  <c r="Q52" i="47"/>
  <c r="Q46" i="66"/>
  <c r="L50" i="65"/>
  <c r="F54" i="65"/>
  <c r="O49" i="47"/>
  <c r="L53" i="47"/>
  <c r="L61" i="68"/>
  <c r="P56" i="68"/>
  <c r="O46" i="68"/>
  <c r="Q73" i="68"/>
  <c r="J72" i="68"/>
  <c r="V50" i="68"/>
  <c r="L53" i="68"/>
  <c r="N53" i="68"/>
  <c r="L45" i="67"/>
  <c r="V53" i="67"/>
  <c r="S71" i="67"/>
  <c r="Q69" i="67"/>
  <c r="P69" i="67"/>
  <c r="J48" i="67"/>
  <c r="O68" i="66"/>
  <c r="N54" i="66"/>
  <c r="L60" i="66"/>
  <c r="V62" i="66"/>
  <c r="O53" i="66"/>
  <c r="L59" i="66"/>
  <c r="S64" i="66"/>
  <c r="V50" i="66"/>
  <c r="W73" i="67"/>
  <c r="V48" i="66"/>
  <c r="Q58" i="65"/>
  <c r="P62" i="65"/>
  <c r="O64" i="65"/>
  <c r="N54" i="65"/>
  <c r="L66" i="65"/>
  <c r="P73" i="65"/>
  <c r="J58" i="65"/>
  <c r="J46" i="65"/>
  <c r="X57" i="65"/>
  <c r="F48" i="65"/>
  <c r="N61" i="65"/>
  <c r="N47" i="65"/>
  <c r="S58" i="65"/>
  <c r="N46" i="47"/>
  <c r="L50" i="47"/>
  <c r="L55" i="47"/>
  <c r="Q49" i="47"/>
  <c r="P51" i="47"/>
  <c r="N54" i="47"/>
  <c r="Q58" i="47"/>
  <c r="Q50" i="47"/>
  <c r="J54" i="47"/>
  <c r="S57" i="47"/>
  <c r="S49" i="47"/>
  <c r="L60" i="65"/>
  <c r="P57" i="65"/>
  <c r="N53" i="65"/>
  <c r="F44" i="65"/>
  <c r="F56" i="65"/>
  <c r="J56" i="47"/>
  <c r="P49" i="47"/>
  <c r="P54" i="47"/>
  <c r="N57" i="47"/>
  <c r="Q53" i="47"/>
  <c r="V57" i="47"/>
  <c r="V49" i="47"/>
  <c r="L56" i="47"/>
  <c r="P73" i="66"/>
  <c r="S60" i="66"/>
  <c r="V51" i="65"/>
  <c r="L52" i="65"/>
  <c r="F46" i="65"/>
  <c r="S44" i="65"/>
  <c r="V58" i="47"/>
  <c r="S55" i="47"/>
  <c r="O44" i="66"/>
  <c r="S61" i="65"/>
  <c r="O49" i="65"/>
  <c r="O52" i="47"/>
  <c r="P53" i="47"/>
  <c r="V73" i="68"/>
  <c r="P52" i="68"/>
  <c r="S69" i="68"/>
  <c r="Q67" i="68"/>
  <c r="J68" i="68"/>
  <c r="V46" i="68"/>
  <c r="S46" i="68"/>
  <c r="L71" i="67"/>
  <c r="J71" i="67"/>
  <c r="V49" i="67"/>
  <c r="S65" i="67"/>
  <c r="Q63" i="67"/>
  <c r="P65" i="67"/>
  <c r="J44" i="67"/>
  <c r="N71" i="67"/>
  <c r="N48" i="66"/>
  <c r="L54" i="66"/>
  <c r="V58" i="66"/>
  <c r="S56" i="67"/>
  <c r="P72" i="66"/>
  <c r="J50" i="66"/>
  <c r="J44" i="66"/>
  <c r="S58" i="66"/>
  <c r="S44" i="67"/>
  <c r="Q52" i="65"/>
  <c r="P58" i="65"/>
  <c r="O52" i="65"/>
  <c r="S53" i="65"/>
  <c r="V72" i="65"/>
  <c r="O69" i="65"/>
  <c r="N59" i="65"/>
  <c r="N67" i="65"/>
  <c r="N49" i="47"/>
  <c r="O53" i="47"/>
  <c r="Q70" i="66"/>
  <c r="J73" i="65"/>
  <c r="P67" i="65"/>
  <c r="X47" i="65"/>
  <c r="J55" i="47"/>
  <c r="P50" i="47"/>
  <c r="N59" i="66"/>
  <c r="V62" i="65"/>
  <c r="X69" i="65"/>
  <c r="L49" i="47"/>
  <c r="P72" i="68"/>
  <c r="J51" i="68"/>
  <c r="S67" i="68"/>
  <c r="Q65" i="68"/>
  <c r="V66" i="68"/>
  <c r="P45" i="68"/>
  <c r="S66" i="68"/>
  <c r="L69" i="67"/>
  <c r="V69" i="67"/>
  <c r="P48" i="67"/>
  <c r="S63" i="67"/>
  <c r="Q61" i="67"/>
  <c r="J64" i="67"/>
  <c r="O71" i="67"/>
  <c r="F62" i="67"/>
  <c r="N46" i="66"/>
  <c r="L52" i="66"/>
  <c r="P57" i="66"/>
  <c r="X51" i="67"/>
  <c r="P70" i="66"/>
  <c r="P48" i="66"/>
  <c r="F56" i="67"/>
  <c r="L53" i="66"/>
  <c r="W67" i="66"/>
  <c r="Q50" i="65"/>
  <c r="J57" i="65"/>
  <c r="O48" i="65"/>
  <c r="N52" i="65"/>
  <c r="Q59" i="65"/>
  <c r="V68" i="65"/>
  <c r="V56" i="65"/>
  <c r="O67" i="65"/>
  <c r="N55" i="65"/>
  <c r="S52" i="65"/>
  <c r="S72" i="65"/>
  <c r="F58" i="65"/>
  <c r="X53" i="65"/>
  <c r="N55" i="47"/>
  <c r="N50" i="47"/>
  <c r="N52" i="47"/>
  <c r="Q56" i="47"/>
  <c r="N58" i="47"/>
  <c r="V52" i="47"/>
  <c r="J57" i="47"/>
  <c r="J49" i="47"/>
  <c r="S52" i="47"/>
  <c r="P55" i="47"/>
  <c r="J67" i="68"/>
  <c r="Q57" i="68"/>
  <c r="O63" i="68"/>
  <c r="L61" i="67"/>
  <c r="O70" i="67"/>
  <c r="S55" i="67"/>
  <c r="V58" i="67"/>
  <c r="N70" i="66"/>
  <c r="X65" i="67"/>
  <c r="Q49" i="66"/>
  <c r="AB72" i="66"/>
  <c r="S45" i="65"/>
  <c r="O53" i="65"/>
  <c r="W73" i="65"/>
  <c r="P52" i="47"/>
  <c r="O69" i="66"/>
  <c r="V67" i="65"/>
  <c r="P47" i="65"/>
  <c r="S60" i="65"/>
  <c r="L57" i="47"/>
  <c r="J51" i="47"/>
  <c r="P68" i="68"/>
  <c r="J47" i="68"/>
  <c r="S61" i="68"/>
  <c r="Q59" i="68"/>
  <c r="V62" i="68"/>
  <c r="O67" i="68"/>
  <c r="N59" i="68"/>
  <c r="L63" i="67"/>
  <c r="V65" i="67"/>
  <c r="P44" i="67"/>
  <c r="S57" i="67"/>
  <c r="Q55" i="67"/>
  <c r="J60" i="67"/>
  <c r="O59" i="67"/>
  <c r="N72" i="66"/>
  <c r="X61" i="67"/>
  <c r="F50" i="67"/>
  <c r="S70" i="67"/>
  <c r="Q72" i="66"/>
  <c r="S56" i="66"/>
  <c r="J61" i="66"/>
  <c r="N63" i="66"/>
  <c r="P46" i="66"/>
  <c r="F48" i="66"/>
  <c r="Q44" i="65"/>
  <c r="J53" i="65"/>
  <c r="N70" i="65"/>
  <c r="N46" i="65"/>
  <c r="L58" i="65"/>
  <c r="J68" i="65"/>
  <c r="V52" i="65"/>
  <c r="O65" i="65"/>
  <c r="S48" i="65"/>
  <c r="F50" i="65"/>
  <c r="X67" i="65"/>
  <c r="X55" i="65"/>
  <c r="N49" i="65"/>
  <c r="Q54" i="47"/>
  <c r="P57" i="47"/>
  <c r="Q51" i="47"/>
  <c r="V55" i="47"/>
  <c r="O55" i="47"/>
  <c r="J52" i="47"/>
  <c r="O56" i="47"/>
  <c r="S54" i="47"/>
  <c r="L51" i="47"/>
  <c r="N53" i="47"/>
  <c r="V45" i="68"/>
  <c r="S59" i="68"/>
  <c r="P61" i="68"/>
  <c r="S52" i="68"/>
  <c r="P64" i="67"/>
  <c r="Q53" i="67"/>
  <c r="O55" i="67"/>
  <c r="S50" i="67"/>
  <c r="V53" i="66"/>
  <c r="Y56" i="66"/>
  <c r="N68" i="65"/>
  <c r="J52" i="65"/>
  <c r="N63" i="65"/>
  <c r="V53" i="47"/>
  <c r="P58" i="47"/>
  <c r="O50" i="66"/>
  <c r="P46" i="65"/>
  <c r="N57" i="65"/>
  <c r="O57" i="47"/>
  <c r="Q55" i="47"/>
  <c r="L71" i="68"/>
  <c r="J63" i="68"/>
  <c r="O66" i="68"/>
  <c r="S53" i="68"/>
  <c r="Q51" i="68"/>
  <c r="P57" i="68"/>
  <c r="O51" i="68"/>
  <c r="N61" i="68"/>
  <c r="L55" i="67"/>
  <c r="P60" i="67"/>
  <c r="O58" i="67"/>
  <c r="S49" i="67"/>
  <c r="Q47" i="67"/>
  <c r="V54" i="67"/>
  <c r="X73" i="67"/>
  <c r="N64" i="66"/>
  <c r="L70" i="66"/>
  <c r="P69" i="66"/>
  <c r="O73" i="66"/>
  <c r="Q52" i="66"/>
  <c r="V46" i="66"/>
  <c r="L67" i="66"/>
  <c r="L48" i="66"/>
  <c r="L61" i="66"/>
  <c r="Q68" i="65"/>
  <c r="J69" i="65"/>
  <c r="V47" i="65"/>
  <c r="N62" i="65"/>
  <c r="N44" i="65"/>
  <c r="Q51" i="65"/>
  <c r="P63" i="65"/>
  <c r="P51" i="65"/>
  <c r="O51" i="65"/>
  <c r="X61" i="65"/>
  <c r="X65" i="65"/>
  <c r="S56" i="65"/>
  <c r="F72" i="65"/>
  <c r="X71" i="65"/>
  <c r="J53" i="47"/>
  <c r="J58" i="47"/>
  <c r="J50" i="47"/>
  <c r="O54" i="47"/>
  <c r="S58" i="47"/>
  <c r="S50" i="47"/>
  <c r="L54" i="47"/>
  <c r="N56" i="47"/>
  <c r="V56" i="47"/>
  <c r="V51" i="47"/>
  <c r="L69" i="68"/>
  <c r="V61" i="68"/>
  <c r="O62" i="68"/>
  <c r="S51" i="68"/>
  <c r="Q49" i="68"/>
  <c r="J56" i="68"/>
  <c r="O47" i="68"/>
  <c r="Q48" i="68"/>
  <c r="L53" i="67"/>
  <c r="J59" i="67"/>
  <c r="O54" i="67"/>
  <c r="S47" i="67"/>
  <c r="Q45" i="67"/>
  <c r="P53" i="67"/>
  <c r="S62" i="67"/>
  <c r="N62" i="66"/>
  <c r="L68" i="66"/>
  <c r="J68" i="66"/>
  <c r="N65" i="66"/>
  <c r="Q66" i="65"/>
  <c r="L68" i="65"/>
  <c r="S54" i="65"/>
  <c r="S53" i="47"/>
  <c r="F38" i="68" l="1"/>
  <c r="AG73" i="67"/>
  <c r="F38" i="66"/>
  <c r="AG67" i="66" s="1"/>
  <c r="F38" i="65"/>
  <c r="AG73" i="65" s="1"/>
  <c r="U69" i="47"/>
  <c r="U70" i="47"/>
  <c r="U71" i="47"/>
  <c r="U72" i="47"/>
  <c r="U73" i="47"/>
  <c r="F51" i="66"/>
  <c r="F72" i="66"/>
  <c r="W53" i="66"/>
  <c r="AB57" i="67"/>
  <c r="H61" i="67"/>
  <c r="Z70" i="67"/>
  <c r="F62" i="66"/>
  <c r="W72" i="66"/>
  <c r="X57" i="66"/>
  <c r="H55" i="66"/>
  <c r="W58" i="67"/>
  <c r="Y62" i="67"/>
  <c r="Z54" i="67"/>
  <c r="X69" i="66"/>
  <c r="AB63" i="66"/>
  <c r="AB47" i="66"/>
  <c r="H46" i="67"/>
  <c r="AB67" i="67"/>
  <c r="H71" i="67"/>
  <c r="Z48" i="67"/>
  <c r="X64" i="66"/>
  <c r="H62" i="66"/>
  <c r="Z49" i="66"/>
  <c r="Z71" i="67"/>
  <c r="X70" i="67"/>
  <c r="AB58" i="67"/>
  <c r="Y51" i="67"/>
  <c r="H63" i="66"/>
  <c r="Z61" i="66"/>
  <c r="Y49" i="66"/>
  <c r="H72" i="67"/>
  <c r="F55" i="67"/>
  <c r="W59" i="67"/>
  <c r="X47" i="66"/>
  <c r="X46" i="66"/>
  <c r="F50" i="66"/>
  <c r="Y49" i="67"/>
  <c r="W70" i="67"/>
  <c r="Z44" i="67"/>
  <c r="W58" i="66"/>
  <c r="H69" i="66"/>
  <c r="Z73" i="66"/>
  <c r="W61" i="66"/>
  <c r="Z61" i="67"/>
  <c r="F73" i="67"/>
  <c r="W69" i="67"/>
  <c r="Y51" i="65"/>
  <c r="W70" i="65"/>
  <c r="Y68" i="65"/>
  <c r="H71" i="65"/>
  <c r="AB55" i="65"/>
  <c r="H53" i="65"/>
  <c r="Z53" i="65"/>
  <c r="X66" i="65"/>
  <c r="H46" i="65"/>
  <c r="AB65" i="65"/>
  <c r="Y55" i="65"/>
  <c r="X44" i="65"/>
  <c r="Z58" i="65"/>
  <c r="H63" i="65"/>
  <c r="AB67" i="65"/>
  <c r="H73" i="65"/>
  <c r="W67" i="65"/>
  <c r="W52" i="65"/>
  <c r="Y58" i="65"/>
  <c r="W63" i="65"/>
  <c r="AB45" i="65"/>
  <c r="H51" i="65"/>
  <c r="Z68" i="65"/>
  <c r="H53" i="67"/>
  <c r="Y54" i="67"/>
  <c r="AB59" i="67"/>
  <c r="X62" i="67"/>
  <c r="AB53" i="66"/>
  <c r="H52" i="66"/>
  <c r="W53" i="67"/>
  <c r="Z56" i="65"/>
  <c r="AB59" i="65"/>
  <c r="F71" i="65"/>
  <c r="Z56" i="66"/>
  <c r="AB73" i="66"/>
  <c r="Y54" i="66"/>
  <c r="H44" i="67"/>
  <c r="AB65" i="67"/>
  <c r="H69" i="67"/>
  <c r="W65" i="67"/>
  <c r="AB46" i="66"/>
  <c r="W64" i="66"/>
  <c r="H45" i="66"/>
  <c r="Y45" i="67"/>
  <c r="W66" i="67"/>
  <c r="Y70" i="67"/>
  <c r="W49" i="67"/>
  <c r="H73" i="66"/>
  <c r="AB55" i="66"/>
  <c r="H57" i="66"/>
  <c r="H54" i="67"/>
  <c r="F45" i="67"/>
  <c r="W57" i="67"/>
  <c r="AB45" i="66"/>
  <c r="X56" i="66"/>
  <c r="H54" i="66"/>
  <c r="W46" i="66"/>
  <c r="W44" i="67"/>
  <c r="Y48" i="67"/>
  <c r="AB66" i="67"/>
  <c r="W64" i="67"/>
  <c r="F71" i="66"/>
  <c r="Y69" i="66"/>
  <c r="X59" i="66"/>
  <c r="Z57" i="67"/>
  <c r="F63" i="67"/>
  <c r="Y68" i="66"/>
  <c r="W69" i="66"/>
  <c r="W68" i="66"/>
  <c r="H50" i="66"/>
  <c r="Y57" i="67"/>
  <c r="X48" i="67"/>
  <c r="Z60" i="67"/>
  <c r="Y52" i="66"/>
  <c r="H61" i="66"/>
  <c r="Z57" i="66"/>
  <c r="X55" i="66"/>
  <c r="AB47" i="67"/>
  <c r="H51" i="67"/>
  <c r="X68" i="66"/>
  <c r="Y59" i="65"/>
  <c r="X48" i="65"/>
  <c r="Z50" i="65"/>
  <c r="H44" i="65"/>
  <c r="AB63" i="65"/>
  <c r="H69" i="65"/>
  <c r="Z69" i="65"/>
  <c r="Y46" i="65"/>
  <c r="H54" i="65"/>
  <c r="AB73" i="65"/>
  <c r="Y63" i="65"/>
  <c r="X52" i="65"/>
  <c r="AB44" i="65"/>
  <c r="H48" i="65"/>
  <c r="F45" i="65"/>
  <c r="Z44" i="65"/>
  <c r="Y49" i="65"/>
  <c r="W60" i="65"/>
  <c r="Y66" i="65"/>
  <c r="AB58" i="65"/>
  <c r="AB53" i="65"/>
  <c r="H59" i="65"/>
  <c r="AB50" i="65"/>
  <c r="W71" i="67"/>
  <c r="X50" i="66"/>
  <c r="Y47" i="66"/>
  <c r="X50" i="67"/>
  <c r="AB52" i="66"/>
  <c r="Z58" i="67"/>
  <c r="Y66" i="67"/>
  <c r="F65" i="67"/>
  <c r="Y69" i="65"/>
  <c r="W66" i="65"/>
  <c r="Y50" i="65"/>
  <c r="F44" i="66"/>
  <c r="AB65" i="66"/>
  <c r="W44" i="66"/>
  <c r="H52" i="67"/>
  <c r="AB73" i="67"/>
  <c r="Z50" i="67"/>
  <c r="W57" i="66"/>
  <c r="AB68" i="66"/>
  <c r="W56" i="66"/>
  <c r="Z54" i="66"/>
  <c r="Y53" i="67"/>
  <c r="X44" i="67"/>
  <c r="Z52" i="67"/>
  <c r="X73" i="66"/>
  <c r="H65" i="66"/>
  <c r="Z65" i="66"/>
  <c r="F46" i="66"/>
  <c r="H62" i="67"/>
  <c r="F53" i="67"/>
  <c r="Y60" i="66"/>
  <c r="X67" i="66"/>
  <c r="X48" i="66"/>
  <c r="Y48" i="66"/>
  <c r="AB62" i="66"/>
  <c r="W52" i="67"/>
  <c r="Y56" i="67"/>
  <c r="W51" i="67"/>
  <c r="Y60" i="67"/>
  <c r="F63" i="66"/>
  <c r="Y61" i="66"/>
  <c r="Y50" i="66"/>
  <c r="Z73" i="67"/>
  <c r="F71" i="67"/>
  <c r="X44" i="66"/>
  <c r="F56" i="66"/>
  <c r="W60" i="66"/>
  <c r="F68" i="66"/>
  <c r="Y65" i="67"/>
  <c r="X56" i="67"/>
  <c r="AB44" i="67"/>
  <c r="Y67" i="67"/>
  <c r="F69" i="66"/>
  <c r="Y67" i="66"/>
  <c r="Z50" i="66"/>
  <c r="AB55" i="67"/>
  <c r="H59" i="67"/>
  <c r="Z71" i="66"/>
  <c r="Y67" i="65"/>
  <c r="X56" i="65"/>
  <c r="Z66" i="65"/>
  <c r="H52" i="65"/>
  <c r="AB71" i="65"/>
  <c r="W65" i="65"/>
  <c r="W48" i="65"/>
  <c r="Y54" i="65"/>
  <c r="H62" i="65"/>
  <c r="F51" i="65"/>
  <c r="Y71" i="65"/>
  <c r="X60" i="65"/>
  <c r="AB52" i="65"/>
  <c r="H56" i="65"/>
  <c r="F53" i="65"/>
  <c r="Z60" i="65"/>
  <c r="Y57" i="65"/>
  <c r="W68" i="65"/>
  <c r="Z46" i="65"/>
  <c r="W59" i="65"/>
  <c r="AB61" i="65"/>
  <c r="H67" i="65"/>
  <c r="W51" i="65"/>
  <c r="F59" i="66"/>
  <c r="AB44" i="66"/>
  <c r="F66" i="66"/>
  <c r="Z55" i="67"/>
  <c r="W59" i="66"/>
  <c r="Z64" i="66"/>
  <c r="X51" i="66"/>
  <c r="Y60" i="65"/>
  <c r="AB57" i="65"/>
  <c r="W57" i="65"/>
  <c r="Z63" i="65"/>
  <c r="F64" i="66"/>
  <c r="AB57" i="66"/>
  <c r="Z52" i="66"/>
  <c r="H60" i="67"/>
  <c r="F51" i="67"/>
  <c r="Z66" i="67"/>
  <c r="F70" i="66"/>
  <c r="Y66" i="66"/>
  <c r="Z67" i="66"/>
  <c r="W45" i="66"/>
  <c r="Y61" i="67"/>
  <c r="X52" i="67"/>
  <c r="Z68" i="67"/>
  <c r="W48" i="67"/>
  <c r="F73" i="66"/>
  <c r="Y71" i="66"/>
  <c r="W55" i="66"/>
  <c r="H70" i="67"/>
  <c r="F61" i="67"/>
  <c r="W66" i="66"/>
  <c r="W48" i="66"/>
  <c r="W70" i="66"/>
  <c r="AB70" i="66"/>
  <c r="Y47" i="67"/>
  <c r="W60" i="67"/>
  <c r="Y64" i="67"/>
  <c r="W67" i="67"/>
  <c r="Z46" i="66"/>
  <c r="F55" i="66"/>
  <c r="Y53" i="66"/>
  <c r="H47" i="66"/>
  <c r="AB45" i="67"/>
  <c r="H49" i="67"/>
  <c r="H66" i="66"/>
  <c r="Y70" i="66"/>
  <c r="W52" i="66"/>
  <c r="W50" i="66"/>
  <c r="Y73" i="67"/>
  <c r="X64" i="67"/>
  <c r="AB52" i="67"/>
  <c r="W72" i="67"/>
  <c r="F61" i="66"/>
  <c r="Y59" i="66"/>
  <c r="W65" i="66"/>
  <c r="AB63" i="67"/>
  <c r="H67" i="67"/>
  <c r="W51" i="66"/>
  <c r="Z49" i="65"/>
  <c r="X64" i="65"/>
  <c r="AB48" i="65"/>
  <c r="H60" i="65"/>
  <c r="F49" i="65"/>
  <c r="Z72" i="65"/>
  <c r="W56" i="65"/>
  <c r="Y62" i="65"/>
  <c r="H70" i="65"/>
  <c r="F59" i="65"/>
  <c r="Z57" i="65"/>
  <c r="X68" i="65"/>
  <c r="AB60" i="65"/>
  <c r="H64" i="65"/>
  <c r="F61" i="65"/>
  <c r="W45" i="65"/>
  <c r="Y65" i="65"/>
  <c r="X46" i="65"/>
  <c r="Z62" i="65"/>
  <c r="H50" i="65"/>
  <c r="AB69" i="65"/>
  <c r="Z48" i="65"/>
  <c r="AB49" i="67"/>
  <c r="AB54" i="67"/>
  <c r="W50" i="67"/>
  <c r="F58" i="66"/>
  <c r="AB58" i="66"/>
  <c r="H71" i="66"/>
  <c r="W62" i="67"/>
  <c r="Z45" i="67"/>
  <c r="AB47" i="65"/>
  <c r="Y47" i="65"/>
  <c r="W44" i="65"/>
  <c r="H67" i="66"/>
  <c r="Z69" i="66"/>
  <c r="Y44" i="66"/>
  <c r="H68" i="67"/>
  <c r="F59" i="67"/>
  <c r="W47" i="67"/>
  <c r="Y59" i="67"/>
  <c r="Y58" i="66"/>
  <c r="H72" i="66"/>
  <c r="AB54" i="66"/>
  <c r="Y69" i="67"/>
  <c r="X60" i="67"/>
  <c r="AB48" i="67"/>
  <c r="Y44" i="67"/>
  <c r="F65" i="66"/>
  <c r="Y63" i="66"/>
  <c r="H46" i="66"/>
  <c r="Z53" i="67"/>
  <c r="F69" i="67"/>
  <c r="H58" i="66"/>
  <c r="Z70" i="66"/>
  <c r="W62" i="66"/>
  <c r="Z48" i="66"/>
  <c r="Y55" i="67"/>
  <c r="W68" i="67"/>
  <c r="Y72" i="67"/>
  <c r="Z53" i="66"/>
  <c r="Z68" i="66"/>
  <c r="F47" i="66"/>
  <c r="W49" i="66"/>
  <c r="X63" i="66"/>
  <c r="AB53" i="67"/>
  <c r="H57" i="67"/>
  <c r="AB51" i="66"/>
  <c r="Y62" i="66"/>
  <c r="Z59" i="66"/>
  <c r="Z60" i="66"/>
  <c r="Z59" i="67"/>
  <c r="X72" i="67"/>
  <c r="AB60" i="67"/>
  <c r="Z64" i="67"/>
  <c r="F53" i="66"/>
  <c r="Y51" i="66"/>
  <c r="H50" i="67"/>
  <c r="AB71" i="67"/>
  <c r="Z46" i="67"/>
  <c r="W73" i="66"/>
  <c r="Z65" i="65"/>
  <c r="X72" i="65"/>
  <c r="AB56" i="65"/>
  <c r="H68" i="65"/>
  <c r="F57" i="65"/>
  <c r="Y45" i="65"/>
  <c r="W64" i="65"/>
  <c r="Y70" i="65"/>
  <c r="Z55" i="65"/>
  <c r="F67" i="65"/>
  <c r="Z73" i="65"/>
  <c r="Y48" i="65"/>
  <c r="AB68" i="65"/>
  <c r="H72" i="65"/>
  <c r="F69" i="65"/>
  <c r="W53" i="65"/>
  <c r="Y73" i="65"/>
  <c r="X54" i="65"/>
  <c r="AB46" i="65"/>
  <c r="H58" i="65"/>
  <c r="F47" i="65"/>
  <c r="Z64" i="65"/>
  <c r="F55" i="65"/>
  <c r="W47" i="65"/>
  <c r="W55" i="65"/>
  <c r="X61" i="66"/>
  <c r="AB71" i="66"/>
  <c r="X72" i="66"/>
  <c r="AB50" i="67"/>
  <c r="F47" i="67"/>
  <c r="X54" i="66"/>
  <c r="AB56" i="66"/>
  <c r="AB70" i="67"/>
  <c r="H45" i="65"/>
  <c r="AB66" i="65"/>
  <c r="W71" i="65"/>
  <c r="H59" i="66"/>
  <c r="Y73" i="66"/>
  <c r="F54" i="66"/>
  <c r="Z49" i="67"/>
  <c r="F67" i="67"/>
  <c r="W55" i="67"/>
  <c r="W56" i="67"/>
  <c r="X66" i="66"/>
  <c r="H64" i="66"/>
  <c r="X45" i="66"/>
  <c r="Z51" i="67"/>
  <c r="X68" i="67"/>
  <c r="AB56" i="67"/>
  <c r="AB62" i="67"/>
  <c r="F57" i="66"/>
  <c r="Y55" i="66"/>
  <c r="W63" i="66"/>
  <c r="Z69" i="67"/>
  <c r="H47" i="67"/>
  <c r="AB60" i="66"/>
  <c r="Y72" i="66"/>
  <c r="W54" i="66"/>
  <c r="Z58" i="66"/>
  <c r="Y63" i="67"/>
  <c r="X46" i="67"/>
  <c r="Z56" i="67"/>
  <c r="X52" i="66"/>
  <c r="H49" i="66"/>
  <c r="AB69" i="66"/>
  <c r="X71" i="66"/>
  <c r="H48" i="67"/>
  <c r="AB61" i="67"/>
  <c r="H65" i="67"/>
  <c r="Z63" i="67"/>
  <c r="X70" i="66"/>
  <c r="H68" i="66"/>
  <c r="Z51" i="66"/>
  <c r="W46" i="67"/>
  <c r="Y50" i="67"/>
  <c r="AB68" i="67"/>
  <c r="H48" i="66"/>
  <c r="F45" i="66"/>
  <c r="F52" i="66"/>
  <c r="H58" i="67"/>
  <c r="F49" i="67"/>
  <c r="Z62" i="67"/>
  <c r="X58" i="67"/>
  <c r="W46" i="65"/>
  <c r="Y44" i="65"/>
  <c r="AB64" i="65"/>
  <c r="Z51" i="65"/>
  <c r="F65" i="65"/>
  <c r="Y53" i="65"/>
  <c r="W72" i="65"/>
  <c r="Z54" i="65"/>
  <c r="Z71" i="65"/>
  <c r="H47" i="65"/>
  <c r="W50" i="65"/>
  <c r="Y56" i="65"/>
  <c r="W61" i="65"/>
  <c r="Z59" i="65"/>
  <c r="H49" i="65"/>
  <c r="W69" i="65"/>
  <c r="Z45" i="65"/>
  <c r="X62" i="65"/>
  <c r="AB54" i="65"/>
  <c r="H66" i="65"/>
  <c r="F63" i="65"/>
  <c r="Y57" i="66"/>
  <c r="H44" i="66"/>
  <c r="H63" i="67"/>
  <c r="H64" i="67"/>
  <c r="X60" i="66"/>
  <c r="W62" i="65"/>
  <c r="X58" i="65"/>
  <c r="Y72" i="65"/>
  <c r="AB70" i="65"/>
  <c r="F67" i="66"/>
  <c r="Y65" i="66"/>
  <c r="Z44" i="66"/>
  <c r="Z65" i="67"/>
  <c r="H45" i="67"/>
  <c r="W63" i="67"/>
  <c r="Y52" i="67"/>
  <c r="X58" i="66"/>
  <c r="H56" i="66"/>
  <c r="Z62" i="66"/>
  <c r="Z67" i="67"/>
  <c r="Y46" i="67"/>
  <c r="AB64" i="67"/>
  <c r="AB66" i="66"/>
  <c r="F49" i="66"/>
  <c r="Z47" i="66"/>
  <c r="Y45" i="66"/>
  <c r="AB51" i="67"/>
  <c r="H55" i="67"/>
  <c r="Z47" i="67"/>
  <c r="Y64" i="66"/>
  <c r="Z63" i="66"/>
  <c r="AB48" i="66"/>
  <c r="Y71" i="67"/>
  <c r="X54" i="67"/>
  <c r="Z72" i="67"/>
  <c r="Z55" i="66"/>
  <c r="W71" i="66"/>
  <c r="AB61" i="66"/>
  <c r="X49" i="66"/>
  <c r="H56" i="67"/>
  <c r="AB69" i="67"/>
  <c r="H73" i="67"/>
  <c r="X66" i="67"/>
  <c r="X62" i="66"/>
  <c r="H60" i="66"/>
  <c r="AB49" i="66"/>
  <c r="W54" i="67"/>
  <c r="Y58" i="67"/>
  <c r="W61" i="67"/>
  <c r="Z72" i="66"/>
  <c r="AB67" i="66"/>
  <c r="H51" i="66"/>
  <c r="H66" i="67"/>
  <c r="F57" i="67"/>
  <c r="W45" i="67"/>
  <c r="Y68" i="67"/>
  <c r="W54" i="65"/>
  <c r="Y52" i="65"/>
  <c r="AB72" i="65"/>
  <c r="Z67" i="65"/>
  <c r="F73" i="65"/>
  <c r="Y61" i="65"/>
  <c r="X50" i="65"/>
  <c r="Z70" i="65"/>
  <c r="AB49" i="65"/>
  <c r="H55" i="65"/>
  <c r="W58" i="65"/>
  <c r="Y64" i="65"/>
  <c r="Z52" i="65"/>
  <c r="AB51" i="65"/>
  <c r="H57" i="65"/>
  <c r="W49" i="65"/>
  <c r="Z61" i="65"/>
  <c r="X70" i="65"/>
  <c r="AB62" i="65"/>
  <c r="Z47" i="65"/>
  <c r="AB72" i="67"/>
  <c r="H70" i="66"/>
  <c r="AB46" i="67"/>
  <c r="AB59" i="66"/>
  <c r="H61" i="65"/>
  <c r="H65" i="65"/>
  <c r="AE58" i="67" l="1"/>
  <c r="AF58" i="67" s="1"/>
  <c r="AH58" i="67" s="1"/>
  <c r="AG73" i="66"/>
  <c r="AG51" i="66"/>
  <c r="AE68" i="66"/>
  <c r="AF68" i="66" s="1"/>
  <c r="AH68" i="66" s="1"/>
  <c r="AG69" i="67"/>
  <c r="AG53" i="67"/>
  <c r="AG45" i="67"/>
  <c r="AG65" i="66"/>
  <c r="AE55" i="66"/>
  <c r="AF55" i="66" s="1"/>
  <c r="AH55" i="66" s="1"/>
  <c r="AG61" i="66"/>
  <c r="AE51" i="66"/>
  <c r="AF51" i="66" s="1"/>
  <c r="AH51" i="66" s="1"/>
  <c r="AG72" i="67"/>
  <c r="AE67" i="67"/>
  <c r="AF67" i="67" s="1"/>
  <c r="AH67" i="67" s="1"/>
  <c r="AG58" i="66"/>
  <c r="AE60" i="66"/>
  <c r="AF60" i="66" s="1"/>
  <c r="AH60" i="66" s="1"/>
  <c r="AG61" i="67"/>
  <c r="AE72" i="67"/>
  <c r="AF72" i="67" s="1"/>
  <c r="AH72" i="67" s="1"/>
  <c r="AE64" i="67"/>
  <c r="AF64" i="67" s="1"/>
  <c r="AH64" i="67" s="1"/>
  <c r="AE56" i="67"/>
  <c r="AF56" i="67" s="1"/>
  <c r="AH56" i="67" s="1"/>
  <c r="AE48" i="67"/>
  <c r="AF48" i="67" s="1"/>
  <c r="AH48" i="67" s="1"/>
  <c r="AG70" i="67"/>
  <c r="AG62" i="67"/>
  <c r="AG54" i="67"/>
  <c r="AG46" i="67"/>
  <c r="AE73" i="67"/>
  <c r="AF73" i="67" s="1"/>
  <c r="AH73" i="67" s="1"/>
  <c r="AE65" i="67"/>
  <c r="AF65" i="67" s="1"/>
  <c r="AH65" i="67" s="1"/>
  <c r="AE57" i="67"/>
  <c r="AF57" i="67" s="1"/>
  <c r="AH57" i="67" s="1"/>
  <c r="AE49" i="67"/>
  <c r="AF49" i="67" s="1"/>
  <c r="AH49" i="67" s="1"/>
  <c r="AG50" i="66"/>
  <c r="AG52" i="66"/>
  <c r="AG60" i="66"/>
  <c r="AG68" i="66"/>
  <c r="AE46" i="66"/>
  <c r="AF46" i="66" s="1"/>
  <c r="AH46" i="66" s="1"/>
  <c r="AE54" i="66"/>
  <c r="AF54" i="66" s="1"/>
  <c r="AH54" i="66" s="1"/>
  <c r="AE62" i="66"/>
  <c r="AF62" i="66" s="1"/>
  <c r="AH62" i="66" s="1"/>
  <c r="AE70" i="66"/>
  <c r="AF70" i="66" s="1"/>
  <c r="AH70" i="66" s="1"/>
  <c r="AG69" i="66"/>
  <c r="AE47" i="66"/>
  <c r="AF47" i="66" s="1"/>
  <c r="AH47" i="66" s="1"/>
  <c r="AE66" i="67"/>
  <c r="AF66" i="67" s="1"/>
  <c r="AH66" i="67" s="1"/>
  <c r="AE44" i="66"/>
  <c r="AF44" i="66" s="1"/>
  <c r="AG59" i="67"/>
  <c r="AE63" i="66"/>
  <c r="AF63" i="66" s="1"/>
  <c r="AH63" i="66" s="1"/>
  <c r="AE59" i="66"/>
  <c r="AF59" i="66" s="1"/>
  <c r="AH59" i="66" s="1"/>
  <c r="AG59" i="66"/>
  <c r="AE49" i="66"/>
  <c r="AF49" i="66" s="1"/>
  <c r="AH49" i="66" s="1"/>
  <c r="AE71" i="66"/>
  <c r="AF71" i="66" s="1"/>
  <c r="AH71" i="66" s="1"/>
  <c r="AG49" i="66"/>
  <c r="AE53" i="66"/>
  <c r="AF53" i="66" s="1"/>
  <c r="AH53" i="66" s="1"/>
  <c r="AG71" i="66"/>
  <c r="AG64" i="67"/>
  <c r="AE51" i="67"/>
  <c r="AF51" i="67" s="1"/>
  <c r="AH51" i="67" s="1"/>
  <c r="AE52" i="66"/>
  <c r="AF52" i="66" s="1"/>
  <c r="AH52" i="66" s="1"/>
  <c r="AG67" i="67"/>
  <c r="AG51" i="67"/>
  <c r="AE70" i="67"/>
  <c r="AF70" i="67" s="1"/>
  <c r="AH70" i="67" s="1"/>
  <c r="AE62" i="67"/>
  <c r="AF62" i="67" s="1"/>
  <c r="AH62" i="67" s="1"/>
  <c r="AE54" i="67"/>
  <c r="AF54" i="67" s="1"/>
  <c r="AH54" i="67" s="1"/>
  <c r="AE46" i="67"/>
  <c r="AF46" i="67" s="1"/>
  <c r="AH46" i="67" s="1"/>
  <c r="AG68" i="67"/>
  <c r="AG60" i="67"/>
  <c r="AG52" i="67"/>
  <c r="AG44" i="67"/>
  <c r="AE71" i="67"/>
  <c r="AF71" i="67" s="1"/>
  <c r="AH71" i="67" s="1"/>
  <c r="AE63" i="67"/>
  <c r="AF63" i="67" s="1"/>
  <c r="AH63" i="67" s="1"/>
  <c r="AE55" i="67"/>
  <c r="AF55" i="67" s="1"/>
  <c r="AH55" i="67" s="1"/>
  <c r="AE47" i="67"/>
  <c r="AF47" i="67" s="1"/>
  <c r="AH47" i="67" s="1"/>
  <c r="AG46" i="66"/>
  <c r="AG54" i="66"/>
  <c r="AG62" i="66"/>
  <c r="AG70" i="66"/>
  <c r="AE48" i="66"/>
  <c r="AF48" i="66" s="1"/>
  <c r="AH48" i="66" s="1"/>
  <c r="AE56" i="66"/>
  <c r="AF56" i="66" s="1"/>
  <c r="AH56" i="66" s="1"/>
  <c r="AE64" i="66"/>
  <c r="AF64" i="66" s="1"/>
  <c r="AH64" i="66" s="1"/>
  <c r="AE72" i="66"/>
  <c r="AF72" i="66" s="1"/>
  <c r="AH72" i="66" s="1"/>
  <c r="AG48" i="66"/>
  <c r="AE67" i="66"/>
  <c r="AF67" i="66" s="1"/>
  <c r="AH67" i="66" s="1"/>
  <c r="AE50" i="67"/>
  <c r="AF50" i="67" s="1"/>
  <c r="AH50" i="67" s="1"/>
  <c r="AG66" i="66"/>
  <c r="AG57" i="67"/>
  <c r="AG63" i="66"/>
  <c r="AG55" i="66"/>
  <c r="AE69" i="66"/>
  <c r="AF69" i="66" s="1"/>
  <c r="AH69" i="66" s="1"/>
  <c r="AG48" i="67"/>
  <c r="AE73" i="66"/>
  <c r="AF73" i="66" s="1"/>
  <c r="AH73" i="66" s="1"/>
  <c r="AG49" i="67"/>
  <c r="AE68" i="67"/>
  <c r="AF68" i="67" s="1"/>
  <c r="AH68" i="67" s="1"/>
  <c r="AE60" i="67"/>
  <c r="AF60" i="67" s="1"/>
  <c r="AH60" i="67" s="1"/>
  <c r="AE52" i="67"/>
  <c r="AF52" i="67" s="1"/>
  <c r="AH52" i="67" s="1"/>
  <c r="AE44" i="67"/>
  <c r="AF44" i="67" s="1"/>
  <c r="AG66" i="67"/>
  <c r="AG58" i="67"/>
  <c r="AG50" i="67"/>
  <c r="AE69" i="67"/>
  <c r="AF69" i="67" s="1"/>
  <c r="AH69" i="67" s="1"/>
  <c r="AE61" i="67"/>
  <c r="AF61" i="67" s="1"/>
  <c r="AH61" i="67" s="1"/>
  <c r="AE53" i="67"/>
  <c r="AF53" i="67" s="1"/>
  <c r="AH53" i="67" s="1"/>
  <c r="AE45" i="67"/>
  <c r="AF45" i="67" s="1"/>
  <c r="AH45" i="67" s="1"/>
  <c r="AE45" i="66"/>
  <c r="AF45" i="66" s="1"/>
  <c r="AH45" i="66" s="1"/>
  <c r="AG45" i="66"/>
  <c r="AE57" i="66"/>
  <c r="AF57" i="66" s="1"/>
  <c r="AH57" i="66" s="1"/>
  <c r="AG56" i="66"/>
  <c r="AG64" i="66"/>
  <c r="AG72" i="66"/>
  <c r="AE50" i="66"/>
  <c r="AF50" i="66" s="1"/>
  <c r="AH50" i="66" s="1"/>
  <c r="AE58" i="66"/>
  <c r="AF58" i="66" s="1"/>
  <c r="AH58" i="66" s="1"/>
  <c r="AE66" i="66"/>
  <c r="AF66" i="66" s="1"/>
  <c r="AH66" i="66" s="1"/>
  <c r="AG56" i="67"/>
  <c r="AE59" i="67"/>
  <c r="AF59" i="67" s="1"/>
  <c r="AH59" i="67" s="1"/>
  <c r="AG57" i="66"/>
  <c r="AG65" i="67"/>
  <c r="AG71" i="67"/>
  <c r="AG63" i="67"/>
  <c r="AG55" i="67"/>
  <c r="AG47" i="67"/>
  <c r="AG53" i="66"/>
  <c r="AE61" i="66"/>
  <c r="AF61" i="66" s="1"/>
  <c r="AH61" i="66" s="1"/>
  <c r="AG44" i="66"/>
  <c r="AE65" i="66"/>
  <c r="AF65" i="66" s="1"/>
  <c r="AH65" i="66" s="1"/>
  <c r="AG47" i="66"/>
  <c r="AG51" i="65"/>
  <c r="AG71" i="65"/>
  <c r="AG55" i="65"/>
  <c r="AG47" i="65"/>
  <c r="AG59" i="65"/>
  <c r="AG63" i="65"/>
  <c r="AE70" i="65"/>
  <c r="AF70" i="65" s="1"/>
  <c r="AH70" i="65" s="1"/>
  <c r="AE62" i="65"/>
  <c r="AF62" i="65" s="1"/>
  <c r="AH62" i="65" s="1"/>
  <c r="AE54" i="65"/>
  <c r="AE46" i="65"/>
  <c r="AG68" i="65"/>
  <c r="AG60" i="65"/>
  <c r="AG52" i="65"/>
  <c r="AG44" i="65"/>
  <c r="AE73" i="65"/>
  <c r="AF73" i="65" s="1"/>
  <c r="AH73" i="65" s="1"/>
  <c r="AE65" i="65"/>
  <c r="AF65" i="65" s="1"/>
  <c r="AH65" i="65" s="1"/>
  <c r="AE57" i="65"/>
  <c r="AE49" i="65"/>
  <c r="AG67" i="65"/>
  <c r="AG49" i="65"/>
  <c r="AG69" i="65"/>
  <c r="AG53" i="65"/>
  <c r="AG45" i="65"/>
  <c r="AG57" i="65"/>
  <c r="AG61" i="65"/>
  <c r="AE68" i="65"/>
  <c r="AF68" i="65" s="1"/>
  <c r="AH68" i="65" s="1"/>
  <c r="AE60" i="65"/>
  <c r="AF60" i="65" s="1"/>
  <c r="AH60" i="65" s="1"/>
  <c r="AE52" i="65"/>
  <c r="AE44" i="65"/>
  <c r="AF44" i="65" s="1"/>
  <c r="AG66" i="65"/>
  <c r="AG58" i="65"/>
  <c r="AG50" i="65"/>
  <c r="AE71" i="65"/>
  <c r="AF71" i="65" s="1"/>
  <c r="AH71" i="65" s="1"/>
  <c r="AE63" i="65"/>
  <c r="AF63" i="65" s="1"/>
  <c r="AH63" i="65" s="1"/>
  <c r="AE55" i="65"/>
  <c r="AE47" i="65"/>
  <c r="AE66" i="65"/>
  <c r="AF66" i="65" s="1"/>
  <c r="AH66" i="65" s="1"/>
  <c r="AE58" i="65"/>
  <c r="AE50" i="65"/>
  <c r="AG72" i="65"/>
  <c r="AG64" i="65"/>
  <c r="AG56" i="65"/>
  <c r="AG48" i="65"/>
  <c r="AE69" i="65"/>
  <c r="AF69" i="65" s="1"/>
  <c r="AH69" i="65" s="1"/>
  <c r="AE61" i="65"/>
  <c r="AF61" i="65" s="1"/>
  <c r="AH61" i="65" s="1"/>
  <c r="AE53" i="65"/>
  <c r="AE45" i="65"/>
  <c r="AF45" i="65" s="1"/>
  <c r="AH45" i="65" s="1"/>
  <c r="AG65" i="65"/>
  <c r="AE72" i="65"/>
  <c r="AF72" i="65" s="1"/>
  <c r="AH72" i="65" s="1"/>
  <c r="AE64" i="65"/>
  <c r="AF64" i="65" s="1"/>
  <c r="AH64" i="65" s="1"/>
  <c r="AE56" i="65"/>
  <c r="AE48" i="65"/>
  <c r="AG70" i="65"/>
  <c r="AG62" i="65"/>
  <c r="AG54" i="65"/>
  <c r="AG46" i="65"/>
  <c r="AE67" i="65"/>
  <c r="AF67" i="65" s="1"/>
  <c r="AH67" i="65" s="1"/>
  <c r="AE59" i="65"/>
  <c r="AF59" i="65" s="1"/>
  <c r="AH59" i="65" s="1"/>
  <c r="AE51" i="65"/>
  <c r="AF51" i="65" s="1"/>
  <c r="AH51" i="65" s="1"/>
  <c r="E6" i="4"/>
  <c r="F6" i="4"/>
  <c r="G6" i="4"/>
  <c r="H6" i="4"/>
  <c r="I6" i="4"/>
  <c r="J6" i="4"/>
  <c r="D6" i="4"/>
  <c r="U68" i="47"/>
  <c r="U67" i="47"/>
  <c r="U66" i="47"/>
  <c r="U59" i="47"/>
  <c r="U46" i="47"/>
  <c r="W42" i="47"/>
  <c r="V42" i="47"/>
  <c r="U42" i="47"/>
  <c r="T42" i="47"/>
  <c r="S42" i="47"/>
  <c r="R42" i="47"/>
  <c r="Q42" i="47"/>
  <c r="P42" i="47"/>
  <c r="O42" i="47"/>
  <c r="N42" i="47"/>
  <c r="M42" i="47"/>
  <c r="L42" i="47"/>
  <c r="K42" i="47"/>
  <c r="J42" i="47"/>
  <c r="I42" i="47"/>
  <c r="H42" i="47"/>
  <c r="G42" i="47"/>
  <c r="F42" i="47"/>
  <c r="E42" i="47"/>
  <c r="D42" i="47"/>
  <c r="AF39" i="47"/>
  <c r="F39" i="47"/>
  <c r="D38" i="47"/>
  <c r="H38" i="47" s="1"/>
  <c r="AC34" i="47"/>
  <c r="B33" i="47"/>
  <c r="AA3" i="47"/>
  <c r="B2" i="47"/>
  <c r="M21" i="13"/>
  <c r="AF40" i="66" l="1"/>
  <c r="AH44" i="66"/>
  <c r="AH44" i="67"/>
  <c r="AF40" i="67"/>
  <c r="AF48" i="65"/>
  <c r="AH48" i="65" s="1"/>
  <c r="AF50" i="65"/>
  <c r="AH50" i="65" s="1"/>
  <c r="AF53" i="65"/>
  <c r="AH53" i="65" s="1"/>
  <c r="AF58" i="65"/>
  <c r="AH58" i="65" s="1"/>
  <c r="AH44" i="65"/>
  <c r="AF47" i="65"/>
  <c r="AH47" i="65" s="1"/>
  <c r="AF52" i="65"/>
  <c r="AH52" i="65" s="1"/>
  <c r="AF56" i="65"/>
  <c r="AH56" i="65" s="1"/>
  <c r="AF55" i="65"/>
  <c r="AH55" i="65" s="1"/>
  <c r="AF49" i="65"/>
  <c r="AH49" i="65" s="1"/>
  <c r="AF46" i="65"/>
  <c r="AH46" i="65" s="1"/>
  <c r="AF57" i="65"/>
  <c r="AH57" i="65" s="1"/>
  <c r="AF54" i="65"/>
  <c r="AH54" i="65" s="1"/>
  <c r="F38" i="47"/>
  <c r="AF40" i="65" l="1"/>
  <c r="B2" i="11"/>
  <c r="B2" i="10"/>
  <c r="H73" i="68"/>
  <c r="AB69" i="68"/>
  <c r="H50" i="68"/>
  <c r="W60" i="68"/>
  <c r="W63" i="68"/>
  <c r="H55" i="68"/>
  <c r="AB51" i="68"/>
  <c r="Y64" i="68"/>
  <c r="Y46" i="68"/>
  <c r="Z71" i="68"/>
  <c r="Z50" i="68"/>
  <c r="AB73" i="68"/>
  <c r="H54" i="68"/>
  <c r="Y68" i="68"/>
  <c r="W64" i="68"/>
  <c r="Y45" i="68"/>
  <c r="Z65" i="68"/>
  <c r="AB63" i="68"/>
  <c r="X72" i="68"/>
  <c r="Z63" i="68"/>
  <c r="F72" i="68"/>
  <c r="X67" i="68"/>
  <c r="X65" i="68"/>
  <c r="X61" i="68"/>
  <c r="X59" i="68"/>
  <c r="AB56" i="68"/>
  <c r="O20" i="67"/>
  <c r="L30" i="67"/>
  <c r="P25" i="66"/>
  <c r="X30" i="67"/>
  <c r="F25" i="67"/>
  <c r="E20" i="66"/>
  <c r="R30" i="67"/>
  <c r="X25" i="67"/>
  <c r="Q15" i="66"/>
  <c r="J30" i="67"/>
  <c r="T10" i="67"/>
  <c r="U10" i="66"/>
  <c r="P20" i="67"/>
  <c r="W25" i="67"/>
  <c r="D10" i="66"/>
  <c r="H20" i="67"/>
  <c r="R10" i="67"/>
  <c r="M30" i="66"/>
  <c r="T15" i="67"/>
  <c r="G25" i="67"/>
  <c r="E30" i="66"/>
  <c r="K15" i="67"/>
  <c r="U15" i="67"/>
  <c r="Q25" i="66"/>
  <c r="Z57" i="47"/>
  <c r="W53" i="47"/>
  <c r="Y49" i="47"/>
  <c r="Z51" i="47"/>
  <c r="X54" i="47"/>
  <c r="AB58" i="47"/>
  <c r="AB57" i="47"/>
  <c r="Z50" i="47"/>
  <c r="H54" i="47"/>
  <c r="H55" i="47"/>
  <c r="H65" i="68"/>
  <c r="AB61" i="68"/>
  <c r="W71" i="68"/>
  <c r="W52" i="68"/>
  <c r="Z56" i="68"/>
  <c r="H47" i="68"/>
  <c r="Z73" i="68"/>
  <c r="X70" i="68"/>
  <c r="X68" i="68"/>
  <c r="Z55" i="68"/>
  <c r="H69" i="68"/>
  <c r="AB65" i="68"/>
  <c r="H46" i="68"/>
  <c r="Y60" i="68"/>
  <c r="W56" i="68"/>
  <c r="Z62" i="68"/>
  <c r="Z49" i="68"/>
  <c r="AB70" i="68"/>
  <c r="X64" i="68"/>
  <c r="Z47" i="68"/>
  <c r="X47" i="68"/>
  <c r="F70" i="68"/>
  <c r="F68" i="68"/>
  <c r="F64" i="68"/>
  <c r="F62" i="68"/>
  <c r="W57" i="68"/>
  <c r="E25" i="67"/>
  <c r="U25" i="67"/>
  <c r="T30" i="66"/>
  <c r="G20" i="67"/>
  <c r="J25" i="67"/>
  <c r="H25" i="66"/>
  <c r="O30" i="67"/>
  <c r="R15" i="67"/>
  <c r="P15" i="66"/>
  <c r="G30" i="67"/>
  <c r="U30" i="67"/>
  <c r="H15" i="66"/>
  <c r="T25" i="67"/>
  <c r="H30" i="67"/>
  <c r="T10" i="66"/>
  <c r="K25" i="67"/>
  <c r="AA28" i="67"/>
  <c r="K10" i="66"/>
  <c r="AA24" i="67"/>
  <c r="P30" i="67"/>
  <c r="U30" i="66"/>
  <c r="X20" i="67"/>
  <c r="W30" i="67"/>
  <c r="D30" i="66"/>
  <c r="H56" i="47"/>
  <c r="Y57" i="47"/>
  <c r="F54" i="47"/>
  <c r="H50" i="47"/>
  <c r="AB53" i="47"/>
  <c r="Y56" i="47"/>
  <c r="W58" i="47"/>
  <c r="H49" i="47"/>
  <c r="X53" i="47"/>
  <c r="AB54" i="47"/>
  <c r="X50" i="47"/>
  <c r="X56" i="47"/>
  <c r="K30" i="67"/>
  <c r="M10" i="66"/>
  <c r="O15" i="67"/>
  <c r="J25" i="66"/>
  <c r="AB50" i="47"/>
  <c r="H57" i="68"/>
  <c r="AB53" i="68"/>
  <c r="Y72" i="68"/>
  <c r="W44" i="68"/>
  <c r="Y56" i="68"/>
  <c r="F69" i="68"/>
  <c r="Z57" i="68"/>
  <c r="AB66" i="68"/>
  <c r="X60" i="68"/>
  <c r="Y71" i="68"/>
  <c r="H61" i="68"/>
  <c r="AB57" i="68"/>
  <c r="AB68" i="68"/>
  <c r="Y52" i="68"/>
  <c r="W48" i="68"/>
  <c r="H59" i="68"/>
  <c r="H68" i="68"/>
  <c r="AB62" i="68"/>
  <c r="X56" i="68"/>
  <c r="Y67" i="68"/>
  <c r="F44" i="68"/>
  <c r="X51" i="68"/>
  <c r="W73" i="68"/>
  <c r="AB44" i="68"/>
  <c r="W47" i="68"/>
  <c r="AB58" i="68"/>
  <c r="N15" i="67"/>
  <c r="H10" i="66"/>
  <c r="O25" i="66"/>
  <c r="I20" i="67"/>
  <c r="J30" i="66"/>
  <c r="K30" i="66"/>
  <c r="W20" i="67"/>
  <c r="R25" i="67"/>
  <c r="U20" i="66"/>
  <c r="N20" i="67"/>
  <c r="D30" i="67"/>
  <c r="D20" i="66"/>
  <c r="F20" i="67"/>
  <c r="F30" i="67"/>
  <c r="X15" i="66"/>
  <c r="Q15" i="67"/>
  <c r="D25" i="67"/>
  <c r="G15" i="66"/>
  <c r="I15" i="67"/>
  <c r="N30" i="67"/>
  <c r="J10" i="66"/>
  <c r="U10" i="67"/>
  <c r="L25" i="67"/>
  <c r="F15" i="66"/>
  <c r="X55" i="47"/>
  <c r="F56" i="47"/>
  <c r="H58" i="47"/>
  <c r="X49" i="47"/>
  <c r="Y51" i="47"/>
  <c r="F55" i="47"/>
  <c r="H57" i="47"/>
  <c r="AB49" i="47"/>
  <c r="AB52" i="47"/>
  <c r="P10" i="66"/>
  <c r="X57" i="47"/>
  <c r="F50" i="47"/>
  <c r="Z58" i="47"/>
  <c r="J20" i="67"/>
  <c r="F15" i="67"/>
  <c r="I30" i="67"/>
  <c r="N30" i="66"/>
  <c r="Z49" i="47"/>
  <c r="W51" i="47"/>
  <c r="H67" i="68"/>
  <c r="H49" i="68"/>
  <c r="AB45" i="68"/>
  <c r="Y48" i="68"/>
  <c r="Z59" i="68"/>
  <c r="W67" i="68"/>
  <c r="F61" i="68"/>
  <c r="H72" i="68"/>
  <c r="Z68" i="68"/>
  <c r="X52" i="68"/>
  <c r="Y63" i="68"/>
  <c r="H53" i="68"/>
  <c r="AB49" i="68"/>
  <c r="W65" i="68"/>
  <c r="Y44" i="68"/>
  <c r="Z67" i="68"/>
  <c r="F65" i="68"/>
  <c r="H60" i="68"/>
  <c r="Z60" i="68"/>
  <c r="X48" i="68"/>
  <c r="Y59" i="68"/>
  <c r="AB46" i="68"/>
  <c r="X55" i="68"/>
  <c r="X45" i="68"/>
  <c r="F46" i="68"/>
  <c r="W51" i="68"/>
  <c r="W59" i="68"/>
  <c r="N25" i="67"/>
  <c r="G10" i="66"/>
  <c r="F30" i="66"/>
  <c r="P10" i="67"/>
  <c r="Q30" i="66"/>
  <c r="X25" i="66"/>
  <c r="P15" i="67"/>
  <c r="W25" i="66"/>
  <c r="T20" i="66"/>
  <c r="D15" i="67"/>
  <c r="N25" i="66"/>
  <c r="W15" i="66"/>
  <c r="Q10" i="67"/>
  <c r="J20" i="66"/>
  <c r="N15" i="66"/>
  <c r="I10" i="67"/>
  <c r="M15" i="66"/>
  <c r="K20" i="66"/>
  <c r="Q25" i="67"/>
  <c r="E15" i="66"/>
  <c r="Q10" i="66"/>
  <c r="E20" i="67"/>
  <c r="I10" i="66"/>
  <c r="W55" i="47"/>
  <c r="W54" i="47"/>
  <c r="Y50" i="47"/>
  <c r="U20" i="67"/>
  <c r="E10" i="66"/>
  <c r="G15" i="67"/>
  <c r="W52" i="47"/>
  <c r="F73" i="68"/>
  <c r="F71" i="68"/>
  <c r="Z61" i="68"/>
  <c r="X62" i="68"/>
  <c r="Y73" i="68"/>
  <c r="Z70" i="68"/>
  <c r="F53" i="68"/>
  <c r="H64" i="68"/>
  <c r="Z52" i="68"/>
  <c r="X44" i="68"/>
  <c r="Y55" i="68"/>
  <c r="H45" i="68"/>
  <c r="Z69" i="68"/>
  <c r="AB72" i="68"/>
  <c r="X66" i="68"/>
  <c r="Z51" i="68"/>
  <c r="F49" i="68"/>
  <c r="H52" i="68"/>
  <c r="Z44" i="68"/>
  <c r="W70" i="68"/>
  <c r="Y51" i="68"/>
  <c r="F48" i="68"/>
  <c r="X71" i="68"/>
  <c r="X49" i="68"/>
  <c r="AB48" i="68"/>
  <c r="W55" i="68"/>
  <c r="AB60" i="68"/>
  <c r="W15" i="67"/>
  <c r="K15" i="66"/>
  <c r="L10" i="66"/>
  <c r="R20" i="67"/>
  <c r="P30" i="66"/>
  <c r="I25" i="66"/>
  <c r="H10" i="67"/>
  <c r="M25" i="66"/>
  <c r="G25" i="66"/>
  <c r="O25" i="67"/>
  <c r="E25" i="66"/>
  <c r="L20" i="66"/>
  <c r="T20" i="67"/>
  <c r="Q20" i="66"/>
  <c r="R25" i="66"/>
  <c r="M15" i="67"/>
  <c r="U15" i="66"/>
  <c r="F25" i="66"/>
  <c r="O10" i="67"/>
  <c r="X10" i="66"/>
  <c r="O30" i="66"/>
  <c r="G10" i="67"/>
  <c r="D15" i="66"/>
  <c r="L30" i="66"/>
  <c r="Y52" i="47"/>
  <c r="Z54" i="47"/>
  <c r="AB56" i="47"/>
  <c r="F58" i="47"/>
  <c r="W49" i="47"/>
  <c r="Z53" i="47"/>
  <c r="AB55" i="47"/>
  <c r="Y58" i="47"/>
  <c r="F49" i="47"/>
  <c r="F57" i="47"/>
  <c r="W56" i="47"/>
  <c r="F47" i="68"/>
  <c r="Y49" i="68"/>
  <c r="AB59" i="68"/>
  <c r="Y54" i="68"/>
  <c r="Z66" i="68"/>
  <c r="Z48" i="68"/>
  <c r="Y53" i="68"/>
  <c r="Y50" i="68"/>
  <c r="W46" i="68"/>
  <c r="W53" i="68"/>
  <c r="X73" i="68"/>
  <c r="M20" i="66"/>
  <c r="J15" i="66"/>
  <c r="D20" i="67"/>
  <c r="W30" i="66"/>
  <c r="H51" i="47"/>
  <c r="W69" i="68"/>
  <c r="F63" i="68"/>
  <c r="Z45" i="68"/>
  <c r="X54" i="68"/>
  <c r="Y65" i="68"/>
  <c r="Z54" i="68"/>
  <c r="F45" i="68"/>
  <c r="H56" i="68"/>
  <c r="Y70" i="68"/>
  <c r="W66" i="68"/>
  <c r="Y47" i="68"/>
  <c r="F67" i="68"/>
  <c r="Z53" i="68"/>
  <c r="AB64" i="68"/>
  <c r="X58" i="68"/>
  <c r="Y69" i="68"/>
  <c r="AB71" i="68"/>
  <c r="H44" i="68"/>
  <c r="Y66" i="68"/>
  <c r="W62" i="68"/>
  <c r="F58" i="68"/>
  <c r="AB50" i="68"/>
  <c r="W45" i="68"/>
  <c r="X53" i="68"/>
  <c r="F50" i="68"/>
  <c r="X57" i="68"/>
  <c r="P25" i="67"/>
  <c r="H15" i="67"/>
  <c r="X20" i="66"/>
  <c r="F10" i="66"/>
  <c r="J15" i="67"/>
  <c r="W10" i="66"/>
  <c r="R15" i="66"/>
  <c r="L15" i="67"/>
  <c r="H30" i="66"/>
  <c r="O10" i="66"/>
  <c r="N10" i="67"/>
  <c r="U25" i="66"/>
  <c r="L25" i="66"/>
  <c r="F10" i="67"/>
  <c r="D25" i="66"/>
  <c r="AA28" i="66"/>
  <c r="Q30" i="67"/>
  <c r="P20" i="66"/>
  <c r="L15" i="66"/>
  <c r="M25" i="67"/>
  <c r="H20" i="66"/>
  <c r="O15" i="66"/>
  <c r="Q20" i="67"/>
  <c r="T15" i="66"/>
  <c r="R30" i="66"/>
  <c r="F51" i="47"/>
  <c r="H53" i="47"/>
  <c r="Y54" i="47"/>
  <c r="W57" i="47"/>
  <c r="X58" i="47"/>
  <c r="H52" i="47"/>
  <c r="Y53" i="47"/>
  <c r="Z58" i="68"/>
  <c r="W68" i="68"/>
  <c r="Z46" i="68"/>
  <c r="W50" i="68"/>
  <c r="H62" i="68"/>
  <c r="AB47" i="68"/>
  <c r="X69" i="68"/>
  <c r="F66" i="68"/>
  <c r="W10" i="67"/>
  <c r="N20" i="66"/>
  <c r="L20" i="67"/>
  <c r="X15" i="67"/>
  <c r="J10" i="67"/>
  <c r="Z52" i="47"/>
  <c r="W61" i="68"/>
  <c r="F55" i="68"/>
  <c r="H66" i="68"/>
  <c r="X46" i="68"/>
  <c r="Y57" i="68"/>
  <c r="H71" i="68"/>
  <c r="AB67" i="68"/>
  <c r="H48" i="68"/>
  <c r="Y62" i="68"/>
  <c r="W58" i="68"/>
  <c r="Z72" i="68"/>
  <c r="F59" i="68"/>
  <c r="H70" i="68"/>
  <c r="Z64" i="68"/>
  <c r="X50" i="68"/>
  <c r="Y61" i="68"/>
  <c r="AB55" i="68"/>
  <c r="H51" i="68"/>
  <c r="Y58" i="68"/>
  <c r="W54" i="68"/>
  <c r="F56" i="68"/>
  <c r="F52" i="68"/>
  <c r="W49" i="68"/>
  <c r="X63" i="68"/>
  <c r="AB52" i="68"/>
  <c r="F60" i="68"/>
  <c r="T30" i="67"/>
  <c r="E30" i="67"/>
  <c r="W20" i="66"/>
  <c r="H25" i="67"/>
  <c r="L10" i="67"/>
  <c r="G20" i="66"/>
  <c r="I30" i="66"/>
  <c r="X10" i="67"/>
  <c r="N10" i="66"/>
  <c r="I20" i="66"/>
  <c r="M10" i="67"/>
  <c r="X30" i="66"/>
  <c r="F20" i="66"/>
  <c r="E10" i="67"/>
  <c r="G30" i="66"/>
  <c r="R20" i="66"/>
  <c r="M30" i="67"/>
  <c r="T25" i="66"/>
  <c r="R10" i="66"/>
  <c r="I25" i="67"/>
  <c r="K25" i="66"/>
  <c r="I15" i="66"/>
  <c r="M20" i="67"/>
  <c r="AA24" i="66"/>
  <c r="O20" i="66"/>
  <c r="W50" i="47"/>
  <c r="X52" i="47"/>
  <c r="F53" i="47"/>
  <c r="Z56" i="47"/>
  <c r="Y55" i="47"/>
  <c r="X51" i="47"/>
  <c r="F52" i="47"/>
  <c r="H58" i="68"/>
  <c r="H63" i="68"/>
  <c r="F51" i="68"/>
  <c r="W72" i="68"/>
  <c r="F57" i="68"/>
  <c r="AB54" i="68"/>
  <c r="F54" i="68"/>
  <c r="K10" i="67"/>
  <c r="D10" i="67"/>
  <c r="E15" i="67"/>
  <c r="K20" i="67"/>
  <c r="AB51" i="47"/>
  <c r="Z55" i="47"/>
  <c r="AG59" i="68" l="1"/>
  <c r="AG57" i="68"/>
  <c r="AE73" i="68"/>
  <c r="AF73" i="68" s="1"/>
  <c r="AH73" i="68" s="1"/>
  <c r="AE57" i="68"/>
  <c r="AF57" i="68" s="1"/>
  <c r="AH57" i="68" s="1"/>
  <c r="AG55" i="68"/>
  <c r="AG51" i="68"/>
  <c r="AG47" i="68"/>
  <c r="AE59" i="68"/>
  <c r="AF59" i="68" s="1"/>
  <c r="AH59" i="68" s="1"/>
  <c r="AE61" i="68"/>
  <c r="AF61" i="68" s="1"/>
  <c r="AH61" i="68" s="1"/>
  <c r="AE63" i="68"/>
  <c r="AF63" i="68" s="1"/>
  <c r="AH63" i="68" s="1"/>
  <c r="AE53" i="68"/>
  <c r="AF53" i="68" s="1"/>
  <c r="AH53" i="68" s="1"/>
  <c r="AE49" i="68"/>
  <c r="AF49" i="68" s="1"/>
  <c r="AH49" i="68" s="1"/>
  <c r="AE45" i="68"/>
  <c r="AG73" i="68"/>
  <c r="AE65" i="68"/>
  <c r="AF65" i="68" s="1"/>
  <c r="AH65" i="68" s="1"/>
  <c r="AG53" i="68"/>
  <c r="AG49" i="68"/>
  <c r="AG45" i="68"/>
  <c r="AE71" i="68"/>
  <c r="AF71" i="68" s="1"/>
  <c r="AH71" i="68" s="1"/>
  <c r="AE55" i="68"/>
  <c r="AF55" i="68" s="1"/>
  <c r="AH55" i="68" s="1"/>
  <c r="AE51" i="68"/>
  <c r="AF51" i="68" s="1"/>
  <c r="AH51" i="68" s="1"/>
  <c r="AE67" i="68"/>
  <c r="AF67" i="68" s="1"/>
  <c r="AH67" i="68" s="1"/>
  <c r="AE47" i="68"/>
  <c r="AF47" i="68" s="1"/>
  <c r="AH47" i="68" s="1"/>
  <c r="AE69" i="68"/>
  <c r="AF69" i="68" s="1"/>
  <c r="AH69" i="68" s="1"/>
  <c r="AG46" i="68"/>
  <c r="AG54" i="68"/>
  <c r="AG62" i="68"/>
  <c r="AG70" i="68"/>
  <c r="AE48" i="68"/>
  <c r="AF48" i="68" s="1"/>
  <c r="AH48" i="68" s="1"/>
  <c r="AE56" i="68"/>
  <c r="AF56" i="68" s="1"/>
  <c r="AH56" i="68" s="1"/>
  <c r="AE64" i="68"/>
  <c r="AF64" i="68" s="1"/>
  <c r="AH64" i="68" s="1"/>
  <c r="AE72" i="68"/>
  <c r="AF72" i="68" s="1"/>
  <c r="AH72" i="68" s="1"/>
  <c r="AG48" i="68"/>
  <c r="AG56" i="68"/>
  <c r="AG64" i="68"/>
  <c r="AG72" i="68"/>
  <c r="AE50" i="68"/>
  <c r="AF50" i="68" s="1"/>
  <c r="AH50" i="68" s="1"/>
  <c r="AE58" i="68"/>
  <c r="AF58" i="68" s="1"/>
  <c r="AH58" i="68" s="1"/>
  <c r="AE66" i="68"/>
  <c r="AF66" i="68" s="1"/>
  <c r="AH66" i="68" s="1"/>
  <c r="AG65" i="68"/>
  <c r="AG50" i="68"/>
  <c r="AG58" i="68"/>
  <c r="AG66" i="68"/>
  <c r="AE44" i="68"/>
  <c r="AF44" i="68" s="1"/>
  <c r="AE52" i="68"/>
  <c r="AF52" i="68" s="1"/>
  <c r="AH52" i="68" s="1"/>
  <c r="AE60" i="68"/>
  <c r="AF60" i="68" s="1"/>
  <c r="AH60" i="68" s="1"/>
  <c r="AE68" i="68"/>
  <c r="AF68" i="68" s="1"/>
  <c r="AH68" i="68" s="1"/>
  <c r="AE70" i="68"/>
  <c r="AF70" i="68" s="1"/>
  <c r="AH70" i="68" s="1"/>
  <c r="AG67" i="68"/>
  <c r="AG63" i="68"/>
  <c r="AG44" i="68"/>
  <c r="AG52" i="68"/>
  <c r="AG60" i="68"/>
  <c r="AG68" i="68"/>
  <c r="AE46" i="68"/>
  <c r="AF46" i="68" s="1"/>
  <c r="AH46" i="68" s="1"/>
  <c r="AE54" i="68"/>
  <c r="AF54" i="68" s="1"/>
  <c r="AH54" i="68" s="1"/>
  <c r="AE62" i="68"/>
  <c r="AF62" i="68" s="1"/>
  <c r="AH62" i="68" s="1"/>
  <c r="AG71" i="68"/>
  <c r="AG61" i="68"/>
  <c r="AG69" i="68"/>
  <c r="V15" i="67"/>
  <c r="V10" i="67"/>
  <c r="Y20" i="67"/>
  <c r="V30" i="66"/>
  <c r="Y10" i="66"/>
  <c r="V15" i="66"/>
  <c r="Y15" i="67"/>
  <c r="Y15" i="66"/>
  <c r="V10" i="66"/>
  <c r="Y30" i="66"/>
  <c r="V25" i="66"/>
  <c r="V30" i="67"/>
  <c r="V20" i="66"/>
  <c r="Y25" i="67"/>
  <c r="Y10" i="67"/>
  <c r="V20" i="67"/>
  <c r="Y25" i="66"/>
  <c r="Y30" i="67"/>
  <c r="Y20" i="66"/>
  <c r="V25" i="67"/>
  <c r="AE53" i="47"/>
  <c r="AE56" i="47"/>
  <c r="AE51" i="47"/>
  <c r="AE58" i="47"/>
  <c r="AE54" i="47"/>
  <c r="AE50" i="47"/>
  <c r="AE49" i="47"/>
  <c r="AE57" i="47"/>
  <c r="AE52" i="47"/>
  <c r="AE55" i="47"/>
  <c r="AG56" i="47"/>
  <c r="AG51" i="47"/>
  <c r="AG58" i="47"/>
  <c r="AG54" i="47"/>
  <c r="AG49" i="47"/>
  <c r="AG57" i="47"/>
  <c r="AG52" i="47"/>
  <c r="AG55" i="47"/>
  <c r="AG53" i="47"/>
  <c r="AG50" i="47"/>
  <c r="P9" i="66"/>
  <c r="M21" i="66"/>
  <c r="G19" i="66"/>
  <c r="G6" i="67"/>
  <c r="P26" i="66"/>
  <c r="D14" i="67"/>
  <c r="G14" i="67"/>
  <c r="J6" i="66"/>
  <c r="P24" i="67"/>
  <c r="P9" i="67"/>
  <c r="D29" i="66"/>
  <c r="D19" i="67"/>
  <c r="O25" i="65"/>
  <c r="T30" i="65"/>
  <c r="L20" i="65"/>
  <c r="R30" i="65"/>
  <c r="P20" i="65"/>
  <c r="L15" i="65"/>
  <c r="F20" i="65"/>
  <c r="X25" i="65"/>
  <c r="U30" i="65"/>
  <c r="L10" i="65"/>
  <c r="G30" i="65"/>
  <c r="E20" i="65"/>
  <c r="W20" i="65"/>
  <c r="G15" i="65"/>
  <c r="G20" i="65"/>
  <c r="T15" i="65"/>
  <c r="M16" i="66"/>
  <c r="G16" i="66"/>
  <c r="M6" i="67"/>
  <c r="J24" i="67"/>
  <c r="M9" i="66"/>
  <c r="D21" i="66"/>
  <c r="J6" i="67"/>
  <c r="M21" i="67"/>
  <c r="P16" i="66"/>
  <c r="J9" i="66"/>
  <c r="P21" i="67"/>
  <c r="G24" i="67"/>
  <c r="G24" i="66"/>
  <c r="Q25" i="65"/>
  <c r="W15" i="65"/>
  <c r="X20" i="65"/>
  <c r="D15" i="65"/>
  <c r="R25" i="65"/>
  <c r="M15" i="65"/>
  <c r="M10" i="65"/>
  <c r="I15" i="65"/>
  <c r="N20" i="65"/>
  <c r="M25" i="65"/>
  <c r="I30" i="65"/>
  <c r="J14" i="67"/>
  <c r="J26" i="67"/>
  <c r="F15" i="65"/>
  <c r="K10" i="65"/>
  <c r="AA28" i="65"/>
  <c r="J25" i="65"/>
  <c r="G29" i="67"/>
  <c r="M19" i="66"/>
  <c r="D24" i="67"/>
  <c r="D29" i="67"/>
  <c r="J21" i="67"/>
  <c r="M6" i="66"/>
  <c r="D24" i="66"/>
  <c r="J29" i="67"/>
  <c r="M29" i="67"/>
  <c r="P19" i="66"/>
  <c r="M19" i="67"/>
  <c r="J19" i="67"/>
  <c r="O20" i="65"/>
  <c r="Q15" i="65"/>
  <c r="L30" i="65"/>
  <c r="F30" i="65"/>
  <c r="U25" i="65"/>
  <c r="M30" i="65"/>
  <c r="P25" i="65"/>
  <c r="W10" i="65"/>
  <c r="Q30" i="65"/>
  <c r="H10" i="65"/>
  <c r="N25" i="65"/>
  <c r="I25" i="65"/>
  <c r="D16" i="66"/>
  <c r="M11" i="66"/>
  <c r="P29" i="66"/>
  <c r="D11" i="67"/>
  <c r="G11" i="67"/>
  <c r="G26" i="66"/>
  <c r="J16" i="66"/>
  <c r="M11" i="67"/>
  <c r="P16" i="67"/>
  <c r="J16" i="67"/>
  <c r="G11" i="66"/>
  <c r="P29" i="67"/>
  <c r="U20" i="65"/>
  <c r="K15" i="65"/>
  <c r="P15" i="65"/>
  <c r="E30" i="65"/>
  <c r="N15" i="65"/>
  <c r="U10" i="65"/>
  <c r="I10" i="65"/>
  <c r="L25" i="65"/>
  <c r="D25" i="65"/>
  <c r="Q10" i="65"/>
  <c r="AA24" i="65"/>
  <c r="G25" i="65"/>
  <c r="P24" i="66"/>
  <c r="D11" i="66"/>
  <c r="M24" i="66"/>
  <c r="J24" i="66"/>
  <c r="M29" i="66"/>
  <c r="J11" i="67"/>
  <c r="D6" i="67"/>
  <c r="J26" i="66"/>
  <c r="P14" i="66"/>
  <c r="D16" i="67"/>
  <c r="G9" i="66"/>
  <c r="P14" i="67"/>
  <c r="Q20" i="65"/>
  <c r="J20" i="65"/>
  <c r="P10" i="65"/>
  <c r="X10" i="65"/>
  <c r="F10" i="65"/>
  <c r="N30" i="65"/>
  <c r="J10" i="65"/>
  <c r="K20" i="65"/>
  <c r="H30" i="65"/>
  <c r="P6" i="66"/>
  <c r="E25" i="65"/>
  <c r="O15" i="65"/>
  <c r="E10" i="65"/>
  <c r="P26" i="67"/>
  <c r="M9" i="67"/>
  <c r="D26" i="67"/>
  <c r="P11" i="66"/>
  <c r="G6" i="66"/>
  <c r="G21" i="66"/>
  <c r="D26" i="66"/>
  <c r="U15" i="65"/>
  <c r="K30" i="65"/>
  <c r="M20" i="65"/>
  <c r="W30" i="65"/>
  <c r="T10" i="65"/>
  <c r="H20" i="65"/>
  <c r="J30" i="65"/>
  <c r="G19" i="67"/>
  <c r="X30" i="65"/>
  <c r="G14" i="66"/>
  <c r="G26" i="67"/>
  <c r="D21" i="67"/>
  <c r="J29" i="66"/>
  <c r="J19" i="66"/>
  <c r="P6" i="67"/>
  <c r="H15" i="65"/>
  <c r="G10" i="65"/>
  <c r="T20" i="65"/>
  <c r="J15" i="65"/>
  <c r="D30" i="65"/>
  <c r="G21" i="67"/>
  <c r="G16" i="67"/>
  <c r="D19" i="66"/>
  <c r="J14" i="66"/>
  <c r="D6" i="66"/>
  <c r="J21" i="66"/>
  <c r="M26" i="66"/>
  <c r="J9" i="67"/>
  <c r="M24" i="67"/>
  <c r="M14" i="67"/>
  <c r="P19" i="67"/>
  <c r="P21" i="66"/>
  <c r="M16" i="67"/>
  <c r="D20" i="65"/>
  <c r="D10" i="65"/>
  <c r="W25" i="65"/>
  <c r="O10" i="65"/>
  <c r="R10" i="65"/>
  <c r="R20" i="65"/>
  <c r="K25" i="65"/>
  <c r="I20" i="65"/>
  <c r="O30" i="65"/>
  <c r="E15" i="65"/>
  <c r="H25" i="65"/>
  <c r="N10" i="65"/>
  <c r="X15" i="65"/>
  <c r="D14" i="66"/>
  <c r="P11" i="67"/>
  <c r="J11" i="66"/>
  <c r="M14" i="66"/>
  <c r="G29" i="66"/>
  <c r="G9" i="67"/>
  <c r="D9" i="66"/>
  <c r="D9" i="67"/>
  <c r="M26" i="67"/>
  <c r="T25" i="65"/>
  <c r="P30" i="65"/>
  <c r="AF45" i="68" l="1"/>
  <c r="AH45" i="68" s="1"/>
  <c r="AH44" i="68"/>
  <c r="V30" i="65"/>
  <c r="Y15" i="65"/>
  <c r="Y25" i="65"/>
  <c r="Y30" i="65"/>
  <c r="V10" i="65"/>
  <c r="V25" i="65"/>
  <c r="Y10" i="65"/>
  <c r="Y20" i="65"/>
  <c r="V15" i="65"/>
  <c r="V20" i="65"/>
  <c r="U61" i="47"/>
  <c r="U48" i="47"/>
  <c r="U65" i="47"/>
  <c r="U63" i="47"/>
  <c r="U45" i="47"/>
  <c r="U47" i="47"/>
  <c r="U64" i="47"/>
  <c r="U60" i="47"/>
  <c r="U62" i="47"/>
  <c r="M23" i="13"/>
  <c r="M22" i="13"/>
  <c r="M20" i="13"/>
  <c r="M18" i="13"/>
  <c r="M16" i="13"/>
  <c r="M19" i="13"/>
  <c r="M17" i="13"/>
  <c r="M14" i="13"/>
  <c r="M13" i="13"/>
  <c r="M12" i="13"/>
  <c r="M11" i="13"/>
  <c r="M8" i="13"/>
  <c r="M15" i="13"/>
  <c r="M10" i="13"/>
  <c r="M9" i="13"/>
  <c r="F25" i="65"/>
  <c r="W14" i="67"/>
  <c r="T26" i="67"/>
  <c r="W9" i="66"/>
  <c r="W6" i="66"/>
  <c r="T19" i="66"/>
  <c r="J24" i="65"/>
  <c r="P21" i="65"/>
  <c r="M29" i="65"/>
  <c r="D26" i="65"/>
  <c r="G11" i="65"/>
  <c r="J14" i="65"/>
  <c r="Z69" i="47"/>
  <c r="L73" i="47"/>
  <c r="W69" i="47"/>
  <c r="Y69" i="47"/>
  <c r="Y73" i="47"/>
  <c r="S65" i="47"/>
  <c r="W61" i="47"/>
  <c r="Z65" i="47"/>
  <c r="S47" i="47"/>
  <c r="Y68" i="47"/>
  <c r="F64" i="47"/>
  <c r="V69" i="47"/>
  <c r="X70" i="47"/>
  <c r="S71" i="47"/>
  <c r="J46" i="47"/>
  <c r="V67" i="47"/>
  <c r="Z44" i="47"/>
  <c r="Q60" i="47"/>
  <c r="F45" i="47"/>
  <c r="P63" i="47"/>
  <c r="F63" i="47"/>
  <c r="Y62" i="47"/>
  <c r="F67" i="47"/>
  <c r="X72" i="47"/>
  <c r="Q44" i="47"/>
  <c r="X48" i="47"/>
  <c r="P59" i="47"/>
  <c r="R15" i="65"/>
  <c r="W6" i="67"/>
  <c r="T24" i="67"/>
  <c r="T24" i="66"/>
  <c r="T9" i="67"/>
  <c r="W16" i="66"/>
  <c r="G29" i="65"/>
  <c r="P29" i="65"/>
  <c r="G14" i="65"/>
  <c r="M11" i="65"/>
  <c r="D16" i="65"/>
  <c r="J29" i="65"/>
  <c r="L67" i="47"/>
  <c r="L71" i="47"/>
  <c r="AB70" i="47"/>
  <c r="X62" i="47"/>
  <c r="F59" i="47"/>
  <c r="Q48" i="47"/>
  <c r="V66" i="47"/>
  <c r="J73" i="47"/>
  <c r="L44" i="47"/>
  <c r="P62" i="47"/>
  <c r="AB72" i="47"/>
  <c r="F46" i="47"/>
  <c r="N72" i="47"/>
  <c r="F72" i="47"/>
  <c r="F47" i="47"/>
  <c r="P65" i="47"/>
  <c r="S66" i="47"/>
  <c r="J45" i="47"/>
  <c r="O62" i="47"/>
  <c r="AB46" i="47"/>
  <c r="S72" i="47"/>
  <c r="O64" i="47"/>
  <c r="X66" i="47"/>
  <c r="F60" i="47"/>
  <c r="W66" i="47"/>
  <c r="N60" i="47"/>
  <c r="X71" i="47"/>
  <c r="X65" i="47"/>
  <c r="T29" i="67"/>
  <c r="W19" i="66"/>
  <c r="T9" i="66"/>
  <c r="T21" i="67"/>
  <c r="W21" i="67"/>
  <c r="P9" i="65"/>
  <c r="D11" i="65"/>
  <c r="D6" i="65"/>
  <c r="J19" i="65"/>
  <c r="J11" i="65"/>
  <c r="M19" i="65"/>
  <c r="P48" i="47"/>
  <c r="H48" i="47" s="1"/>
  <c r="S70" i="47"/>
  <c r="L61" i="47"/>
  <c r="J70" i="47"/>
  <c r="AB59" i="47"/>
  <c r="N71" i="47"/>
  <c r="F73" i="47"/>
  <c r="P45" i="47"/>
  <c r="P73" i="47"/>
  <c r="W64" i="47"/>
  <c r="Z63" i="47"/>
  <c r="AB73" i="47"/>
  <c r="J64" i="47"/>
  <c r="Z68" i="47"/>
  <c r="Y61" i="47"/>
  <c r="Q59" i="47"/>
  <c r="O73" i="47"/>
  <c r="Q62" i="47"/>
  <c r="J61" i="47"/>
  <c r="O68" i="47"/>
  <c r="Q72" i="47"/>
  <c r="F48" i="47"/>
  <c r="N63" i="47"/>
  <c r="V70" i="47"/>
  <c r="V60" i="47"/>
  <c r="Y65" i="47"/>
  <c r="V63" i="47"/>
  <c r="L62" i="47"/>
  <c r="P64" i="47"/>
  <c r="J48" i="47"/>
  <c r="V68" i="47"/>
  <c r="X67" i="47"/>
  <c r="Y46" i="47"/>
  <c r="Y47" i="47"/>
  <c r="Q71" i="47"/>
  <c r="N47" i="47"/>
  <c r="O72" i="47"/>
  <c r="N48" i="47"/>
  <c r="Q68" i="47"/>
  <c r="AB69" i="47"/>
  <c r="J63" i="47"/>
  <c r="W48" i="47"/>
  <c r="Q64" i="47"/>
  <c r="T6" i="67"/>
  <c r="T6" i="66"/>
  <c r="T26" i="66"/>
  <c r="T19" i="67"/>
  <c r="T21" i="66"/>
  <c r="G26" i="65"/>
  <c r="M21" i="65"/>
  <c r="M6" i="65"/>
  <c r="G9" i="65"/>
  <c r="M9" i="65"/>
  <c r="P16" i="65"/>
  <c r="Z46" i="47"/>
  <c r="L65" i="47"/>
  <c r="Z64" i="47"/>
  <c r="AB67" i="47"/>
  <c r="Q70" i="47"/>
  <c r="O60" i="47"/>
  <c r="V71" i="47"/>
  <c r="J47" i="47"/>
  <c r="L45" i="47"/>
  <c r="Q69" i="47"/>
  <c r="W73" i="47"/>
  <c r="W67" i="47"/>
  <c r="Y71" i="47"/>
  <c r="Y70" i="47"/>
  <c r="Y60" i="47"/>
  <c r="P44" i="47"/>
  <c r="S73" i="47"/>
  <c r="W45" i="47"/>
  <c r="X63" i="47"/>
  <c r="J66" i="47"/>
  <c r="Q65" i="47"/>
  <c r="Q61" i="47"/>
  <c r="O69" i="47"/>
  <c r="V59" i="47"/>
  <c r="Y66" i="47"/>
  <c r="Z45" i="47"/>
  <c r="F62" i="47"/>
  <c r="W65" i="47"/>
  <c r="Z72" i="47"/>
  <c r="F68" i="47"/>
  <c r="S63" i="47"/>
  <c r="H45" i="47"/>
  <c r="H59" i="47"/>
  <c r="N73" i="47"/>
  <c r="AB68" i="47"/>
  <c r="S48" i="47"/>
  <c r="V73" i="47"/>
  <c r="N44" i="47"/>
  <c r="L68" i="47"/>
  <c r="J59" i="47"/>
  <c r="W26" i="66"/>
  <c r="T29" i="66"/>
  <c r="T14" i="67"/>
  <c r="W21" i="66"/>
  <c r="W19" i="67"/>
  <c r="P24" i="65"/>
  <c r="J9" i="65"/>
  <c r="D29" i="65"/>
  <c r="J26" i="65"/>
  <c r="Y72" i="47"/>
  <c r="P70" i="47"/>
  <c r="H70" i="47" s="1"/>
  <c r="S44" i="47"/>
  <c r="W62" i="47"/>
  <c r="W60" i="47"/>
  <c r="L47" i="47"/>
  <c r="AB64" i="47"/>
  <c r="S64" i="47"/>
  <c r="Y44" i="47"/>
  <c r="V72" i="47"/>
  <c r="X68" i="47"/>
  <c r="L60" i="47"/>
  <c r="F44" i="47"/>
  <c r="Z66" i="47"/>
  <c r="V47" i="47"/>
  <c r="X64" i="47"/>
  <c r="N45" i="47"/>
  <c r="S62" i="47"/>
  <c r="X61" i="47"/>
  <c r="V46" i="47"/>
  <c r="O71" i="47"/>
  <c r="F65" i="47"/>
  <c r="Z61" i="47"/>
  <c r="W71" i="47"/>
  <c r="N67" i="47"/>
  <c r="P47" i="47"/>
  <c r="L70" i="47"/>
  <c r="V62" i="47"/>
  <c r="T14" i="66"/>
  <c r="T11" i="67"/>
  <c r="W26" i="67"/>
  <c r="W24" i="66"/>
  <c r="T16" i="66"/>
  <c r="J6" i="65"/>
  <c r="G6" i="65"/>
  <c r="P19" i="65"/>
  <c r="G21" i="65"/>
  <c r="J16" i="65"/>
  <c r="AB44" i="47"/>
  <c r="Z67" i="47"/>
  <c r="J71" i="47"/>
  <c r="N68" i="47"/>
  <c r="W70" i="47"/>
  <c r="O44" i="47"/>
  <c r="P46" i="47"/>
  <c r="H46" i="47" s="1"/>
  <c r="Z70" i="47"/>
  <c r="Z47" i="47"/>
  <c r="J72" i="47"/>
  <c r="X60" i="47"/>
  <c r="Q45" i="47"/>
  <c r="N59" i="47"/>
  <c r="O46" i="47"/>
  <c r="P67" i="47"/>
  <c r="F70" i="47"/>
  <c r="AB71" i="47"/>
  <c r="L46" i="47"/>
  <c r="Y59" i="47"/>
  <c r="W44" i="47"/>
  <c r="F69" i="47"/>
  <c r="W68" i="47"/>
  <c r="Q66" i="47"/>
  <c r="W63" i="47"/>
  <c r="P69" i="47"/>
  <c r="AB60" i="47"/>
  <c r="V44" i="47"/>
  <c r="S45" i="47"/>
  <c r="V61" i="47"/>
  <c r="H73" i="47"/>
  <c r="W29" i="66"/>
  <c r="W11" i="67"/>
  <c r="W29" i="67"/>
  <c r="W14" i="66"/>
  <c r="W24" i="67"/>
  <c r="G19" i="65"/>
  <c r="D9" i="65"/>
  <c r="P6" i="65"/>
  <c r="M24" i="65"/>
  <c r="J21" i="65"/>
  <c r="G16" i="65"/>
  <c r="P60" i="47"/>
  <c r="H60" i="47" s="1"/>
  <c r="O61" i="47"/>
  <c r="X73" i="47"/>
  <c r="AB65" i="47"/>
  <c r="Z73" i="47"/>
  <c r="F66" i="47"/>
  <c r="N62" i="47"/>
  <c r="AB61" i="47"/>
  <c r="AB66" i="47"/>
  <c r="L72" i="47"/>
  <c r="W46" i="47"/>
  <c r="Y45" i="47"/>
  <c r="X69" i="47"/>
  <c r="O70" i="47"/>
  <c r="X45" i="47"/>
  <c r="P72" i="47"/>
  <c r="J44" i="47"/>
  <c r="AB48" i="47"/>
  <c r="N65" i="47"/>
  <c r="V45" i="47"/>
  <c r="X47" i="47"/>
  <c r="X59" i="47"/>
  <c r="P66" i="47"/>
  <c r="H66" i="47" s="1"/>
  <c r="L69" i="47"/>
  <c r="Y48" i="47"/>
  <c r="S61" i="47"/>
  <c r="P61" i="47"/>
  <c r="AB45" i="47"/>
  <c r="V65" i="47"/>
  <c r="N66" i="47"/>
  <c r="S59" i="47"/>
  <c r="AB47" i="47"/>
  <c r="O47" i="47"/>
  <c r="AB62" i="47"/>
  <c r="Q73" i="47"/>
  <c r="X44" i="47"/>
  <c r="P68" i="47"/>
  <c r="S46" i="47"/>
  <c r="F71" i="47"/>
  <c r="S68" i="47"/>
  <c r="S67" i="47"/>
  <c r="O65" i="47"/>
  <c r="O66" i="47"/>
  <c r="T11" i="66"/>
  <c r="W9" i="67"/>
  <c r="W11" i="66"/>
  <c r="T16" i="67"/>
  <c r="W16" i="67"/>
  <c r="G24" i="65"/>
  <c r="M14" i="65"/>
  <c r="D14" i="65"/>
  <c r="M16" i="65"/>
  <c r="M26" i="65"/>
  <c r="D19" i="65"/>
  <c r="P26" i="65"/>
  <c r="S69" i="47"/>
  <c r="L48" i="47"/>
  <c r="V48" i="47"/>
  <c r="Y63" i="47"/>
  <c r="Z48" i="47"/>
  <c r="L63" i="47"/>
  <c r="X46" i="47"/>
  <c r="V64" i="47"/>
  <c r="L64" i="47"/>
  <c r="N69" i="47"/>
  <c r="Y67" i="47"/>
  <c r="N70" i="47"/>
  <c r="J69" i="47"/>
  <c r="S60" i="47"/>
  <c r="J68" i="47"/>
  <c r="Y64" i="47"/>
  <c r="N64" i="47"/>
  <c r="O48" i="47"/>
  <c r="W72" i="47"/>
  <c r="J60" i="47"/>
  <c r="Z59" i="47"/>
  <c r="Q46" i="47"/>
  <c r="Q67" i="47"/>
  <c r="P71" i="47"/>
  <c r="H71" i="47" s="1"/>
  <c r="O67" i="47"/>
  <c r="O59" i="47"/>
  <c r="L59" i="47"/>
  <c r="Z62" i="47"/>
  <c r="Q47" i="47"/>
  <c r="W59" i="47"/>
  <c r="O63" i="47"/>
  <c r="N61" i="47"/>
  <c r="O45" i="47"/>
  <c r="Q63" i="47"/>
  <c r="Z71" i="47"/>
  <c r="J62" i="47"/>
  <c r="J67" i="47"/>
  <c r="AB63" i="47"/>
  <c r="W47" i="47"/>
  <c r="F61" i="47"/>
  <c r="L66" i="47"/>
  <c r="Z60" i="47"/>
  <c r="J65" i="47"/>
  <c r="AF40" i="68" l="1"/>
  <c r="AE44" i="47"/>
  <c r="AE65" i="47"/>
  <c r="AE67" i="47"/>
  <c r="AE71" i="47"/>
  <c r="AE72" i="47"/>
  <c r="AE48" i="47"/>
  <c r="AE66" i="47"/>
  <c r="AE59" i="47"/>
  <c r="AE47" i="47"/>
  <c r="AE61" i="47"/>
  <c r="AE63" i="47"/>
  <c r="AE64" i="47"/>
  <c r="AE45" i="47"/>
  <c r="AE69" i="47"/>
  <c r="AE70" i="47"/>
  <c r="AE60" i="47"/>
  <c r="AE68" i="47"/>
  <c r="AE46" i="47"/>
  <c r="AE62" i="47"/>
  <c r="AE73" i="47"/>
  <c r="U44" i="47"/>
  <c r="AG65" i="47"/>
  <c r="AG72" i="47"/>
  <c r="AG68" i="47"/>
  <c r="AG46" i="47"/>
  <c r="AG59" i="47"/>
  <c r="AG66" i="47"/>
  <c r="AG62" i="47"/>
  <c r="AG44" i="47"/>
  <c r="AG67" i="47"/>
  <c r="AG64" i="47"/>
  <c r="AG61" i="47"/>
  <c r="AG48" i="47"/>
  <c r="AG45" i="47"/>
  <c r="AG60" i="47"/>
  <c r="AG63" i="47"/>
  <c r="AG47" i="47"/>
  <c r="AG70" i="47"/>
  <c r="AG71" i="47"/>
  <c r="AG73" i="47"/>
  <c r="AG69" i="47"/>
  <c r="B7" i="11"/>
  <c r="O3" i="13"/>
  <c r="N3" i="4"/>
  <c r="B7" i="10"/>
  <c r="P11" i="65"/>
  <c r="T30" i="68"/>
  <c r="I10" i="68"/>
  <c r="F15" i="68"/>
  <c r="G20" i="68"/>
  <c r="H15" i="68"/>
  <c r="N15" i="68"/>
  <c r="L25" i="68"/>
  <c r="W10" i="68"/>
  <c r="T20" i="68"/>
  <c r="P14" i="65"/>
  <c r="W25" i="68"/>
  <c r="I25" i="68"/>
  <c r="R30" i="68"/>
  <c r="H10" i="68"/>
  <c r="M20" i="68"/>
  <c r="R20" i="68"/>
  <c r="I15" i="68"/>
  <c r="D20" i="68"/>
  <c r="J20" i="68"/>
  <c r="P20" i="68"/>
  <c r="K15" i="68"/>
  <c r="G30" i="68"/>
  <c r="W9" i="65"/>
  <c r="T19" i="65"/>
  <c r="H61" i="47"/>
  <c r="H65" i="47"/>
  <c r="L20" i="68"/>
  <c r="O15" i="68"/>
  <c r="T6" i="65"/>
  <c r="X10" i="68"/>
  <c r="T14" i="65"/>
  <c r="D15" i="68"/>
  <c r="I30" i="68"/>
  <c r="U30" i="68"/>
  <c r="T16" i="65"/>
  <c r="W20" i="68"/>
  <c r="D21" i="65"/>
  <c r="AA28" i="68"/>
  <c r="J15" i="68"/>
  <c r="E15" i="68"/>
  <c r="F30" i="68"/>
  <c r="H30" i="68"/>
  <c r="U15" i="68"/>
  <c r="F20" i="68"/>
  <c r="P10" i="68"/>
  <c r="W15" i="68"/>
  <c r="O30" i="68"/>
  <c r="AA24" i="68"/>
  <c r="X15" i="68"/>
  <c r="P30" i="68"/>
  <c r="T11" i="65"/>
  <c r="W16" i="65"/>
  <c r="H47" i="47"/>
  <c r="F10" i="68"/>
  <c r="K20" i="68"/>
  <c r="H69" i="47"/>
  <c r="N10" i="68"/>
  <c r="W14" i="65"/>
  <c r="X30" i="68"/>
  <c r="T26" i="65"/>
  <c r="H25" i="68"/>
  <c r="W24" i="65"/>
  <c r="W11" i="65"/>
  <c r="D24" i="65"/>
  <c r="O25" i="68"/>
  <c r="Q10" i="68"/>
  <c r="J30" i="68"/>
  <c r="P15" i="68"/>
  <c r="N30" i="68"/>
  <c r="X20" i="68"/>
  <c r="L15" i="68"/>
  <c r="K25" i="68"/>
  <c r="T29" i="65"/>
  <c r="W29" i="65"/>
  <c r="K10" i="68"/>
  <c r="W26" i="65"/>
  <c r="M25" i="68"/>
  <c r="T9" i="65"/>
  <c r="I20" i="68"/>
  <c r="T10" i="68"/>
  <c r="K30" i="68"/>
  <c r="O20" i="68"/>
  <c r="U25" i="68"/>
  <c r="U10" i="68"/>
  <c r="E20" i="68"/>
  <c r="P25" i="68"/>
  <c r="Q15" i="68"/>
  <c r="O10" i="68"/>
  <c r="L30" i="68"/>
  <c r="G10" i="68"/>
  <c r="G15" i="68"/>
  <c r="L10" i="68"/>
  <c r="T25" i="68"/>
  <c r="W21" i="65"/>
  <c r="W6" i="65"/>
  <c r="T21" i="65"/>
  <c r="H64" i="47"/>
  <c r="R10" i="68"/>
  <c r="J25" i="68"/>
  <c r="M30" i="68"/>
  <c r="E30" i="68"/>
  <c r="F25" i="68"/>
  <c r="G25" i="68"/>
  <c r="J10" i="68"/>
  <c r="Q30" i="68"/>
  <c r="H63" i="47"/>
  <c r="U20" i="68"/>
  <c r="X25" i="68"/>
  <c r="T15" i="68"/>
  <c r="W19" i="65"/>
  <c r="E25" i="68"/>
  <c r="D30" i="68"/>
  <c r="T24" i="65"/>
  <c r="M15" i="68"/>
  <c r="D25" i="68"/>
  <c r="E10" i="68"/>
  <c r="Q25" i="68"/>
  <c r="N20" i="68"/>
  <c r="Q20" i="68"/>
  <c r="R25" i="68"/>
  <c r="N25" i="68"/>
  <c r="H68" i="47"/>
  <c r="H62" i="47"/>
  <c r="H44" i="47"/>
  <c r="D10" i="68"/>
  <c r="R15" i="68"/>
  <c r="W30" i="68"/>
  <c r="H20" i="68"/>
  <c r="M10" i="68"/>
  <c r="H72" i="47"/>
  <c r="H67" i="47"/>
  <c r="Y15" i="68" l="1"/>
  <c r="V20" i="68"/>
  <c r="Y25" i="68"/>
  <c r="Y10" i="68"/>
  <c r="V30" i="68"/>
  <c r="Y30" i="68"/>
  <c r="Y20" i="68"/>
  <c r="V15" i="68"/>
  <c r="V10" i="68"/>
  <c r="V25" i="68"/>
  <c r="AF57" i="47"/>
  <c r="AH57" i="47" s="1"/>
  <c r="AF60" i="47"/>
  <c r="AF59" i="47"/>
  <c r="AF70" i="47"/>
  <c r="AF66" i="47"/>
  <c r="AF69" i="47"/>
  <c r="AF45" i="47"/>
  <c r="AF72" i="47"/>
  <c r="AF64" i="47"/>
  <c r="AF71" i="47"/>
  <c r="AF62" i="47"/>
  <c r="AF63" i="47"/>
  <c r="AF67" i="47"/>
  <c r="AF46" i="47"/>
  <c r="AF61" i="47"/>
  <c r="AF65" i="47"/>
  <c r="AF68" i="47"/>
  <c r="AF73" i="47"/>
  <c r="AF48" i="47"/>
  <c r="AF47" i="47"/>
  <c r="AF44" i="47"/>
  <c r="AF52" i="47"/>
  <c r="AF53" i="47"/>
  <c r="AF54" i="47"/>
  <c r="AF58" i="47"/>
  <c r="AF55" i="47"/>
  <c r="AF51" i="47"/>
  <c r="AF50" i="47"/>
  <c r="AF56" i="47"/>
  <c r="AF49" i="47"/>
  <c r="P14" i="68"/>
  <c r="J9" i="68"/>
  <c r="G19" i="68"/>
  <c r="M26" i="68"/>
  <c r="M14" i="68"/>
  <c r="P26" i="68"/>
  <c r="G9" i="68"/>
  <c r="W19" i="68"/>
  <c r="M24" i="4"/>
  <c r="M10" i="4"/>
  <c r="J17" i="13"/>
  <c r="K17" i="13"/>
  <c r="J8" i="13"/>
  <c r="O11" i="4"/>
  <c r="O23" i="4"/>
  <c r="O16" i="4"/>
  <c r="M20" i="4"/>
  <c r="P11" i="68"/>
  <c r="J6" i="68"/>
  <c r="G16" i="68"/>
  <c r="M29" i="68"/>
  <c r="M11" i="68"/>
  <c r="P29" i="68"/>
  <c r="G6" i="68"/>
  <c r="T26" i="68"/>
  <c r="W16" i="68"/>
  <c r="M21" i="4"/>
  <c r="O12" i="4"/>
  <c r="K20" i="13"/>
  <c r="J10" i="13"/>
  <c r="O9" i="4"/>
  <c r="K15" i="13"/>
  <c r="K21" i="13"/>
  <c r="G14" i="13"/>
  <c r="G10" i="13"/>
  <c r="P21" i="68"/>
  <c r="J26" i="68"/>
  <c r="J14" i="68"/>
  <c r="D19" i="68"/>
  <c r="J16" i="68"/>
  <c r="G21" i="68"/>
  <c r="W14" i="68"/>
  <c r="W29" i="68"/>
  <c r="T11" i="68"/>
  <c r="J11" i="13"/>
  <c r="G15" i="13"/>
  <c r="G13" i="13"/>
  <c r="M11" i="4"/>
  <c r="M17" i="4"/>
  <c r="K8" i="13"/>
  <c r="J15" i="13"/>
  <c r="K13" i="13"/>
  <c r="P24" i="68"/>
  <c r="J29" i="68"/>
  <c r="J11" i="68"/>
  <c r="D16" i="68"/>
  <c r="J19" i="68"/>
  <c r="G24" i="68"/>
  <c r="W11" i="68"/>
  <c r="W26" i="68"/>
  <c r="T14" i="68"/>
  <c r="K18" i="13"/>
  <c r="M9" i="4"/>
  <c r="K11" i="13"/>
  <c r="O17" i="4"/>
  <c r="O20" i="4"/>
  <c r="O24" i="4"/>
  <c r="O21" i="4"/>
  <c r="D21" i="68"/>
  <c r="M6" i="68"/>
  <c r="M21" i="68"/>
  <c r="D29" i="68"/>
  <c r="G11" i="68"/>
  <c r="J24" i="68"/>
  <c r="W6" i="68"/>
  <c r="T9" i="68"/>
  <c r="T16" i="68"/>
  <c r="O15" i="4"/>
  <c r="J18" i="13"/>
  <c r="G19" i="13"/>
  <c r="M15" i="4"/>
  <c r="D24" i="68"/>
  <c r="M9" i="68"/>
  <c r="M24" i="68"/>
  <c r="D26" i="68"/>
  <c r="G14" i="68"/>
  <c r="J21" i="68"/>
  <c r="W9" i="68"/>
  <c r="T6" i="68"/>
  <c r="T19" i="68"/>
  <c r="K10" i="13"/>
  <c r="K14" i="13"/>
  <c r="J13" i="13"/>
  <c r="O22" i="4"/>
  <c r="J19" i="13"/>
  <c r="J9" i="13"/>
  <c r="G21" i="13"/>
  <c r="G8" i="13"/>
  <c r="P9" i="68"/>
  <c r="M16" i="68"/>
  <c r="D6" i="68"/>
  <c r="G29" i="68"/>
  <c r="P19" i="68"/>
  <c r="D11" i="68"/>
  <c r="W21" i="68"/>
  <c r="T21" i="68"/>
  <c r="O10" i="4"/>
  <c r="M22" i="4"/>
  <c r="J14" i="13"/>
  <c r="M12" i="4"/>
  <c r="G9" i="13"/>
  <c r="G20" i="13"/>
  <c r="G18" i="13"/>
  <c r="P6" i="68"/>
  <c r="M19" i="68"/>
  <c r="D9" i="68"/>
  <c r="G26" i="68"/>
  <c r="P16" i="68"/>
  <c r="D14" i="68"/>
  <c r="W24" i="68"/>
  <c r="T24" i="68"/>
  <c r="J20" i="13"/>
  <c r="G17" i="13"/>
  <c r="K19" i="13"/>
  <c r="J21" i="13"/>
  <c r="M23" i="4"/>
  <c r="K9" i="13"/>
  <c r="G11" i="13"/>
  <c r="M16" i="4"/>
  <c r="T29" i="68"/>
  <c r="AH48" i="47" l="1"/>
  <c r="AH55" i="47"/>
  <c r="AH58" i="47"/>
  <c r="AH68" i="47"/>
  <c r="AH64" i="47"/>
  <c r="AH54" i="47"/>
  <c r="AH65" i="47"/>
  <c r="AH72" i="47"/>
  <c r="AH50" i="47"/>
  <c r="AH53" i="47"/>
  <c r="AH61" i="47"/>
  <c r="AH45" i="47"/>
  <c r="AH49" i="47"/>
  <c r="AH52" i="47"/>
  <c r="AH46" i="47"/>
  <c r="AH69" i="47"/>
  <c r="AH67" i="47"/>
  <c r="AH66" i="47"/>
  <c r="AH47" i="47"/>
  <c r="AH63" i="47"/>
  <c r="AH70" i="47"/>
  <c r="AH56" i="47"/>
  <c r="AH51" i="47"/>
  <c r="AH62" i="47"/>
  <c r="AH59" i="47"/>
  <c r="AH73" i="47"/>
  <c r="AH71" i="47"/>
  <c r="AH60" i="47"/>
  <c r="AH44" i="47"/>
  <c r="AF40" i="47"/>
  <c r="L24" i="4"/>
  <c r="M26" i="4"/>
  <c r="M14" i="4"/>
  <c r="M19" i="4"/>
  <c r="O26" i="4"/>
  <c r="O14" i="4"/>
  <c r="O19" i="4"/>
  <c r="L22" i="4"/>
  <c r="L20" i="4"/>
  <c r="J22" i="13"/>
  <c r="L17" i="4"/>
  <c r="J16" i="13"/>
  <c r="L15" i="4"/>
  <c r="L12" i="4"/>
  <c r="L10" i="4"/>
  <c r="L23" i="4"/>
  <c r="L21" i="4"/>
  <c r="L16" i="4"/>
  <c r="L11" i="4"/>
  <c r="L9" i="4"/>
  <c r="J12" i="13"/>
  <c r="I15" i="4"/>
  <c r="K11" i="4"/>
  <c r="I14" i="13"/>
  <c r="K17" i="4"/>
  <c r="I8" i="13"/>
  <c r="K16" i="4"/>
  <c r="X30" i="47"/>
  <c r="U10" i="47"/>
  <c r="I9" i="4"/>
  <c r="H15" i="13"/>
  <c r="I16" i="4"/>
  <c r="K20" i="4"/>
  <c r="I22" i="4"/>
  <c r="I18" i="13"/>
  <c r="I20" i="13"/>
  <c r="K10" i="4"/>
  <c r="F10" i="47"/>
  <c r="W10" i="47"/>
  <c r="I10" i="4"/>
  <c r="K22" i="4"/>
  <c r="I19" i="13"/>
  <c r="K23" i="4"/>
  <c r="I9" i="13"/>
  <c r="I11" i="13"/>
  <c r="D10" i="47"/>
  <c r="T10" i="47"/>
  <c r="I23" i="4"/>
  <c r="K15" i="4"/>
  <c r="H20" i="13"/>
  <c r="H8" i="13"/>
  <c r="I21" i="4"/>
  <c r="I17" i="4"/>
  <c r="W25" i="47"/>
  <c r="H13" i="13"/>
  <c r="I10" i="13"/>
  <c r="H17" i="13"/>
  <c r="H18" i="13"/>
  <c r="K12" i="4"/>
  <c r="I11" i="4"/>
  <c r="H21" i="13"/>
  <c r="H11" i="13"/>
  <c r="H10" i="13"/>
  <c r="I17" i="13"/>
  <c r="T30" i="47"/>
  <c r="I21" i="13"/>
  <c r="W20" i="47"/>
  <c r="K24" i="4"/>
  <c r="I20" i="4"/>
  <c r="U30" i="47"/>
  <c r="H14" i="13"/>
  <c r="I24" i="4"/>
  <c r="U25" i="47"/>
  <c r="AA24" i="47"/>
  <c r="I15" i="13"/>
  <c r="I12" i="4"/>
  <c r="H19" i="13"/>
  <c r="K21" i="4"/>
  <c r="I13" i="13"/>
  <c r="X25" i="47"/>
  <c r="H9" i="13"/>
  <c r="K9" i="4"/>
  <c r="T15" i="47"/>
  <c r="E10" i="47"/>
  <c r="V25" i="47" l="1"/>
  <c r="K19" i="4"/>
  <c r="K14" i="4"/>
  <c r="K26" i="4"/>
  <c r="V30" i="47"/>
  <c r="V10" i="47"/>
  <c r="Y30" i="47"/>
  <c r="Y25" i="47"/>
  <c r="J24" i="4"/>
  <c r="N24" i="4"/>
  <c r="N10" i="4"/>
  <c r="N12" i="4"/>
  <c r="N17" i="4"/>
  <c r="N21" i="4"/>
  <c r="K12" i="13"/>
  <c r="N9" i="4"/>
  <c r="N16" i="4"/>
  <c r="N23" i="4"/>
  <c r="K22" i="13"/>
  <c r="N20" i="4"/>
  <c r="N22" i="4"/>
  <c r="N11" i="4"/>
  <c r="N15" i="4"/>
  <c r="K16" i="13"/>
  <c r="L26" i="4"/>
  <c r="M25" i="4" s="1"/>
  <c r="I26" i="4"/>
  <c r="H24" i="4"/>
  <c r="G24" i="4"/>
  <c r="L21" i="13"/>
  <c r="G11" i="4"/>
  <c r="G12" i="4"/>
  <c r="G21" i="4"/>
  <c r="G22" i="4"/>
  <c r="G17" i="4"/>
  <c r="G22" i="13"/>
  <c r="G20" i="4"/>
  <c r="G15" i="4"/>
  <c r="G16" i="13"/>
  <c r="G12" i="13"/>
  <c r="G9" i="4"/>
  <c r="G10" i="4"/>
  <c r="G16" i="4"/>
  <c r="G23" i="4"/>
  <c r="I19" i="4"/>
  <c r="I14" i="4"/>
  <c r="H22" i="4"/>
  <c r="H22" i="13"/>
  <c r="H20" i="4"/>
  <c r="H17" i="4"/>
  <c r="H16" i="13"/>
  <c r="H15" i="4"/>
  <c r="H12" i="4"/>
  <c r="H10" i="4"/>
  <c r="H23" i="4"/>
  <c r="H21" i="4"/>
  <c r="H16" i="4"/>
  <c r="H11" i="4"/>
  <c r="H12" i="13"/>
  <c r="H9" i="4"/>
  <c r="L19" i="13"/>
  <c r="O19" i="13" s="1"/>
  <c r="P19" i="13" s="1"/>
  <c r="J22" i="4"/>
  <c r="J20" i="4"/>
  <c r="L17" i="13"/>
  <c r="O17" i="13" s="1"/>
  <c r="P17" i="13" s="1"/>
  <c r="I22" i="13"/>
  <c r="J17" i="4"/>
  <c r="L15" i="13"/>
  <c r="O15" i="13" s="1"/>
  <c r="P15" i="13" s="1"/>
  <c r="I16" i="13"/>
  <c r="L13" i="13"/>
  <c r="O13" i="13" s="1"/>
  <c r="P13" i="13" s="1"/>
  <c r="J15" i="4"/>
  <c r="J12" i="4"/>
  <c r="L11" i="13"/>
  <c r="O11" i="13" s="1"/>
  <c r="P11" i="13" s="1"/>
  <c r="J10" i="4"/>
  <c r="L9" i="13"/>
  <c r="O9" i="13" s="1"/>
  <c r="P9" i="13" s="1"/>
  <c r="J23" i="4"/>
  <c r="L20" i="13"/>
  <c r="O20" i="13" s="1"/>
  <c r="P20" i="13" s="1"/>
  <c r="L18" i="13"/>
  <c r="O18" i="13" s="1"/>
  <c r="P18" i="13" s="1"/>
  <c r="J21" i="4"/>
  <c r="J16" i="4"/>
  <c r="L14" i="13"/>
  <c r="O14" i="13" s="1"/>
  <c r="P14" i="13" s="1"/>
  <c r="J11" i="4"/>
  <c r="L10" i="13"/>
  <c r="O10" i="13" s="1"/>
  <c r="P10" i="13" s="1"/>
  <c r="I12" i="13"/>
  <c r="J9" i="4"/>
  <c r="L8" i="13"/>
  <c r="O8" i="13" s="1"/>
  <c r="P8" i="13" s="1"/>
  <c r="M28" i="4"/>
  <c r="J23" i="13"/>
  <c r="L19" i="4"/>
  <c r="M18" i="4" s="1"/>
  <c r="L14" i="4"/>
  <c r="M13" i="4" s="1"/>
  <c r="U15" i="47"/>
  <c r="K20" i="47"/>
  <c r="G25" i="47"/>
  <c r="O25" i="47"/>
  <c r="K30" i="47"/>
  <c r="J25" i="47"/>
  <c r="G30" i="47"/>
  <c r="H30" i="47"/>
  <c r="E25" i="47"/>
  <c r="F20" i="47"/>
  <c r="T25" i="47"/>
  <c r="N10" i="47"/>
  <c r="L25" i="47"/>
  <c r="D15" i="47"/>
  <c r="T20" i="47"/>
  <c r="O30" i="47"/>
  <c r="W15" i="47"/>
  <c r="H25" i="47"/>
  <c r="P25" i="47"/>
  <c r="L30" i="47"/>
  <c r="K25" i="47"/>
  <c r="M25" i="47"/>
  <c r="R30" i="47"/>
  <c r="W30" i="47"/>
  <c r="M20" i="47"/>
  <c r="I25" i="47"/>
  <c r="Q25" i="47"/>
  <c r="M30" i="47"/>
  <c r="P20" i="47"/>
  <c r="Q20" i="47"/>
  <c r="J20" i="47"/>
  <c r="E30" i="47"/>
  <c r="X10" i="47"/>
  <c r="G20" i="47"/>
  <c r="N15" i="47"/>
  <c r="D20" i="47"/>
  <c r="L20" i="47"/>
  <c r="AA28" i="47"/>
  <c r="R20" i="47"/>
  <c r="D30" i="47"/>
  <c r="G10" i="47"/>
  <c r="O10" i="47"/>
  <c r="K15" i="47"/>
  <c r="O20" i="47"/>
  <c r="I20" i="47"/>
  <c r="O15" i="47"/>
  <c r="X15" i="47"/>
  <c r="E15" i="47"/>
  <c r="L10" i="47"/>
  <c r="D25" i="47"/>
  <c r="R25" i="47"/>
  <c r="H10" i="47"/>
  <c r="P10" i="47"/>
  <c r="L15" i="47"/>
  <c r="H20" i="47"/>
  <c r="R10" i="47"/>
  <c r="G15" i="47"/>
  <c r="M10" i="47"/>
  <c r="P30" i="47"/>
  <c r="N20" i="47"/>
  <c r="I10" i="47"/>
  <c r="Q10" i="47"/>
  <c r="M15" i="47"/>
  <c r="K10" i="47"/>
  <c r="P15" i="47"/>
  <c r="Q15" i="47"/>
  <c r="F30" i="47"/>
  <c r="U20" i="47"/>
  <c r="I15" i="47"/>
  <c r="F15" i="47"/>
  <c r="J30" i="47"/>
  <c r="I30" i="47"/>
  <c r="Q30" i="47"/>
  <c r="J15" i="47"/>
  <c r="N30" i="47"/>
  <c r="J10" i="47"/>
  <c r="H15" i="47"/>
  <c r="E20" i="47"/>
  <c r="X20" i="47"/>
  <c r="N25" i="47"/>
  <c r="V15" i="47" l="1"/>
  <c r="Y20" i="47"/>
  <c r="V20" i="47"/>
  <c r="Y15" i="47"/>
  <c r="Y10" i="47"/>
  <c r="N19" i="4"/>
  <c r="O18" i="4" s="1"/>
  <c r="N26" i="4"/>
  <c r="O25" i="4" s="1"/>
  <c r="O28" i="4"/>
  <c r="K23" i="13"/>
  <c r="N14" i="4"/>
  <c r="O13" i="4" s="1"/>
  <c r="G26" i="4"/>
  <c r="J26" i="4"/>
  <c r="K25" i="4" s="1"/>
  <c r="H26" i="4"/>
  <c r="I25" i="4" s="1"/>
  <c r="O21" i="13"/>
  <c r="P21" i="13" s="1"/>
  <c r="G14" i="4"/>
  <c r="G23" i="13"/>
  <c r="G19" i="4"/>
  <c r="L12" i="13"/>
  <c r="O12" i="13" s="1"/>
  <c r="P12" i="13" s="1"/>
  <c r="L16" i="13"/>
  <c r="O16" i="13" s="1"/>
  <c r="P16" i="13" s="1"/>
  <c r="H19" i="4"/>
  <c r="I18" i="4" s="1"/>
  <c r="H14" i="4"/>
  <c r="I13" i="4" s="1"/>
  <c r="I28" i="4"/>
  <c r="H23" i="13"/>
  <c r="L22" i="13"/>
  <c r="O22" i="13" s="1"/>
  <c r="P22" i="13" s="1"/>
  <c r="K28" i="4"/>
  <c r="J19" i="4"/>
  <c r="K18" i="4" s="1"/>
  <c r="I23" i="13"/>
  <c r="J14" i="4"/>
  <c r="K13" i="4" s="1"/>
  <c r="L28" i="4"/>
  <c r="P16" i="47"/>
  <c r="D26" i="47"/>
  <c r="G19" i="47"/>
  <c r="G29" i="47"/>
  <c r="P26" i="47"/>
  <c r="J19" i="47"/>
  <c r="J9" i="47"/>
  <c r="J21" i="47"/>
  <c r="D16" i="47"/>
  <c r="T9" i="47"/>
  <c r="T29" i="47"/>
  <c r="M14" i="47"/>
  <c r="G9" i="47"/>
  <c r="J11" i="47"/>
  <c r="J29" i="47"/>
  <c r="D19" i="47"/>
  <c r="W21" i="47"/>
  <c r="W24" i="47"/>
  <c r="P24" i="47"/>
  <c r="D11" i="47"/>
  <c r="T16" i="47"/>
  <c r="M6" i="47"/>
  <c r="G11" i="47"/>
  <c r="M11" i="47"/>
  <c r="G14" i="47"/>
  <c r="M9" i="47"/>
  <c r="G21" i="47"/>
  <c r="M24" i="47"/>
  <c r="T21" i="47"/>
  <c r="D6" i="47"/>
  <c r="D14" i="47"/>
  <c r="T6" i="47"/>
  <c r="R15" i="47"/>
  <c r="M21" i="47"/>
  <c r="G24" i="47"/>
  <c r="J24" i="47"/>
  <c r="W14" i="47"/>
  <c r="G26" i="47"/>
  <c r="G6" i="47"/>
  <c r="W26" i="47"/>
  <c r="T11" i="47"/>
  <c r="T24" i="47"/>
  <c r="M26" i="47"/>
  <c r="J6" i="47"/>
  <c r="M16" i="47"/>
  <c r="P21" i="47"/>
  <c r="M19" i="47"/>
  <c r="T26" i="47"/>
  <c r="P6" i="47"/>
  <c r="G16" i="47"/>
  <c r="J14" i="47"/>
  <c r="P19" i="47"/>
  <c r="J16" i="47"/>
  <c r="W19" i="47"/>
  <c r="W29" i="47"/>
  <c r="P29" i="47"/>
  <c r="P9" i="47"/>
  <c r="D29" i="47"/>
  <c r="D9" i="47"/>
  <c r="F25" i="47"/>
  <c r="M29" i="47"/>
  <c r="W16" i="47"/>
  <c r="J26" i="47"/>
  <c r="W11" i="47"/>
  <c r="T14" i="47"/>
  <c r="T19" i="47"/>
  <c r="E32" i="4" l="1"/>
  <c r="G32" i="4" s="1"/>
  <c r="N28" i="4"/>
  <c r="O27" i="4" s="1"/>
  <c r="G28" i="4"/>
  <c r="L23" i="13"/>
  <c r="O23" i="13" s="1"/>
  <c r="P23" i="13" s="1"/>
  <c r="H28" i="4"/>
  <c r="I27" i="4" s="1"/>
  <c r="E34" i="4"/>
  <c r="G34" i="4" s="1"/>
  <c r="E36" i="4"/>
  <c r="G36" i="4" s="1"/>
  <c r="J28" i="4"/>
  <c r="K27" i="4" s="1"/>
  <c r="M27" i="4"/>
  <c r="D24" i="47"/>
  <c r="P11" i="47"/>
  <c r="P14" i="47"/>
  <c r="W6" i="47"/>
  <c r="W9" i="47"/>
  <c r="D21" i="47"/>
  <c r="E38" i="4" l="1"/>
  <c r="G38" i="4" s="1"/>
</calcChain>
</file>

<file path=xl/sharedStrings.xml><?xml version="1.0" encoding="utf-8"?>
<sst xmlns="http://schemas.openxmlformats.org/spreadsheetml/2006/main" count="11079" uniqueCount="2516">
  <si>
    <t>専門科目</t>
    <rPh sb="0" eb="2">
      <t>センモン</t>
    </rPh>
    <rPh sb="2" eb="4">
      <t>カモク</t>
    </rPh>
    <phoneticPr fontId="5"/>
  </si>
  <si>
    <t>１年春</t>
    <rPh sb="1" eb="2">
      <t>ネン</t>
    </rPh>
    <rPh sb="2" eb="3">
      <t>ハル</t>
    </rPh>
    <phoneticPr fontId="5"/>
  </si>
  <si>
    <t>１年秋</t>
    <rPh sb="1" eb="2">
      <t>ネン</t>
    </rPh>
    <rPh sb="2" eb="3">
      <t>アキ</t>
    </rPh>
    <phoneticPr fontId="5"/>
  </si>
  <si>
    <t>２年春</t>
    <rPh sb="1" eb="2">
      <t>ネン</t>
    </rPh>
    <rPh sb="2" eb="3">
      <t>ハル</t>
    </rPh>
    <phoneticPr fontId="5"/>
  </si>
  <si>
    <t>２年秋</t>
    <rPh sb="1" eb="2">
      <t>ネン</t>
    </rPh>
    <rPh sb="2" eb="3">
      <t>アキ</t>
    </rPh>
    <phoneticPr fontId="5"/>
  </si>
  <si>
    <t>合計</t>
    <rPh sb="0" eb="2">
      <t>ゴウケイ</t>
    </rPh>
    <phoneticPr fontId="5"/>
  </si>
  <si>
    <t>状態</t>
    <rPh sb="0" eb="2">
      <t>ジョウタイ</t>
    </rPh>
    <phoneticPr fontId="5"/>
  </si>
  <si>
    <t>成績表</t>
    <rPh sb="0" eb="2">
      <t>セイセキ</t>
    </rPh>
    <rPh sb="2" eb="3">
      <t>ヒョウ</t>
    </rPh>
    <phoneticPr fontId="5"/>
  </si>
  <si>
    <t>GPA</t>
    <phoneticPr fontId="5"/>
  </si>
  <si>
    <t>成績</t>
    <rPh sb="0" eb="2">
      <t>セイセキ</t>
    </rPh>
    <phoneticPr fontId="5"/>
  </si>
  <si>
    <t>履修基準</t>
    <rPh sb="0" eb="2">
      <t>リシュウ</t>
    </rPh>
    <rPh sb="2" eb="4">
      <t>キジュン</t>
    </rPh>
    <phoneticPr fontId="5"/>
  </si>
  <si>
    <t>ー</t>
    <phoneticPr fontId="5"/>
  </si>
  <si>
    <t>単位以上</t>
    <rPh sb="0" eb="2">
      <t>タンイ</t>
    </rPh>
    <rPh sb="2" eb="4">
      <t>イジョウ</t>
    </rPh>
    <phoneticPr fontId="5"/>
  </si>
  <si>
    <t>単位以上</t>
    <rPh sb="0" eb="4">
      <t>タンイイジョウ</t>
    </rPh>
    <phoneticPr fontId="5"/>
  </si>
  <si>
    <t>単位以上</t>
    <rPh sb="0" eb="1">
      <t>タン</t>
    </rPh>
    <rPh sb="1" eb="2">
      <t>イ</t>
    </rPh>
    <rPh sb="2" eb="4">
      <t>イジョウ</t>
    </rPh>
    <phoneticPr fontId="5"/>
  </si>
  <si>
    <t>単位数</t>
    <rPh sb="0" eb="3">
      <t>タンイスウ</t>
    </rPh>
    <phoneticPr fontId="5"/>
  </si>
  <si>
    <t>GP</t>
    <phoneticPr fontId="5"/>
  </si>
  <si>
    <t>RCT/GPT</t>
    <phoneticPr fontId="5"/>
  </si>
  <si>
    <t>RC</t>
    <phoneticPr fontId="5"/>
  </si>
  <si>
    <t>学府共通科目</t>
    <rPh sb="0" eb="2">
      <t>ガクフ</t>
    </rPh>
    <rPh sb="2" eb="4">
      <t>キョウツウ</t>
    </rPh>
    <rPh sb="4" eb="6">
      <t>カモク</t>
    </rPh>
    <phoneticPr fontId="5"/>
  </si>
  <si>
    <t>成績管理表</t>
    <rPh sb="0" eb="2">
      <t>セイセキ</t>
    </rPh>
    <rPh sb="2" eb="4">
      <t>カンリ</t>
    </rPh>
    <rPh sb="4" eb="5">
      <t>ヒョウ</t>
    </rPh>
    <phoneticPr fontId="5"/>
  </si>
  <si>
    <t>学府</t>
    <rPh sb="0" eb="2">
      <t>ガクフ</t>
    </rPh>
    <phoneticPr fontId="5"/>
  </si>
  <si>
    <t>専攻</t>
    <rPh sb="0" eb="2">
      <t>センコウ</t>
    </rPh>
    <phoneticPr fontId="5"/>
  </si>
  <si>
    <t>教育分野</t>
    <rPh sb="0" eb="2">
      <t>キョウイク</t>
    </rPh>
    <rPh sb="2" eb="4">
      <t>ブンヤ</t>
    </rPh>
    <phoneticPr fontId="5"/>
  </si>
  <si>
    <t>プログラム</t>
    <phoneticPr fontId="5"/>
  </si>
  <si>
    <t>ドロップダウンリスト</t>
  </si>
  <si>
    <t>横浜国立大学大学院</t>
    <rPh sb="0" eb="2">
      <t>ヨコハマ</t>
    </rPh>
    <rPh sb="2" eb="4">
      <t>コクリツ</t>
    </rPh>
    <rPh sb="4" eb="6">
      <t>ダイガク</t>
    </rPh>
    <rPh sb="6" eb="9">
      <t>ダイガクイン</t>
    </rPh>
    <phoneticPr fontId="5"/>
  </si>
  <si>
    <t>理工学府</t>
  </si>
  <si>
    <t>課程</t>
    <rPh sb="0" eb="2">
      <t>カテイ</t>
    </rPh>
    <phoneticPr fontId="5"/>
  </si>
  <si>
    <t>博士課程前期</t>
    <rPh sb="0" eb="2">
      <t>ハクシ</t>
    </rPh>
    <rPh sb="2" eb="4">
      <t>カテイ</t>
    </rPh>
    <rPh sb="4" eb="6">
      <t>ゼンキ</t>
    </rPh>
    <phoneticPr fontId="5"/>
  </si>
  <si>
    <t>数物・電子情報系理工学</t>
  </si>
  <si>
    <t>情報システム</t>
    <rPh sb="0" eb="2">
      <t>ジョウホウ</t>
    </rPh>
    <phoneticPr fontId="5"/>
  </si>
  <si>
    <t>TED</t>
    <phoneticPr fontId="5"/>
  </si>
  <si>
    <t>機械・材料・海洋系工学</t>
    <rPh sb="0" eb="2">
      <t>キカイ</t>
    </rPh>
    <rPh sb="3" eb="5">
      <t>ザイリョウ</t>
    </rPh>
    <rPh sb="6" eb="8">
      <t>カイヨウ</t>
    </rPh>
    <rPh sb="8" eb="9">
      <t>ケイ</t>
    </rPh>
    <rPh sb="9" eb="11">
      <t>コウガク</t>
    </rPh>
    <phoneticPr fontId="5"/>
  </si>
  <si>
    <t>化学・生命系理工学</t>
    <rPh sb="0" eb="2">
      <t>カガク</t>
    </rPh>
    <rPh sb="3" eb="5">
      <t>セイメイ</t>
    </rPh>
    <rPh sb="5" eb="6">
      <t>ケイ</t>
    </rPh>
    <rPh sb="6" eb="9">
      <t>リコウガク</t>
    </rPh>
    <phoneticPr fontId="5"/>
  </si>
  <si>
    <t>応用物理</t>
    <rPh sb="0" eb="2">
      <t>オウヨウ</t>
    </rPh>
    <rPh sb="2" eb="4">
      <t>ブツリ</t>
    </rPh>
    <phoneticPr fontId="5"/>
  </si>
  <si>
    <t>電気電子ネットワーク</t>
    <rPh sb="0" eb="2">
      <t>デンキ</t>
    </rPh>
    <rPh sb="2" eb="4">
      <t>デンシ</t>
    </rPh>
    <phoneticPr fontId="5"/>
  </si>
  <si>
    <t>PED</t>
    <phoneticPr fontId="5"/>
  </si>
  <si>
    <t>PSD</t>
    <phoneticPr fontId="5"/>
  </si>
  <si>
    <t>機械工学</t>
    <rPh sb="0" eb="2">
      <t>キカイ</t>
    </rPh>
    <rPh sb="2" eb="4">
      <t>コウガク</t>
    </rPh>
    <phoneticPr fontId="5"/>
  </si>
  <si>
    <t>材料工学</t>
    <rPh sb="0" eb="2">
      <t>ザイリョウ</t>
    </rPh>
    <rPh sb="2" eb="4">
      <t>コウガク</t>
    </rPh>
    <phoneticPr fontId="5"/>
  </si>
  <si>
    <t>海洋空間</t>
    <rPh sb="0" eb="2">
      <t>カイヨウ</t>
    </rPh>
    <rPh sb="2" eb="4">
      <t>クウカン</t>
    </rPh>
    <phoneticPr fontId="5"/>
  </si>
  <si>
    <t>航空宇宙工学</t>
    <rPh sb="0" eb="2">
      <t>コウクウ</t>
    </rPh>
    <rPh sb="2" eb="4">
      <t>ウチュウ</t>
    </rPh>
    <rPh sb="4" eb="6">
      <t>コウガク</t>
    </rPh>
    <phoneticPr fontId="5"/>
  </si>
  <si>
    <t>化学</t>
    <rPh sb="0" eb="2">
      <t>カガク</t>
    </rPh>
    <phoneticPr fontId="5"/>
  </si>
  <si>
    <t>応用化学</t>
    <rPh sb="0" eb="2">
      <t>オウヨウ</t>
    </rPh>
    <rPh sb="2" eb="4">
      <t>カガク</t>
    </rPh>
    <phoneticPr fontId="5"/>
  </si>
  <si>
    <t>化学応用・バイオ</t>
    <rPh sb="0" eb="2">
      <t>カガク</t>
    </rPh>
    <rPh sb="2" eb="4">
      <t>オウヨウ</t>
    </rPh>
    <phoneticPr fontId="5"/>
  </si>
  <si>
    <t>エネルギー化学</t>
    <rPh sb="5" eb="7">
      <t>カガク</t>
    </rPh>
    <phoneticPr fontId="5"/>
  </si>
  <si>
    <t>数学</t>
    <rPh sb="0" eb="2">
      <t>スウガク</t>
    </rPh>
    <phoneticPr fontId="5"/>
  </si>
  <si>
    <t>物理工学</t>
    <rPh sb="0" eb="2">
      <t>ブツリ</t>
    </rPh>
    <rPh sb="2" eb="4">
      <t>コウガク</t>
    </rPh>
    <phoneticPr fontId="5"/>
  </si>
  <si>
    <t>電気電子ネットワーク</t>
    <rPh sb="0" eb="4">
      <t>デンキデンシ</t>
    </rPh>
    <phoneticPr fontId="5"/>
  </si>
  <si>
    <t>理学</t>
    <rPh sb="0" eb="2">
      <t>リガク</t>
    </rPh>
    <phoneticPr fontId="5"/>
  </si>
  <si>
    <t>博士課程後期</t>
    <rPh sb="0" eb="2">
      <t>ハクシ</t>
    </rPh>
    <rPh sb="2" eb="4">
      <t>カテイ</t>
    </rPh>
    <rPh sb="4" eb="6">
      <t>コウキ</t>
    </rPh>
    <phoneticPr fontId="5"/>
  </si>
  <si>
    <t>氏名</t>
    <rPh sb="0" eb="2">
      <t>シメイ</t>
    </rPh>
    <phoneticPr fontId="5"/>
  </si>
  <si>
    <t>学籍番号</t>
    <rPh sb="0" eb="2">
      <t>ガクセキ</t>
    </rPh>
    <rPh sb="2" eb="4">
      <t>バンゴウ</t>
    </rPh>
    <phoneticPr fontId="5"/>
  </si>
  <si>
    <t>▲上記リストを関数名で定義</t>
    <rPh sb="1" eb="3">
      <t>ジョウキ</t>
    </rPh>
    <rPh sb="7" eb="9">
      <t>カンスウ</t>
    </rPh>
    <rPh sb="9" eb="10">
      <t>メイ</t>
    </rPh>
    <rPh sb="11" eb="13">
      <t>テイギ</t>
    </rPh>
    <phoneticPr fontId="5"/>
  </si>
  <si>
    <t>理工学府</t>
    <rPh sb="0" eb="2">
      <t>リコウ</t>
    </rPh>
    <rPh sb="2" eb="4">
      <t>ガクフ</t>
    </rPh>
    <phoneticPr fontId="5"/>
  </si>
  <si>
    <t>大学院</t>
    <rPh sb="0" eb="3">
      <t>ダイガクイン</t>
    </rPh>
    <phoneticPr fontId="5"/>
  </si>
  <si>
    <t>専攻共通科目</t>
    <rPh sb="0" eb="2">
      <t>センコウ</t>
    </rPh>
    <rPh sb="2" eb="4">
      <t>キョウツウ</t>
    </rPh>
    <rPh sb="4" eb="6">
      <t>カモク</t>
    </rPh>
    <phoneticPr fontId="5"/>
  </si>
  <si>
    <t>科目一覧</t>
    <rPh sb="0" eb="2">
      <t>カモク</t>
    </rPh>
    <rPh sb="2" eb="4">
      <t>イチラン</t>
    </rPh>
    <phoneticPr fontId="5"/>
  </si>
  <si>
    <r>
      <rPr>
        <sz val="6"/>
        <rFont val="ＭＳ Ｐゴシック"/>
        <family val="3"/>
      </rPr>
      <t>理工学府MPBL</t>
    </r>
  </si>
  <si>
    <r>
      <rPr>
        <sz val="6"/>
        <rFont val="ＭＳ Ｐゴシック"/>
        <family val="3"/>
      </rPr>
      <t>Presentation English</t>
    </r>
  </si>
  <si>
    <r>
      <rPr>
        <sz val="6"/>
        <rFont val="ＭＳ Ｐゴシック"/>
        <family val="3"/>
      </rPr>
      <t>安藤吉隆</t>
    </r>
  </si>
  <si>
    <r>
      <rPr>
        <sz val="6"/>
        <rFont val="ＭＳ Ｐゴシック"/>
        <family val="3"/>
      </rPr>
      <t>Presentation English S, Basic Level</t>
    </r>
  </si>
  <si>
    <r>
      <rPr>
        <sz val="6"/>
        <rFont val="ＭＳ Ｐゴシック"/>
        <family val="3"/>
      </rPr>
      <t>萱葺正</t>
    </r>
  </si>
  <si>
    <r>
      <rPr>
        <sz val="6"/>
        <rFont val="ＭＳ Ｐゴシック"/>
        <family val="3"/>
      </rPr>
      <t>Presentation English F, Basic Level</t>
    </r>
  </si>
  <si>
    <r>
      <rPr>
        <sz val="6"/>
        <rFont val="ＭＳ Ｐゴシック"/>
        <family val="3"/>
      </rPr>
      <t>リスクマネジメントのための技術者倫理</t>
    </r>
  </si>
  <si>
    <r>
      <rPr>
        <sz val="6"/>
        <rFont val="ＭＳ Ｐゴシック"/>
        <family val="3"/>
      </rPr>
      <t>イノベーションと起業Ⅱ</t>
    </r>
  </si>
  <si>
    <r>
      <rPr>
        <sz val="6"/>
        <rFont val="ＭＳ Ｐゴシック"/>
        <family val="3"/>
      </rPr>
      <t>プロジェクトマネジメントⅠ</t>
    </r>
  </si>
  <si>
    <r>
      <rPr>
        <sz val="6"/>
        <rFont val="ＭＳ Ｐゴシック"/>
        <family val="3"/>
      </rPr>
      <t>岡埜谷正裕</t>
    </r>
  </si>
  <si>
    <r>
      <rPr>
        <sz val="6"/>
        <rFont val="ＭＳ Ｐゴシック"/>
        <family val="3"/>
      </rPr>
      <t>プロジェクトマネジメントⅡ</t>
    </r>
  </si>
  <si>
    <r>
      <rPr>
        <sz val="6"/>
        <rFont val="ＭＳ Ｐゴシック"/>
        <family val="3"/>
      </rPr>
      <t>プロフェッショナルエンジニアⅠ</t>
    </r>
  </si>
  <si>
    <r>
      <rPr>
        <sz val="6"/>
        <rFont val="ＭＳ Ｐゴシック"/>
        <family val="3"/>
      </rPr>
      <t>プロフェッショナルエンジニアⅡ</t>
    </r>
  </si>
  <si>
    <r>
      <rPr>
        <sz val="6"/>
        <rFont val="ＭＳ Ｐゴシック"/>
        <family val="3"/>
      </rPr>
      <t>Professional Ethics in EU＆US</t>
    </r>
  </si>
  <si>
    <r>
      <rPr>
        <sz val="6"/>
        <rFont val="ＭＳ Ｐゴシック"/>
        <family val="3"/>
      </rPr>
      <t>グローバル企業における効果的な事業計画策定</t>
    </r>
  </si>
  <si>
    <r>
      <rPr>
        <sz val="6"/>
        <rFont val="ＭＳ Ｐゴシック"/>
        <family val="3"/>
      </rPr>
      <t>藤岡健介</t>
    </r>
  </si>
  <si>
    <r>
      <rPr>
        <sz val="6"/>
        <rFont val="ＭＳ Ｐゴシック"/>
        <family val="3"/>
      </rPr>
      <t>グローバルスタンダードの次世代ビジネススキル</t>
    </r>
  </si>
  <si>
    <r>
      <rPr>
        <sz val="6"/>
        <rFont val="ＭＳ Ｐゴシック"/>
        <family val="3"/>
      </rPr>
      <t>山口博</t>
    </r>
  </si>
  <si>
    <r>
      <rPr>
        <sz val="6"/>
        <rFont val="ＭＳ Ｐゴシック"/>
        <family val="3"/>
      </rPr>
      <t>イノベーションと課題発見Ⅰ</t>
    </r>
  </si>
  <si>
    <r>
      <rPr>
        <sz val="6"/>
        <rFont val="ＭＳ Ｐゴシック"/>
        <family val="3"/>
      </rPr>
      <t>イノベーションと課題発見Ⅱ</t>
    </r>
  </si>
  <si>
    <r>
      <rPr>
        <sz val="6"/>
        <rFont val="ＭＳ Ｐゴシック"/>
        <family val="3"/>
      </rPr>
      <t>標準化とビジネス</t>
    </r>
  </si>
  <si>
    <r>
      <rPr>
        <sz val="6"/>
        <rFont val="ＭＳ Ｐゴシック"/>
        <family val="3"/>
      </rPr>
      <t>神奈川県の取り組む技術課題</t>
    </r>
  </si>
  <si>
    <r>
      <rPr>
        <sz val="6"/>
        <rFont val="ＭＳ Ｐゴシック"/>
        <family val="3"/>
      </rPr>
      <t>為近恵美</t>
    </r>
  </si>
  <si>
    <r>
      <rPr>
        <sz val="6"/>
        <rFont val="ＭＳ Ｐゴシック"/>
        <family val="3"/>
      </rPr>
      <t>理工学府海外インターンシップ</t>
    </r>
  </si>
  <si>
    <r>
      <rPr>
        <sz val="6"/>
        <rFont val="ＭＳ Ｐゴシック"/>
        <family val="3"/>
      </rPr>
      <t>梅原出</t>
    </r>
  </si>
  <si>
    <r>
      <rPr>
        <sz val="6"/>
        <rFont val="ＭＳ Ｐゴシック"/>
        <family val="3"/>
      </rPr>
      <t>数値流体工学</t>
    </r>
  </si>
  <si>
    <r>
      <rPr>
        <sz val="6"/>
        <rFont val="ＭＳ Ｐゴシック"/>
        <family val="3"/>
      </rPr>
      <t>松井純</t>
    </r>
  </si>
  <si>
    <r>
      <rPr>
        <sz val="6"/>
        <rFont val="ＭＳ Ｐゴシック"/>
        <family val="3"/>
      </rPr>
      <t>乱流現象論</t>
    </r>
  </si>
  <si>
    <r>
      <rPr>
        <sz val="6"/>
        <rFont val="ＭＳ Ｐゴシック"/>
        <family val="3"/>
      </rPr>
      <t>西野耕一</t>
    </r>
  </si>
  <si>
    <r>
      <rPr>
        <sz val="6"/>
        <rFont val="ＭＳ Ｐゴシック"/>
        <family val="3"/>
      </rPr>
      <t>光・電子材料学概論</t>
    </r>
  </si>
  <si>
    <r>
      <rPr>
        <sz val="6"/>
        <rFont val="ＭＳ Ｐゴシック"/>
        <family val="3"/>
      </rPr>
      <t>向井剛輝</t>
    </r>
  </si>
  <si>
    <r>
      <rPr>
        <sz val="6"/>
        <rFont val="ＭＳ Ｐゴシック"/>
        <family val="3"/>
      </rPr>
      <t>多機能性複合材料概論</t>
    </r>
  </si>
  <si>
    <r>
      <rPr>
        <sz val="6"/>
        <rFont val="ＭＳ Ｐゴシック"/>
        <family val="3"/>
      </rPr>
      <t>中尾航</t>
    </r>
  </si>
  <si>
    <r>
      <rPr>
        <sz val="6"/>
        <rFont val="ＭＳ Ｐゴシック"/>
        <family val="3"/>
      </rPr>
      <t>波浪と船体運動</t>
    </r>
  </si>
  <si>
    <r>
      <rPr>
        <sz val="6"/>
        <rFont val="ＭＳ Ｐゴシック"/>
        <family val="3"/>
      </rPr>
      <t>平川嘉昭</t>
    </r>
  </si>
  <si>
    <r>
      <rPr>
        <sz val="6"/>
        <rFont val="ＭＳ Ｐゴシック"/>
        <family val="3"/>
      </rPr>
      <t>海洋資源エネルギー工学入門</t>
    </r>
  </si>
  <si>
    <r>
      <rPr>
        <sz val="6"/>
        <rFont val="ＭＳ Ｐゴシック"/>
        <family val="3"/>
      </rPr>
      <t>西佳樹</t>
    </r>
  </si>
  <si>
    <r>
      <rPr>
        <sz val="6"/>
        <rFont val="ＭＳ Ｐゴシック"/>
        <family val="3"/>
      </rPr>
      <t>分子統計力学</t>
    </r>
  </si>
  <si>
    <r>
      <rPr>
        <sz val="6"/>
        <rFont val="ＭＳ Ｐゴシック"/>
        <family val="3"/>
      </rPr>
      <t>迫村勝</t>
    </r>
  </si>
  <si>
    <r>
      <rPr>
        <sz val="6"/>
        <rFont val="ＭＳ Ｐゴシック"/>
        <family val="3"/>
      </rPr>
      <t>量子反応論</t>
    </r>
  </si>
  <si>
    <r>
      <rPr>
        <sz val="6"/>
        <rFont val="ＭＳ Ｐゴシック"/>
        <family val="3"/>
      </rPr>
      <t>佐藤浩太</t>
    </r>
  </si>
  <si>
    <r>
      <rPr>
        <sz val="6"/>
        <rFont val="ＭＳ Ｐゴシック"/>
        <family val="3"/>
      </rPr>
      <t>触媒化学</t>
    </r>
  </si>
  <si>
    <r>
      <rPr>
        <sz val="6"/>
        <rFont val="ＭＳ Ｐゴシック"/>
        <family val="3"/>
      </rPr>
      <t>窪田好浩</t>
    </r>
  </si>
  <si>
    <r>
      <rPr>
        <sz val="6"/>
        <rFont val="ＭＳ Ｐゴシック"/>
        <family val="3"/>
      </rPr>
      <t>高分子設計学</t>
    </r>
  </si>
  <si>
    <r>
      <rPr>
        <sz val="6"/>
        <rFont val="ＭＳ Ｐゴシック"/>
        <family val="3"/>
      </rPr>
      <t>大山俊幸</t>
    </r>
  </si>
  <si>
    <r>
      <rPr>
        <sz val="6"/>
        <rFont val="ＭＳ Ｐゴシック"/>
        <family val="3"/>
      </rPr>
      <t>有機光化学</t>
    </r>
  </si>
  <si>
    <r>
      <rPr>
        <sz val="6"/>
        <rFont val="ＭＳ Ｐゴシック"/>
        <family val="3"/>
      </rPr>
      <t>村田滋</t>
    </r>
  </si>
  <si>
    <r>
      <rPr>
        <sz val="6"/>
        <rFont val="ＭＳ Ｐゴシック"/>
        <family val="3"/>
      </rPr>
      <t>微生物応用学</t>
    </r>
  </si>
  <si>
    <r>
      <rPr>
        <sz val="6"/>
        <rFont val="ＭＳ Ｐゴシック"/>
        <family val="3"/>
      </rPr>
      <t>菊池慶実</t>
    </r>
  </si>
  <si>
    <r>
      <rPr>
        <sz val="6"/>
        <rFont val="ＭＳ Ｐゴシック"/>
        <family val="3"/>
      </rPr>
      <t>先端機器分析特論</t>
    </r>
  </si>
  <si>
    <r>
      <rPr>
        <sz val="6"/>
        <rFont val="ＭＳ Ｐゴシック"/>
        <family val="3"/>
      </rPr>
      <t>谷村誠</t>
    </r>
  </si>
  <si>
    <r>
      <rPr>
        <sz val="6"/>
        <rFont val="ＭＳ Ｐゴシック"/>
        <family val="3"/>
      </rPr>
      <t>固体化学</t>
    </r>
  </si>
  <si>
    <r>
      <rPr>
        <sz val="6"/>
        <rFont val="ＭＳ Ｐゴシック"/>
        <family val="3"/>
      </rPr>
      <t>藪内直明</t>
    </r>
  </si>
  <si>
    <r>
      <rPr>
        <sz val="6"/>
        <rFont val="ＭＳ Ｐゴシック"/>
        <family val="3"/>
      </rPr>
      <t>プロセス計測学</t>
    </r>
  </si>
  <si>
    <r>
      <rPr>
        <sz val="6"/>
        <rFont val="ＭＳ Ｐゴシック"/>
        <family val="3"/>
      </rPr>
      <t>岡崎慎司</t>
    </r>
  </si>
  <si>
    <r>
      <rPr>
        <sz val="6"/>
        <rFont val="ＭＳ Ｐゴシック"/>
        <family val="3"/>
      </rPr>
      <t>伝熱工学特論</t>
    </r>
  </si>
  <si>
    <r>
      <rPr>
        <sz val="6"/>
        <rFont val="ＭＳ Ｐゴシック"/>
        <family val="3"/>
      </rPr>
      <t>奥山邦人</t>
    </r>
  </si>
  <si>
    <r>
      <rPr>
        <sz val="6"/>
        <rFont val="ＭＳ Ｐゴシック"/>
        <family val="3"/>
      </rPr>
      <t>移動現象特論</t>
    </r>
  </si>
  <si>
    <r>
      <rPr>
        <sz val="6"/>
        <rFont val="ＭＳ Ｐゴシック"/>
        <family val="3"/>
      </rPr>
      <t>相原雅彦</t>
    </r>
  </si>
  <si>
    <r>
      <rPr>
        <sz val="6"/>
        <rFont val="ＭＳ Ｐゴシック"/>
        <family val="3"/>
      </rPr>
      <t>先端燃料電池技術</t>
    </r>
  </si>
  <si>
    <r>
      <rPr>
        <sz val="6"/>
        <rFont val="ＭＳ Ｐゴシック"/>
        <family val="3"/>
      </rPr>
      <t>数理科学 代数</t>
    </r>
  </si>
  <si>
    <r>
      <rPr>
        <sz val="6"/>
        <rFont val="ＭＳ Ｐゴシック"/>
        <family val="3"/>
      </rPr>
      <t>梶原健</t>
    </r>
  </si>
  <si>
    <r>
      <rPr>
        <sz val="6"/>
        <rFont val="ＭＳ Ｐゴシック"/>
        <family val="3"/>
      </rPr>
      <t>数理科学 幾何</t>
    </r>
  </si>
  <si>
    <r>
      <rPr>
        <sz val="6"/>
        <rFont val="ＭＳ Ｐゴシック"/>
        <family val="3"/>
      </rPr>
      <t>本田淳史</t>
    </r>
  </si>
  <si>
    <r>
      <rPr>
        <sz val="6"/>
        <rFont val="ＭＳ Ｐゴシック"/>
        <family val="3"/>
      </rPr>
      <t>数理科学 解析</t>
    </r>
  </si>
  <si>
    <r>
      <rPr>
        <sz val="6"/>
        <rFont val="ＭＳ Ｐゴシック"/>
        <family val="3"/>
      </rPr>
      <t>塩路直樹</t>
    </r>
  </si>
  <si>
    <r>
      <rPr>
        <sz val="6"/>
        <rFont val="ＭＳ Ｐゴシック"/>
        <family val="3"/>
      </rPr>
      <t>数理科学 確率・統計</t>
    </r>
  </si>
  <si>
    <r>
      <rPr>
        <sz val="6"/>
        <rFont val="ＭＳ Ｐゴシック"/>
        <family val="3"/>
      </rPr>
      <t>今野紀雄</t>
    </r>
  </si>
  <si>
    <r>
      <rPr>
        <sz val="6"/>
        <rFont val="ＭＳ Ｐゴシック"/>
        <family val="3"/>
      </rPr>
      <t>数理科学 データ・サイエンス</t>
    </r>
  </si>
  <si>
    <r>
      <rPr>
        <sz val="6"/>
        <rFont val="ＭＳ Ｐゴシック"/>
        <family val="3"/>
      </rPr>
      <t>黒木学</t>
    </r>
  </si>
  <si>
    <r>
      <rPr>
        <sz val="6"/>
        <rFont val="ＭＳ Ｐゴシック"/>
        <family val="3"/>
      </rPr>
      <t>量子統計力学</t>
    </r>
  </si>
  <si>
    <r>
      <rPr>
        <sz val="6"/>
        <rFont val="ＭＳ Ｐゴシック"/>
        <family val="3"/>
      </rPr>
      <t>蔵本哲治</t>
    </r>
  </si>
  <si>
    <r>
      <rPr>
        <sz val="6"/>
        <rFont val="ＭＳ Ｐゴシック"/>
        <family val="3"/>
      </rPr>
      <t>ナノ物性物理科学</t>
    </r>
  </si>
  <si>
    <r>
      <rPr>
        <sz val="6"/>
        <rFont val="ＭＳ Ｐゴシック"/>
        <family val="3"/>
      </rPr>
      <t>磁気科学概論</t>
    </r>
  </si>
  <si>
    <r>
      <rPr>
        <sz val="6"/>
        <rFont val="ＭＳ Ｐゴシック"/>
        <family val="3"/>
      </rPr>
      <t>低温物理学</t>
    </r>
  </si>
  <si>
    <r>
      <rPr>
        <sz val="6"/>
        <rFont val="ＭＳ Ｐゴシック"/>
        <family val="3"/>
      </rPr>
      <t>島津佳弘</t>
    </r>
  </si>
  <si>
    <r>
      <rPr>
        <sz val="6"/>
        <rFont val="ＭＳ Ｐゴシック"/>
        <family val="3"/>
      </rPr>
      <t>宇宙素粒子物理学概論</t>
    </r>
  </si>
  <si>
    <r>
      <rPr>
        <sz val="6"/>
        <rFont val="ＭＳ Ｐゴシック"/>
        <family val="3"/>
      </rPr>
      <t>中村正吾</t>
    </r>
  </si>
  <si>
    <r>
      <rPr>
        <sz val="6"/>
        <rFont val="ＭＳ Ｐゴシック"/>
        <family val="3"/>
      </rPr>
      <t>プラズマ物理</t>
    </r>
  </si>
  <si>
    <r>
      <rPr>
        <sz val="6"/>
        <rFont val="ＭＳ Ｐゴシック"/>
        <family val="3"/>
      </rPr>
      <t>津嶋晴</t>
    </r>
  </si>
  <si>
    <r>
      <rPr>
        <sz val="6"/>
        <rFont val="ＭＳ Ｐゴシック"/>
        <family val="3"/>
      </rPr>
      <t>エネルギーシステム論</t>
    </r>
  </si>
  <si>
    <r>
      <rPr>
        <sz val="6"/>
        <rFont val="ＭＳ Ｐゴシック"/>
        <family val="3"/>
      </rPr>
      <t>信号理論</t>
    </r>
  </si>
  <si>
    <r>
      <rPr>
        <sz val="6"/>
        <rFont val="ＭＳ Ｐゴシック"/>
        <family val="3"/>
      </rPr>
      <t>庄木裕樹</t>
    </r>
  </si>
  <si>
    <r>
      <rPr>
        <sz val="6"/>
        <rFont val="ＭＳ Ｐゴシック"/>
        <family val="3"/>
      </rPr>
      <t>アドバンストディジタル通信</t>
    </r>
  </si>
  <si>
    <r>
      <rPr>
        <sz val="6"/>
        <rFont val="ＭＳ Ｐゴシック"/>
        <family val="3"/>
      </rPr>
      <t>河野隆二</t>
    </r>
  </si>
  <si>
    <r>
      <rPr>
        <sz val="6"/>
        <rFont val="ＭＳ Ｐゴシック"/>
        <family val="3"/>
      </rPr>
      <t>VLSIシステム設計</t>
    </r>
  </si>
  <si>
    <r>
      <rPr>
        <sz val="6"/>
        <rFont val="ＭＳ Ｐゴシック"/>
        <family val="3"/>
      </rPr>
      <t>吉川信行</t>
    </r>
  </si>
  <si>
    <r>
      <rPr>
        <sz val="6"/>
        <rFont val="ＭＳ Ｐゴシック"/>
        <family val="3"/>
      </rPr>
      <t>先端エレクトロニクス製品アーキテクチャ講座</t>
    </r>
  </si>
  <si>
    <r>
      <rPr>
        <sz val="6"/>
        <rFont val="ＭＳ Ｐゴシック"/>
        <family val="3"/>
      </rPr>
      <t>知能システム論</t>
    </r>
  </si>
  <si>
    <r>
      <rPr>
        <sz val="6"/>
        <rFont val="ＭＳ Ｐゴシック"/>
        <family val="3"/>
      </rPr>
      <t>濱上知樹</t>
    </r>
  </si>
  <si>
    <r>
      <rPr>
        <sz val="6"/>
        <rFont val="ＭＳ Ｐゴシック"/>
        <family val="3"/>
      </rPr>
      <t>マテリアルインテグレーション</t>
    </r>
  </si>
  <si>
    <r>
      <rPr>
        <sz val="6"/>
        <rFont val="ＭＳ Ｐゴシック"/>
        <family val="3"/>
      </rPr>
      <t>松木武雄</t>
    </r>
  </si>
  <si>
    <r>
      <rPr>
        <sz val="6"/>
        <rFont val="ＭＳ Ｐゴシック"/>
        <family val="3"/>
      </rPr>
      <t>強度設計特論</t>
    </r>
  </si>
  <si>
    <r>
      <rPr>
        <sz val="6"/>
        <rFont val="ＭＳ Ｐゴシック"/>
        <family val="3"/>
      </rPr>
      <t>于強</t>
    </r>
  </si>
  <si>
    <r>
      <rPr>
        <sz val="6"/>
        <rFont val="ＭＳ Ｐゴシック"/>
        <family val="3"/>
      </rPr>
      <t>システムモデリングと制御</t>
    </r>
  </si>
  <si>
    <r>
      <rPr>
        <sz val="6"/>
        <rFont val="ＭＳ Ｐゴシック"/>
        <family val="3"/>
      </rPr>
      <t>眞田一志</t>
    </r>
  </si>
  <si>
    <r>
      <rPr>
        <sz val="6"/>
        <rFont val="ＭＳ Ｐゴシック"/>
        <family val="3"/>
      </rPr>
      <t>反応性気体力学</t>
    </r>
  </si>
  <si>
    <r>
      <rPr>
        <sz val="6"/>
        <rFont val="ＭＳ Ｐゴシック"/>
        <family val="3"/>
      </rPr>
      <t>石井一洋</t>
    </r>
  </si>
  <si>
    <r>
      <rPr>
        <sz val="6"/>
        <rFont val="ＭＳ Ｐゴシック"/>
        <family val="3"/>
      </rPr>
      <t>宇宙推進工学</t>
    </r>
  </si>
  <si>
    <r>
      <rPr>
        <sz val="6"/>
        <rFont val="ＭＳ Ｐゴシック"/>
        <family val="3"/>
      </rPr>
      <t>鷹尾祥典</t>
    </r>
  </si>
  <si>
    <r>
      <rPr>
        <sz val="6"/>
        <rFont val="ＭＳ Ｐゴシック"/>
        <family val="3"/>
      </rPr>
      <t>結晶の変形・破壊幾何学</t>
    </r>
  </si>
  <si>
    <r>
      <rPr>
        <sz val="6"/>
        <rFont val="ＭＳ Ｐゴシック"/>
        <family val="3"/>
      </rPr>
      <t>梅澤修</t>
    </r>
  </si>
  <si>
    <r>
      <rPr>
        <sz val="6"/>
        <rFont val="ＭＳ Ｐゴシック"/>
        <family val="3"/>
      </rPr>
      <t>1・2</t>
    </r>
  </si>
  <si>
    <r>
      <rPr>
        <sz val="6"/>
        <rFont val="ＭＳ Ｐゴシック"/>
        <family val="3"/>
      </rPr>
      <t>成形加工学</t>
    </r>
  </si>
  <si>
    <r>
      <rPr>
        <sz val="6"/>
        <rFont val="ＭＳ Ｐゴシック"/>
        <family val="3"/>
      </rPr>
      <t>前野智美</t>
    </r>
  </si>
  <si>
    <r>
      <rPr>
        <sz val="6"/>
        <rFont val="ＭＳ Ｐゴシック"/>
        <family val="3"/>
      </rPr>
      <t>数値流体解析演習</t>
    </r>
  </si>
  <si>
    <r>
      <rPr>
        <sz val="6"/>
        <rFont val="ＭＳ Ｐゴシック"/>
        <family val="3"/>
      </rPr>
      <t>日野孝則</t>
    </r>
  </si>
  <si>
    <r>
      <rPr>
        <sz val="6"/>
        <rFont val="ＭＳ Ｐゴシック"/>
        <family val="3"/>
      </rPr>
      <t>数値構造解析演習</t>
    </r>
  </si>
  <si>
    <r>
      <rPr>
        <sz val="6"/>
        <rFont val="ＭＳ Ｐゴシック"/>
        <family val="3"/>
      </rPr>
      <t>川村恭己</t>
    </r>
  </si>
  <si>
    <r>
      <rPr>
        <sz val="6"/>
        <rFont val="ＭＳ Ｐゴシック"/>
        <family val="3"/>
      </rPr>
      <t>乱流工学概論</t>
    </r>
  </si>
  <si>
    <r>
      <rPr>
        <sz val="6"/>
        <rFont val="ＭＳ Ｐゴシック"/>
        <family val="3"/>
      </rPr>
      <t>髙木洋平</t>
    </r>
  </si>
  <si>
    <r>
      <rPr>
        <sz val="6"/>
        <rFont val="ＭＳ Ｐゴシック"/>
        <family val="3"/>
      </rPr>
      <t>航空宇宙利用工学</t>
    </r>
  </si>
  <si>
    <r>
      <rPr>
        <sz val="6"/>
        <rFont val="ＭＳ Ｐゴシック"/>
        <family val="3"/>
      </rPr>
      <t>樋口丈浩</t>
    </r>
  </si>
  <si>
    <r>
      <rPr>
        <sz val="6"/>
        <rFont val="ＭＳ Ｐゴシック"/>
        <family val="3"/>
      </rPr>
      <t>メカトロニクスデザイン</t>
    </r>
  </si>
  <si>
    <r>
      <rPr>
        <sz val="6"/>
        <rFont val="ＭＳ Ｐゴシック"/>
        <family val="3"/>
      </rPr>
      <t>佐藤恭一</t>
    </r>
  </si>
  <si>
    <r>
      <rPr>
        <sz val="6"/>
        <rFont val="ＭＳ Ｐゴシック"/>
        <family val="3"/>
      </rPr>
      <t>高速機械加工論</t>
    </r>
  </si>
  <si>
    <r>
      <rPr>
        <sz val="6"/>
        <rFont val="ＭＳ Ｐゴシック"/>
        <family val="3"/>
      </rPr>
      <t>篠塚淳</t>
    </r>
  </si>
  <si>
    <r>
      <rPr>
        <sz val="6"/>
        <rFont val="ＭＳ Ｐゴシック"/>
        <family val="3"/>
      </rPr>
      <t>破壊強度学</t>
    </r>
  </si>
  <si>
    <r>
      <rPr>
        <sz val="6"/>
        <rFont val="ＭＳ Ｐゴシック"/>
        <family val="3"/>
      </rPr>
      <t>秋庭義明</t>
    </r>
  </si>
  <si>
    <r>
      <rPr>
        <sz val="6"/>
        <rFont val="ＭＳ Ｐゴシック"/>
        <family val="3"/>
      </rPr>
      <t>希薄気体力学</t>
    </r>
  </si>
  <si>
    <r>
      <rPr>
        <sz val="6"/>
        <rFont val="ＭＳ Ｐゴシック"/>
        <family val="3"/>
      </rPr>
      <t>松本裕昭</t>
    </r>
  </si>
  <si>
    <r>
      <rPr>
        <sz val="6"/>
        <rFont val="ＭＳ Ｐゴシック"/>
        <family val="3"/>
      </rPr>
      <t>アドバンスト ロボティクス</t>
    </r>
  </si>
  <si>
    <r>
      <rPr>
        <sz val="6"/>
        <rFont val="ＭＳ Ｐゴシック"/>
        <family val="3"/>
      </rPr>
      <t>杉内肇</t>
    </r>
  </si>
  <si>
    <r>
      <rPr>
        <sz val="6"/>
        <rFont val="ＭＳ Ｐゴシック"/>
        <family val="3"/>
      </rPr>
      <t>知能ロボットエージェント</t>
    </r>
  </si>
  <si>
    <r>
      <rPr>
        <sz val="6"/>
        <rFont val="ＭＳ Ｐゴシック"/>
        <family val="3"/>
      </rPr>
      <t>前田雄介</t>
    </r>
  </si>
  <si>
    <r>
      <rPr>
        <sz val="6"/>
        <rFont val="ＭＳ Ｐゴシック"/>
        <family val="3"/>
      </rPr>
      <t>連続体力学</t>
    </r>
  </si>
  <si>
    <r>
      <rPr>
        <sz val="6"/>
        <rFont val="ＭＳ Ｐゴシック"/>
        <family val="3"/>
      </rPr>
      <t>尾崎伸吾</t>
    </r>
  </si>
  <si>
    <r>
      <rPr>
        <sz val="6"/>
        <rFont val="ＭＳ Ｐゴシック"/>
        <family val="3"/>
      </rPr>
      <t>応用流体力学</t>
    </r>
  </si>
  <si>
    <r>
      <rPr>
        <sz val="6"/>
        <rFont val="ＭＳ Ｐゴシック"/>
        <family val="3"/>
      </rPr>
      <t>百武徹</t>
    </r>
  </si>
  <si>
    <r>
      <rPr>
        <sz val="6"/>
        <rFont val="ＭＳ Ｐゴシック"/>
        <family val="3"/>
      </rPr>
      <t>アクチュエータ設計論</t>
    </r>
  </si>
  <si>
    <r>
      <rPr>
        <sz val="6"/>
        <rFont val="ＭＳ Ｐゴシック"/>
        <family val="3"/>
      </rPr>
      <t>渕脇大海</t>
    </r>
  </si>
  <si>
    <r>
      <rPr>
        <sz val="6"/>
        <rFont val="ＭＳ Ｐゴシック"/>
        <family val="3"/>
      </rPr>
      <t>マイクロマシン工学</t>
    </r>
  </si>
  <si>
    <r>
      <rPr>
        <sz val="6"/>
        <rFont val="ＭＳ Ｐゴシック"/>
        <family val="3"/>
      </rPr>
      <t>丸尾昭二</t>
    </r>
  </si>
  <si>
    <r>
      <rPr>
        <sz val="6"/>
        <rFont val="ＭＳ Ｐゴシック"/>
        <family val="3"/>
      </rPr>
      <t>複合伝熱論</t>
    </r>
  </si>
  <si>
    <r>
      <rPr>
        <sz val="6"/>
        <rFont val="ＭＳ Ｐゴシック"/>
        <family val="3"/>
      </rPr>
      <t>酒井清吾</t>
    </r>
  </si>
  <si>
    <r>
      <rPr>
        <sz val="6"/>
        <rFont val="ＭＳ Ｐゴシック"/>
        <family val="3"/>
      </rPr>
      <t>応用熱流体工学</t>
    </r>
  </si>
  <si>
    <r>
      <rPr>
        <sz val="6"/>
        <rFont val="ＭＳ Ｐゴシック"/>
        <family val="3"/>
      </rPr>
      <t>荒木拓人</t>
    </r>
  </si>
  <si>
    <r>
      <rPr>
        <sz val="6"/>
        <rFont val="ＭＳ Ｐゴシック"/>
        <family val="3"/>
      </rPr>
      <t>サイバーロボティクス</t>
    </r>
  </si>
  <si>
    <r>
      <rPr>
        <sz val="6"/>
        <rFont val="ＭＳ Ｐゴシック"/>
        <family val="3"/>
      </rPr>
      <t>加藤龍</t>
    </r>
  </si>
  <si>
    <r>
      <rPr>
        <sz val="6"/>
        <rFont val="ＭＳ Ｐゴシック"/>
        <family val="3"/>
      </rPr>
      <t>センシング工学</t>
    </r>
  </si>
  <si>
    <r>
      <rPr>
        <sz val="6"/>
        <rFont val="ＭＳ Ｐゴシック"/>
        <family val="3"/>
      </rPr>
      <t>太田裕貴</t>
    </r>
  </si>
  <si>
    <r>
      <rPr>
        <sz val="6"/>
        <rFont val="ＭＳ Ｐゴシック"/>
        <family val="3"/>
      </rPr>
      <t>圧縮性流体力学</t>
    </r>
  </si>
  <si>
    <r>
      <rPr>
        <sz val="6"/>
        <rFont val="ＭＳ Ｐゴシック"/>
        <family val="3"/>
      </rPr>
      <t>北村圭一</t>
    </r>
  </si>
  <si>
    <r>
      <rPr>
        <sz val="6"/>
        <rFont val="ＭＳ Ｐゴシック"/>
        <family val="3"/>
      </rPr>
      <t>エネルギー機械システム設計</t>
    </r>
  </si>
  <si>
    <r>
      <rPr>
        <sz val="6"/>
        <rFont val="ＭＳ Ｐゴシック"/>
        <family val="3"/>
      </rPr>
      <t>機械工学演習A</t>
    </r>
  </si>
  <si>
    <r>
      <rPr>
        <sz val="6"/>
        <rFont val="ＭＳ Ｐゴシック"/>
        <family val="3"/>
      </rPr>
      <t>機械工学教育分野各担当教員</t>
    </r>
  </si>
  <si>
    <r>
      <rPr>
        <sz val="6"/>
        <rFont val="ＭＳ Ｐゴシック"/>
        <family val="3"/>
      </rPr>
      <t>機械工学演習B</t>
    </r>
  </si>
  <si>
    <r>
      <rPr>
        <sz val="6"/>
        <rFont val="ＭＳ Ｐゴシック"/>
        <family val="3"/>
      </rPr>
      <t>機械工学演習C</t>
    </r>
  </si>
  <si>
    <r>
      <rPr>
        <sz val="6"/>
        <rFont val="ＭＳ Ｐゴシック"/>
        <family val="3"/>
      </rPr>
      <t>機械工学演習D</t>
    </r>
  </si>
  <si>
    <r>
      <rPr>
        <sz val="6"/>
        <rFont val="ＭＳ Ｐゴシック"/>
        <family val="3"/>
      </rPr>
      <t>機械工学インターンシップL</t>
    </r>
  </si>
  <si>
    <r>
      <rPr>
        <sz val="6"/>
        <rFont val="ＭＳ Ｐゴシック"/>
        <family val="3"/>
      </rPr>
      <t>機械工学インターンシップM</t>
    </r>
  </si>
  <si>
    <r>
      <rPr>
        <sz val="6"/>
        <rFont val="ＭＳ Ｐゴシック"/>
        <family val="3"/>
      </rPr>
      <t>機械工学インターンシップS</t>
    </r>
  </si>
  <si>
    <r>
      <rPr>
        <sz val="6"/>
        <rFont val="ＭＳ Ｐゴシック"/>
        <family val="3"/>
      </rPr>
      <t>拡散変態特論</t>
    </r>
  </si>
  <si>
    <r>
      <rPr>
        <sz val="6"/>
        <rFont val="ＭＳ Ｐゴシック"/>
        <family val="3"/>
      </rPr>
      <t>廣澤渉一</t>
    </r>
  </si>
  <si>
    <r>
      <rPr>
        <sz val="6"/>
        <rFont val="ＭＳ Ｐゴシック"/>
        <family val="3"/>
      </rPr>
      <t>固体物性学</t>
    </r>
  </si>
  <si>
    <r>
      <rPr>
        <sz val="6"/>
        <rFont val="ＭＳ Ｐゴシック"/>
        <family val="3"/>
      </rPr>
      <t>中津川博</t>
    </r>
  </si>
  <si>
    <r>
      <rPr>
        <sz val="6"/>
        <rFont val="ＭＳ Ｐゴシック"/>
        <family val="3"/>
      </rPr>
      <t>先端材料工学特論</t>
    </r>
  </si>
  <si>
    <r>
      <rPr>
        <sz val="6"/>
        <rFont val="ＭＳ Ｐゴシック"/>
        <family val="3"/>
      </rPr>
      <t>高温構造材料設計工学</t>
    </r>
  </si>
  <si>
    <r>
      <rPr>
        <sz val="6"/>
        <rFont val="ＭＳ Ｐゴシック"/>
        <family val="3"/>
      </rPr>
      <t>戸田佳明</t>
    </r>
  </si>
  <si>
    <r>
      <rPr>
        <sz val="6"/>
        <rFont val="ＭＳ Ｐゴシック"/>
        <family val="3"/>
      </rPr>
      <t>材料組織計算学</t>
    </r>
  </si>
  <si>
    <r>
      <rPr>
        <sz val="6"/>
        <rFont val="ＭＳ Ｐゴシック"/>
        <family val="3"/>
      </rPr>
      <t>下野昌人</t>
    </r>
  </si>
  <si>
    <r>
      <rPr>
        <sz val="6"/>
        <rFont val="ＭＳ Ｐゴシック"/>
        <family val="3"/>
      </rPr>
      <t>材料強度・破壊力学特論</t>
    </r>
  </si>
  <si>
    <r>
      <rPr>
        <sz val="6"/>
        <rFont val="ＭＳ Ｐゴシック"/>
        <family val="3"/>
      </rPr>
      <t>長谷川誠</t>
    </r>
  </si>
  <si>
    <r>
      <rPr>
        <sz val="6"/>
        <rFont val="ＭＳ Ｐゴシック"/>
        <family val="3"/>
      </rPr>
      <t>ナノ材料工学概論</t>
    </r>
  </si>
  <si>
    <r>
      <rPr>
        <sz val="6"/>
        <rFont val="ＭＳ Ｐゴシック"/>
        <family val="3"/>
      </rPr>
      <t>大竹充</t>
    </r>
  </si>
  <si>
    <r>
      <rPr>
        <sz val="6"/>
        <rFont val="ＭＳ Ｐゴシック"/>
        <family val="3"/>
      </rPr>
      <t>構造材料特論</t>
    </r>
  </si>
  <si>
    <r>
      <rPr>
        <sz val="6"/>
        <rFont val="ＭＳ Ｐゴシック"/>
        <family val="3"/>
      </rPr>
      <t>材料工学演習A</t>
    </r>
  </si>
  <si>
    <r>
      <rPr>
        <sz val="6"/>
        <rFont val="ＭＳ Ｐゴシック"/>
        <family val="3"/>
      </rPr>
      <t>材料工学演習B</t>
    </r>
  </si>
  <si>
    <r>
      <rPr>
        <sz val="6"/>
        <rFont val="ＭＳ Ｐゴシック"/>
        <family val="3"/>
      </rPr>
      <t>材料工学演習C</t>
    </r>
  </si>
  <si>
    <r>
      <rPr>
        <sz val="6"/>
        <rFont val="ＭＳ Ｐゴシック"/>
        <family val="3"/>
      </rPr>
      <t>材料工学演習D</t>
    </r>
  </si>
  <si>
    <r>
      <rPr>
        <sz val="6"/>
        <rFont val="ＭＳ Ｐゴシック"/>
        <family val="3"/>
      </rPr>
      <t>材料工学インターンシップL</t>
    </r>
  </si>
  <si>
    <r>
      <rPr>
        <sz val="6"/>
        <rFont val="ＭＳ Ｐゴシック"/>
        <family val="3"/>
      </rPr>
      <t>材料工学インターンシップM</t>
    </r>
  </si>
  <si>
    <r>
      <rPr>
        <sz val="6"/>
        <rFont val="ＭＳ Ｐゴシック"/>
        <family val="3"/>
      </rPr>
      <t>材料工学インターンシップS</t>
    </r>
  </si>
  <si>
    <r>
      <rPr>
        <sz val="6"/>
        <rFont val="ＭＳ Ｐゴシック"/>
        <family val="3"/>
      </rPr>
      <t>船舶海洋構造設計学</t>
    </r>
  </si>
  <si>
    <r>
      <rPr>
        <sz val="6"/>
        <rFont val="ＭＳ Ｐゴシック"/>
        <family val="3"/>
      </rPr>
      <t>岡田哲男</t>
    </r>
  </si>
  <si>
    <r>
      <rPr>
        <sz val="6"/>
        <rFont val="ＭＳ Ｐゴシック"/>
        <family val="3"/>
      </rPr>
      <t>浮体運動工学</t>
    </r>
  </si>
  <si>
    <r>
      <rPr>
        <sz val="6"/>
        <rFont val="ＭＳ Ｐゴシック"/>
        <family val="3"/>
      </rPr>
      <t>村井基彦</t>
    </r>
  </si>
  <si>
    <r>
      <rPr>
        <sz val="6"/>
        <rFont val="ＭＳ Ｐゴシック"/>
        <family val="3"/>
      </rPr>
      <t>海洋開発工学</t>
    </r>
  </si>
  <si>
    <r>
      <rPr>
        <sz val="6"/>
        <rFont val="ＭＳ Ｐゴシック"/>
        <family val="3"/>
      </rPr>
      <t>海上交通安全工学</t>
    </r>
  </si>
  <si>
    <r>
      <rPr>
        <sz val="6"/>
        <rFont val="ＭＳ Ｐゴシック"/>
        <family val="3"/>
      </rPr>
      <t>リスクベースによる規則制定手法</t>
    </r>
  </si>
  <si>
    <r>
      <rPr>
        <sz val="6"/>
        <rFont val="ＭＳ Ｐゴシック"/>
        <family val="3"/>
      </rPr>
      <t>海洋産業特論</t>
    </r>
  </si>
  <si>
    <r>
      <rPr>
        <sz val="6"/>
        <rFont val="ＭＳ Ｐゴシック"/>
        <family val="3"/>
      </rPr>
      <t>高品純志</t>
    </r>
  </si>
  <si>
    <r>
      <rPr>
        <sz val="6"/>
        <rFont val="ＭＳ Ｐゴシック"/>
        <family val="3"/>
      </rPr>
      <t>日伯特別講義A</t>
    </r>
  </si>
  <si>
    <r>
      <rPr>
        <sz val="6"/>
        <rFont val="ＭＳ Ｐゴシック"/>
        <family val="3"/>
      </rPr>
      <t>日伯特別講義B</t>
    </r>
  </si>
  <si>
    <r>
      <rPr>
        <sz val="6"/>
        <rFont val="ＭＳ Ｐゴシック"/>
        <family val="3"/>
      </rPr>
      <t>日伯特別講義C</t>
    </r>
  </si>
  <si>
    <r>
      <rPr>
        <sz val="6"/>
        <rFont val="ＭＳ Ｐゴシック"/>
        <family val="3"/>
      </rPr>
      <t>日伯特別講義D</t>
    </r>
  </si>
  <si>
    <r>
      <rPr>
        <sz val="6"/>
        <rFont val="ＭＳ Ｐゴシック"/>
        <family val="3"/>
      </rPr>
      <t>宇宙航行体軌道論</t>
    </r>
  </si>
  <si>
    <r>
      <rPr>
        <sz val="6"/>
        <rFont val="ＭＳ Ｐゴシック"/>
        <family val="3"/>
      </rPr>
      <t>上野誠也</t>
    </r>
  </si>
  <si>
    <r>
      <rPr>
        <sz val="6"/>
        <rFont val="ＭＳ Ｐゴシック"/>
        <family val="3"/>
      </rPr>
      <t>航空機空力設計論</t>
    </r>
  </si>
  <si>
    <r>
      <rPr>
        <sz val="6"/>
        <rFont val="ＭＳ Ｐゴシック"/>
        <family val="3"/>
      </rPr>
      <t>宮路幸二</t>
    </r>
  </si>
  <si>
    <r>
      <rPr>
        <sz val="6"/>
        <rFont val="ＭＳ Ｐゴシック"/>
        <family val="3"/>
      </rPr>
      <t>宇宙環境利用科学</t>
    </r>
  </si>
  <si>
    <r>
      <rPr>
        <sz val="6"/>
        <rFont val="ＭＳ Ｐゴシック"/>
        <family val="3"/>
      </rPr>
      <t>夏井坂誠</t>
    </r>
  </si>
  <si>
    <r>
      <rPr>
        <sz val="6"/>
        <rFont val="ＭＳ Ｐゴシック"/>
        <family val="3"/>
      </rPr>
      <t>宇宙機システム学特論</t>
    </r>
  </si>
  <si>
    <r>
      <rPr>
        <sz val="6"/>
        <rFont val="ＭＳ Ｐゴシック"/>
        <family val="3"/>
      </rPr>
      <t>伊東康之</t>
    </r>
  </si>
  <si>
    <r>
      <rPr>
        <sz val="6"/>
        <rFont val="ＭＳ Ｐゴシック"/>
        <family val="3"/>
      </rPr>
      <t>船舶設計システム工学論</t>
    </r>
  </si>
  <si>
    <r>
      <rPr>
        <sz val="6"/>
        <rFont val="ＭＳ Ｐゴシック"/>
        <family val="3"/>
      </rPr>
      <t>満行泰河</t>
    </r>
  </si>
  <si>
    <r>
      <rPr>
        <sz val="6"/>
        <rFont val="ＭＳ Ｐゴシック"/>
        <family val="3"/>
      </rPr>
      <t>海洋宇宙システム工学演習A</t>
    </r>
  </si>
  <si>
    <r>
      <rPr>
        <sz val="6"/>
        <rFont val="ＭＳ Ｐゴシック"/>
        <family val="3"/>
      </rPr>
      <t>海洋宇宙システム工学演習B</t>
    </r>
  </si>
  <si>
    <r>
      <rPr>
        <sz val="6"/>
        <rFont val="ＭＳ Ｐゴシック"/>
        <family val="3"/>
      </rPr>
      <t>海洋空間システムデザイン演習C</t>
    </r>
  </si>
  <si>
    <r>
      <rPr>
        <sz val="6"/>
        <rFont val="ＭＳ Ｐゴシック"/>
        <family val="3"/>
      </rPr>
      <t>海洋空間教育分野各担当教員</t>
    </r>
  </si>
  <si>
    <r>
      <rPr>
        <sz val="6"/>
        <rFont val="ＭＳ Ｐゴシック"/>
        <family val="3"/>
      </rPr>
      <t>海洋空間システムデザイン演習D</t>
    </r>
  </si>
  <si>
    <r>
      <rPr>
        <sz val="6"/>
        <rFont val="ＭＳ Ｐゴシック"/>
        <family val="3"/>
      </rPr>
      <t>海洋宇宙システム工学学外演習</t>
    </r>
  </si>
  <si>
    <r>
      <rPr>
        <sz val="6"/>
        <rFont val="ＭＳ Ｐゴシック"/>
        <family val="3"/>
      </rPr>
      <t>海洋宇宙システム工学海外特別研修</t>
    </r>
  </si>
  <si>
    <r>
      <rPr>
        <sz val="6"/>
        <rFont val="ＭＳ Ｐゴシック"/>
        <family val="3"/>
      </rPr>
      <t>海洋空間実践演習</t>
    </r>
  </si>
  <si>
    <r>
      <rPr>
        <sz val="6"/>
        <rFont val="ＭＳ Ｐゴシック"/>
        <family val="3"/>
      </rPr>
      <t>海洋宇宙システム工学実践演習</t>
    </r>
  </si>
  <si>
    <r>
      <rPr>
        <sz val="6"/>
        <rFont val="ＭＳ Ｐゴシック"/>
        <family val="3"/>
      </rPr>
      <t>海洋宇宙システム工学インターンシップL</t>
    </r>
  </si>
  <si>
    <r>
      <rPr>
        <sz val="6"/>
        <rFont val="ＭＳ Ｐゴシック"/>
        <family val="3"/>
      </rPr>
      <t>海洋宇宙システム工学インターンシップM</t>
    </r>
  </si>
  <si>
    <r>
      <rPr>
        <sz val="6"/>
        <rFont val="ＭＳ Ｐゴシック"/>
        <family val="3"/>
      </rPr>
      <t>海洋宇宙システム工学インターンシップS</t>
    </r>
  </si>
  <si>
    <r>
      <rPr>
        <sz val="6"/>
        <rFont val="ＭＳ Ｐゴシック"/>
        <family val="3"/>
      </rPr>
      <t>航空宇宙工学演習C</t>
    </r>
  </si>
  <si>
    <r>
      <rPr>
        <sz val="6"/>
        <rFont val="ＭＳ Ｐゴシック"/>
        <family val="3"/>
      </rPr>
      <t>航空宇宙工学教育分野各担当教員</t>
    </r>
  </si>
  <si>
    <r>
      <rPr>
        <sz val="6"/>
        <rFont val="ＭＳ Ｐゴシック"/>
        <family val="3"/>
      </rPr>
      <t>航空宇宙工学演習D</t>
    </r>
  </si>
  <si>
    <r>
      <rPr>
        <sz val="6"/>
        <rFont val="ＭＳ Ｐゴシック"/>
        <family val="3"/>
      </rPr>
      <t>光物理化学</t>
    </r>
  </si>
  <si>
    <r>
      <rPr>
        <sz val="6"/>
        <rFont val="ＭＳ Ｐゴシック"/>
        <family val="3"/>
      </rPr>
      <t>菊地あづさ</t>
    </r>
  </si>
  <si>
    <r>
      <rPr>
        <sz val="6"/>
        <rFont val="ＭＳ Ｐゴシック"/>
        <family val="3"/>
      </rPr>
      <t>生物物理化学</t>
    </r>
  </si>
  <si>
    <r>
      <rPr>
        <sz val="6"/>
        <rFont val="ＭＳ Ｐゴシック"/>
        <family val="3"/>
      </rPr>
      <t>川村出</t>
    </r>
  </si>
  <si>
    <r>
      <rPr>
        <sz val="6"/>
        <rFont val="ＭＳ Ｐゴシック"/>
        <family val="3"/>
      </rPr>
      <t>金属錯体化学</t>
    </r>
  </si>
  <si>
    <r>
      <rPr>
        <sz val="6"/>
        <rFont val="ＭＳ Ｐゴシック"/>
        <family val="3"/>
      </rPr>
      <t>山口佳隆</t>
    </r>
  </si>
  <si>
    <r>
      <rPr>
        <sz val="6"/>
        <rFont val="ＭＳ Ｐゴシック"/>
        <family val="3"/>
      </rPr>
      <t>PSDキャリアデザイン特論</t>
    </r>
  </si>
  <si>
    <r>
      <rPr>
        <sz val="6"/>
        <rFont val="ＭＳ Ｐゴシック"/>
        <family val="3"/>
      </rPr>
      <t>電子移動の化学</t>
    </r>
  </si>
  <si>
    <r>
      <rPr>
        <sz val="6"/>
        <rFont val="ＭＳ Ｐゴシック"/>
        <family val="3"/>
      </rPr>
      <t>電気化学特論</t>
    </r>
  </si>
  <si>
    <r>
      <rPr>
        <sz val="6"/>
        <rFont val="ＭＳ Ｐゴシック"/>
        <family val="3"/>
      </rPr>
      <t>獨古薫</t>
    </r>
  </si>
  <si>
    <r>
      <rPr>
        <sz val="6"/>
        <rFont val="ＭＳ Ｐゴシック"/>
        <family val="3"/>
      </rPr>
      <t>触媒反応工学</t>
    </r>
  </si>
  <si>
    <r>
      <rPr>
        <sz val="6"/>
        <rFont val="ＭＳ Ｐゴシック"/>
        <family val="3"/>
      </rPr>
      <t>稲垣怜史</t>
    </r>
  </si>
  <si>
    <r>
      <rPr>
        <sz val="6"/>
        <rFont val="ＭＳ Ｐゴシック"/>
        <family val="3"/>
      </rPr>
      <t>エネルギー化学概論</t>
    </r>
  </si>
  <si>
    <r>
      <rPr>
        <sz val="6"/>
        <rFont val="ＭＳ Ｐゴシック"/>
        <family val="3"/>
      </rPr>
      <t>エネルギー変換材料</t>
    </r>
  </si>
  <si>
    <r>
      <rPr>
        <sz val="6"/>
        <rFont val="ＭＳ Ｐゴシック"/>
        <family val="3"/>
      </rPr>
      <t>松澤幸一</t>
    </r>
  </si>
  <si>
    <r>
      <rPr>
        <sz val="6"/>
        <rFont val="ＭＳ Ｐゴシック"/>
        <family val="3"/>
      </rPr>
      <t>遺伝情報機能科学</t>
    </r>
  </si>
  <si>
    <r>
      <rPr>
        <sz val="6"/>
        <rFont val="ＭＳ Ｐゴシック"/>
        <family val="3"/>
      </rPr>
      <t>栗原靖之</t>
    </r>
  </si>
  <si>
    <r>
      <rPr>
        <sz val="6"/>
        <rFont val="ＭＳ Ｐゴシック"/>
        <family val="3"/>
      </rPr>
      <t>力学機能材料学</t>
    </r>
  </si>
  <si>
    <r>
      <rPr>
        <sz val="6"/>
        <rFont val="ＭＳ Ｐゴシック"/>
        <family val="3"/>
      </rPr>
      <t>高橋宏治</t>
    </r>
  </si>
  <si>
    <r>
      <rPr>
        <sz val="6"/>
        <rFont val="ＭＳ Ｐゴシック"/>
        <family val="3"/>
      </rPr>
      <t>環境分離工学</t>
    </r>
  </si>
  <si>
    <r>
      <rPr>
        <sz val="6"/>
        <rFont val="ＭＳ Ｐゴシック"/>
        <family val="3"/>
      </rPr>
      <t>エネルギーバリューチェーンシステム概論</t>
    </r>
  </si>
  <si>
    <r>
      <rPr>
        <sz val="6"/>
        <rFont val="ＭＳ Ｐゴシック"/>
        <family val="3"/>
      </rPr>
      <t>麦倉良啓</t>
    </r>
  </si>
  <si>
    <r>
      <rPr>
        <sz val="6"/>
        <rFont val="ＭＳ Ｐゴシック"/>
        <family val="3"/>
      </rPr>
      <t>燃料電池工学</t>
    </r>
  </si>
  <si>
    <r>
      <rPr>
        <sz val="6"/>
        <rFont val="ＭＳ Ｐゴシック"/>
        <family val="3"/>
      </rPr>
      <t>森田寛</t>
    </r>
  </si>
  <si>
    <r>
      <rPr>
        <sz val="6"/>
        <rFont val="ＭＳ Ｐゴシック"/>
        <family val="3"/>
      </rPr>
      <t>セラミックスエネルギー工学</t>
    </r>
  </si>
  <si>
    <r>
      <rPr>
        <sz val="6"/>
        <rFont val="ＭＳ Ｐゴシック"/>
        <family val="3"/>
      </rPr>
      <t>山本融</t>
    </r>
  </si>
  <si>
    <r>
      <rPr>
        <sz val="6"/>
        <rFont val="ＭＳ Ｐゴシック"/>
        <family val="3"/>
      </rPr>
      <t>発生工学</t>
    </r>
  </si>
  <si>
    <r>
      <rPr>
        <sz val="6"/>
        <rFont val="ＭＳ Ｐゴシック"/>
        <family val="3"/>
      </rPr>
      <t>鈴木敦</t>
    </r>
  </si>
  <si>
    <r>
      <rPr>
        <sz val="6"/>
        <rFont val="ＭＳ Ｐゴシック"/>
        <family val="3"/>
      </rPr>
      <t>有機電気化学特論</t>
    </r>
  </si>
  <si>
    <r>
      <rPr>
        <sz val="6"/>
        <rFont val="ＭＳ Ｐゴシック"/>
        <family val="3"/>
      </rPr>
      <t>跡部真人</t>
    </r>
  </si>
  <si>
    <r>
      <rPr>
        <sz val="6"/>
        <rFont val="ＭＳ Ｐゴシック"/>
        <family val="3"/>
      </rPr>
      <t>インターエレメント結合の化学</t>
    </r>
  </si>
  <si>
    <r>
      <rPr>
        <sz val="6"/>
        <rFont val="ＭＳ Ｐゴシック"/>
        <family val="3"/>
      </rPr>
      <t>湊盟</t>
    </r>
  </si>
  <si>
    <r>
      <rPr>
        <sz val="6"/>
        <rFont val="ＭＳ Ｐゴシック"/>
        <family val="3"/>
      </rPr>
      <t>光材料化学</t>
    </r>
  </si>
  <si>
    <r>
      <rPr>
        <sz val="6"/>
        <rFont val="ＭＳ Ｐゴシック"/>
        <family val="3"/>
      </rPr>
      <t>生方俊</t>
    </r>
  </si>
  <si>
    <r>
      <rPr>
        <sz val="6"/>
        <rFont val="ＭＳ Ｐゴシック"/>
        <family val="3"/>
      </rPr>
      <t>セラミックス材料工学</t>
    </r>
  </si>
  <si>
    <r>
      <rPr>
        <sz val="6"/>
        <rFont val="ＭＳ Ｐゴシック"/>
        <family val="3"/>
      </rPr>
      <t>多々見純一</t>
    </r>
  </si>
  <si>
    <r>
      <rPr>
        <sz val="6"/>
        <rFont val="ＭＳ Ｐゴシック"/>
        <family val="3"/>
      </rPr>
      <t>粉体材料プロセス工学</t>
    </r>
  </si>
  <si>
    <r>
      <rPr>
        <sz val="6"/>
        <rFont val="ＭＳ Ｐゴシック"/>
        <family val="3"/>
      </rPr>
      <t>飯島志行</t>
    </r>
  </si>
  <si>
    <r>
      <rPr>
        <sz val="6"/>
        <rFont val="ＭＳ Ｐゴシック"/>
        <family val="3"/>
      </rPr>
      <t>物理有機化学特論</t>
    </r>
  </si>
  <si>
    <r>
      <rPr>
        <sz val="6"/>
        <rFont val="ＭＳ Ｐゴシック"/>
        <family val="3"/>
      </rPr>
      <t>五東弘昭</t>
    </r>
  </si>
  <si>
    <r>
      <rPr>
        <sz val="6"/>
        <rFont val="ＭＳ Ｐゴシック"/>
        <family val="3"/>
      </rPr>
      <t>構造生物学</t>
    </r>
  </si>
  <si>
    <r>
      <rPr>
        <sz val="6"/>
        <rFont val="ＭＳ Ｐゴシック"/>
        <family val="3"/>
      </rPr>
      <t>児嶋長次郎</t>
    </r>
  </si>
  <si>
    <r>
      <rPr>
        <sz val="6"/>
        <rFont val="ＭＳ Ｐゴシック"/>
        <family val="3"/>
      </rPr>
      <t>生物宇宙地球化学</t>
    </r>
  </si>
  <si>
    <r>
      <rPr>
        <sz val="6"/>
        <rFont val="ＭＳ Ｐゴシック"/>
        <family val="3"/>
      </rPr>
      <t>化学反応動力学</t>
    </r>
  </si>
  <si>
    <r>
      <rPr>
        <sz val="6"/>
        <rFont val="ＭＳ Ｐゴシック"/>
        <family val="3"/>
      </rPr>
      <t>關金一</t>
    </r>
  </si>
  <si>
    <r>
      <rPr>
        <sz val="6"/>
        <rFont val="ＭＳ Ｐゴシック"/>
        <family val="3"/>
      </rPr>
      <t>精密有機合成化学</t>
    </r>
  </si>
  <si>
    <r>
      <rPr>
        <sz val="6"/>
        <rFont val="ＭＳ Ｐゴシック"/>
        <family val="3"/>
      </rPr>
      <t>伊藤傑</t>
    </r>
  </si>
  <si>
    <r>
      <rPr>
        <sz val="6"/>
        <rFont val="ＭＳ Ｐゴシック"/>
        <family val="3"/>
      </rPr>
      <t>化学演習S</t>
    </r>
  </si>
  <si>
    <r>
      <rPr>
        <sz val="6"/>
        <rFont val="ＭＳ Ｐゴシック"/>
        <family val="3"/>
      </rPr>
      <t>化学教育分野各担当教員</t>
    </r>
  </si>
  <si>
    <r>
      <rPr>
        <sz val="6"/>
        <rFont val="ＭＳ Ｐゴシック"/>
        <family val="3"/>
      </rPr>
      <t>化学演習F</t>
    </r>
  </si>
  <si>
    <r>
      <rPr>
        <sz val="6"/>
        <rFont val="ＭＳ Ｐゴシック"/>
        <family val="3"/>
      </rPr>
      <t>化学PSD演習S</t>
    </r>
  </si>
  <si>
    <r>
      <rPr>
        <sz val="6"/>
        <rFont val="ＭＳ Ｐゴシック"/>
        <family val="3"/>
      </rPr>
      <t>化学PSD演習F</t>
    </r>
  </si>
  <si>
    <r>
      <rPr>
        <sz val="6"/>
        <rFont val="ＭＳ Ｐゴシック"/>
        <family val="3"/>
      </rPr>
      <t>化学PSD特別実験</t>
    </r>
  </si>
  <si>
    <r>
      <rPr>
        <sz val="6"/>
        <rFont val="ＭＳ Ｐゴシック"/>
        <family val="3"/>
      </rPr>
      <t>化学PSD学外実習</t>
    </r>
  </si>
  <si>
    <r>
      <rPr>
        <sz val="6"/>
        <rFont val="ＭＳ Ｐゴシック"/>
        <family val="3"/>
      </rPr>
      <t>化学PSDプレゼンテーション実習</t>
    </r>
  </si>
  <si>
    <r>
      <rPr>
        <sz val="6"/>
        <rFont val="ＭＳ Ｐゴシック"/>
        <family val="3"/>
      </rPr>
      <t>化学TED演習S</t>
    </r>
  </si>
  <si>
    <r>
      <rPr>
        <sz val="6"/>
        <rFont val="ＭＳ Ｐゴシック"/>
        <family val="3"/>
      </rPr>
      <t>応用化学教育分野各担当教員</t>
    </r>
  </si>
  <si>
    <r>
      <rPr>
        <sz val="6"/>
        <rFont val="ＭＳ Ｐゴシック"/>
        <family val="3"/>
      </rPr>
      <t>化学TED演習F</t>
    </r>
  </si>
  <si>
    <r>
      <rPr>
        <sz val="6"/>
        <rFont val="ＭＳ Ｐゴシック"/>
        <family val="3"/>
      </rPr>
      <t>化学TED特別実験</t>
    </r>
  </si>
  <si>
    <r>
      <rPr>
        <sz val="6"/>
        <rFont val="ＭＳ Ｐゴシック"/>
        <family val="3"/>
      </rPr>
      <t>化学TED学外実習</t>
    </r>
  </si>
  <si>
    <r>
      <rPr>
        <sz val="6"/>
        <rFont val="ＭＳ Ｐゴシック"/>
        <family val="3"/>
      </rPr>
      <t>化学TEDプレゼンテーション実習</t>
    </r>
  </si>
  <si>
    <r>
      <rPr>
        <sz val="6"/>
        <rFont val="ＭＳ Ｐゴシック"/>
        <family val="3"/>
      </rPr>
      <t>エネルギー化学演習BS</t>
    </r>
  </si>
  <si>
    <r>
      <rPr>
        <sz val="6"/>
        <rFont val="ＭＳ Ｐゴシック"/>
        <family val="3"/>
      </rPr>
      <t>エネルギー化学演習BF</t>
    </r>
  </si>
  <si>
    <r>
      <rPr>
        <sz val="6"/>
        <rFont val="ＭＳ Ｐゴシック"/>
        <family val="3"/>
      </rPr>
      <t>化学インターンシップL</t>
    </r>
  </si>
  <si>
    <r>
      <rPr>
        <sz val="6"/>
        <rFont val="ＭＳ Ｐゴシック"/>
        <family val="3"/>
      </rPr>
      <t>化学インターンシップM</t>
    </r>
  </si>
  <si>
    <r>
      <rPr>
        <sz val="6"/>
        <rFont val="ＭＳ Ｐゴシック"/>
        <family val="3"/>
      </rPr>
      <t>化学インターンシップS</t>
    </r>
  </si>
  <si>
    <r>
      <rPr>
        <sz val="6"/>
        <rFont val="ＭＳ Ｐゴシック"/>
        <family val="3"/>
      </rPr>
      <t>化学海外インターンシップL</t>
    </r>
  </si>
  <si>
    <r>
      <rPr>
        <sz val="6"/>
        <rFont val="ＭＳ Ｐゴシック"/>
        <family val="3"/>
      </rPr>
      <t>化学海外インターンシップM</t>
    </r>
  </si>
  <si>
    <r>
      <rPr>
        <sz val="6"/>
        <rFont val="ＭＳ Ｐゴシック"/>
        <family val="3"/>
      </rPr>
      <t>化学海外インターンシップS</t>
    </r>
  </si>
  <si>
    <r>
      <rPr>
        <sz val="6"/>
        <rFont val="ＭＳ Ｐゴシック"/>
        <family val="3"/>
      </rPr>
      <t>リスク分析論</t>
    </r>
  </si>
  <si>
    <r>
      <rPr>
        <sz val="6"/>
        <rFont val="ＭＳ Ｐゴシック"/>
        <family val="3"/>
      </rPr>
      <t>技術者リカレント教育論</t>
    </r>
  </si>
  <si>
    <r>
      <rPr>
        <sz val="6"/>
        <rFont val="ＭＳ Ｐゴシック"/>
        <family val="3"/>
      </rPr>
      <t>ミキシング化学工学</t>
    </r>
  </si>
  <si>
    <r>
      <rPr>
        <sz val="6"/>
        <rFont val="ＭＳ Ｐゴシック"/>
        <family val="3"/>
      </rPr>
      <t>三角隆太</t>
    </r>
  </si>
  <si>
    <r>
      <rPr>
        <sz val="6"/>
        <rFont val="ＭＳ Ｐゴシック"/>
        <family val="3"/>
      </rPr>
      <t>素材生産工学</t>
    </r>
  </si>
  <si>
    <r>
      <rPr>
        <sz val="6"/>
        <rFont val="ＭＳ Ｐゴシック"/>
        <family val="3"/>
      </rPr>
      <t>羽深等</t>
    </r>
  </si>
  <si>
    <r>
      <rPr>
        <sz val="6"/>
        <rFont val="ＭＳ Ｐゴシック"/>
        <family val="3"/>
      </rPr>
      <t>微生物バイオテクノロジー</t>
    </r>
  </si>
  <si>
    <r>
      <rPr>
        <sz val="6"/>
        <rFont val="ＭＳ Ｐゴシック"/>
        <family val="3"/>
      </rPr>
      <t>武田穣</t>
    </r>
  </si>
  <si>
    <r>
      <rPr>
        <sz val="6"/>
        <rFont val="ＭＳ Ｐゴシック"/>
        <family val="3"/>
      </rPr>
      <t>医工学</t>
    </r>
  </si>
  <si>
    <r>
      <rPr>
        <sz val="6"/>
        <rFont val="ＭＳ Ｐゴシック"/>
        <family val="3"/>
      </rPr>
      <t>技術開発と社会</t>
    </r>
  </si>
  <si>
    <r>
      <rPr>
        <sz val="6"/>
        <rFont val="ＭＳ Ｐゴシック"/>
        <family val="3"/>
      </rPr>
      <t>環境物理化学</t>
    </r>
  </si>
  <si>
    <r>
      <rPr>
        <sz val="6"/>
        <rFont val="ＭＳ Ｐゴシック"/>
        <family val="3"/>
      </rPr>
      <t>吉武英昭</t>
    </r>
  </si>
  <si>
    <r>
      <rPr>
        <sz val="6"/>
        <rFont val="ＭＳ Ｐゴシック"/>
        <family val="3"/>
      </rPr>
      <t>化学応用・バイオPBL</t>
    </r>
  </si>
  <si>
    <r>
      <rPr>
        <sz val="6"/>
        <rFont val="ＭＳ Ｐゴシック"/>
        <family val="3"/>
      </rPr>
      <t>化学プロセス・シミュレーション</t>
    </r>
  </si>
  <si>
    <r>
      <rPr>
        <sz val="6"/>
        <rFont val="ＭＳ Ｐゴシック"/>
        <family val="3"/>
      </rPr>
      <t>機能性材料学</t>
    </r>
  </si>
  <si>
    <r>
      <rPr>
        <sz val="6"/>
        <rFont val="ＭＳ Ｐゴシック"/>
        <family val="3"/>
      </rPr>
      <t>金井俊光</t>
    </r>
  </si>
  <si>
    <r>
      <rPr>
        <sz val="6"/>
        <rFont val="ＭＳ Ｐゴシック"/>
        <family val="3"/>
      </rPr>
      <t>細胞組織工学</t>
    </r>
  </si>
  <si>
    <r>
      <rPr>
        <sz val="6"/>
        <rFont val="ＭＳ Ｐゴシック"/>
        <family val="3"/>
      </rPr>
      <t>福田淳二</t>
    </r>
  </si>
  <si>
    <r>
      <rPr>
        <sz val="6"/>
        <rFont val="ＭＳ Ｐゴシック"/>
        <family val="3"/>
      </rPr>
      <t>機械装置材料工学</t>
    </r>
  </si>
  <si>
    <r>
      <rPr>
        <sz val="6"/>
        <rFont val="ＭＳ Ｐゴシック"/>
        <family val="3"/>
      </rPr>
      <t>化学応用・バイオ演習A</t>
    </r>
  </si>
  <si>
    <r>
      <rPr>
        <sz val="6"/>
        <rFont val="ＭＳ Ｐゴシック"/>
        <family val="3"/>
      </rPr>
      <t>化学応用・バイオ演習B</t>
    </r>
  </si>
  <si>
    <r>
      <rPr>
        <sz val="6"/>
        <rFont val="ＭＳ Ｐゴシック"/>
        <family val="3"/>
      </rPr>
      <t>化学応用・バイオ演習C</t>
    </r>
  </si>
  <si>
    <r>
      <rPr>
        <sz val="6"/>
        <rFont val="ＭＳ Ｐゴシック"/>
        <family val="3"/>
      </rPr>
      <t>化学応用・バイオ演習D</t>
    </r>
  </si>
  <si>
    <r>
      <rPr>
        <sz val="6"/>
        <rFont val="ＭＳ Ｐゴシック"/>
        <family val="3"/>
      </rPr>
      <t>化学応用・バイオ特別実験</t>
    </r>
  </si>
  <si>
    <r>
      <rPr>
        <sz val="6"/>
        <rFont val="ＭＳ Ｐゴシック"/>
        <family val="3"/>
      </rPr>
      <t>化学応用・バイオ学外実習</t>
    </r>
  </si>
  <si>
    <r>
      <rPr>
        <sz val="6"/>
        <rFont val="ＭＳ Ｐゴシック"/>
        <family val="3"/>
      </rPr>
      <t>エネルギー化学演習AS</t>
    </r>
  </si>
  <si>
    <r>
      <rPr>
        <sz val="6"/>
        <rFont val="ＭＳ Ｐゴシック"/>
        <family val="3"/>
      </rPr>
      <t>エネルギー化学演習AF</t>
    </r>
  </si>
  <si>
    <r>
      <rPr>
        <sz val="6"/>
        <rFont val="ＭＳ Ｐゴシック"/>
        <family val="3"/>
      </rPr>
      <t>化学応用・バイオインターンシップL</t>
    </r>
  </si>
  <si>
    <r>
      <rPr>
        <sz val="6"/>
        <rFont val="ＭＳ Ｐゴシック"/>
        <family val="3"/>
      </rPr>
      <t>化学応用・バイオインターンシップM</t>
    </r>
  </si>
  <si>
    <r>
      <rPr>
        <sz val="6"/>
        <rFont val="ＭＳ Ｐゴシック"/>
        <family val="3"/>
      </rPr>
      <t>化学応用・バイオインターンシップS</t>
    </r>
  </si>
  <si>
    <r>
      <rPr>
        <sz val="6"/>
        <rFont val="ＭＳ Ｐゴシック"/>
        <family val="3"/>
      </rPr>
      <t>先進数理科学 代数</t>
    </r>
  </si>
  <si>
    <r>
      <rPr>
        <sz val="6"/>
        <rFont val="ＭＳ Ｐゴシック"/>
        <family val="3"/>
      </rPr>
      <t>先進数理科学 幾何</t>
    </r>
  </si>
  <si>
    <r>
      <rPr>
        <sz val="6"/>
        <rFont val="ＭＳ Ｐゴシック"/>
        <family val="3"/>
      </rPr>
      <t>先進数理科学 解析</t>
    </r>
  </si>
  <si>
    <r>
      <rPr>
        <sz val="6"/>
        <rFont val="ＭＳ Ｐゴシック"/>
        <family val="3"/>
      </rPr>
      <t>先進数理科学 確率A</t>
    </r>
  </si>
  <si>
    <r>
      <rPr>
        <sz val="6"/>
        <rFont val="ＭＳ Ｐゴシック"/>
        <family val="3"/>
      </rPr>
      <t>先進数理科学 確率B</t>
    </r>
  </si>
  <si>
    <r>
      <rPr>
        <sz val="6"/>
        <rFont val="ＭＳ Ｐゴシック"/>
        <family val="3"/>
      </rPr>
      <t>竹居正登</t>
    </r>
  </si>
  <si>
    <r>
      <rPr>
        <sz val="6"/>
        <rFont val="ＭＳ Ｐゴシック"/>
        <family val="3"/>
      </rPr>
      <t>先進数理科学 統計</t>
    </r>
  </si>
  <si>
    <r>
      <rPr>
        <sz val="6"/>
        <rFont val="ＭＳ Ｐゴシック"/>
        <family val="3"/>
      </rPr>
      <t>量子情報物理学概論</t>
    </r>
  </si>
  <si>
    <r>
      <rPr>
        <sz val="6"/>
        <rFont val="ＭＳ Ｐゴシック"/>
        <family val="3"/>
      </rPr>
      <t>先端レーザー分光学概論</t>
    </r>
  </si>
  <si>
    <r>
      <rPr>
        <sz val="6"/>
        <rFont val="ＭＳ Ｐゴシック"/>
        <family val="3"/>
      </rPr>
      <t>精密レーザー分光概論</t>
    </r>
  </si>
  <si>
    <r>
      <rPr>
        <sz val="6"/>
        <rFont val="ＭＳ Ｐゴシック"/>
        <family val="3"/>
      </rPr>
      <t>洪鋒雷</t>
    </r>
  </si>
  <si>
    <r>
      <rPr>
        <sz val="6"/>
        <rFont val="ＭＳ Ｐゴシック"/>
        <family val="3"/>
      </rPr>
      <t>多体電子論</t>
    </r>
  </si>
  <si>
    <r>
      <rPr>
        <sz val="6"/>
        <rFont val="ＭＳ Ｐゴシック"/>
        <family val="3"/>
      </rPr>
      <t>ニュートリノ物理学概論</t>
    </r>
  </si>
  <si>
    <r>
      <rPr>
        <sz val="6"/>
        <rFont val="ＭＳ Ｐゴシック"/>
        <family val="3"/>
      </rPr>
      <t>南野彰宏</t>
    </r>
  </si>
  <si>
    <r>
      <rPr>
        <sz val="6"/>
        <rFont val="ＭＳ Ｐゴシック"/>
        <family val="3"/>
      </rPr>
      <t>物性物理概論</t>
    </r>
  </si>
  <si>
    <r>
      <rPr>
        <sz val="6"/>
        <rFont val="ＭＳ Ｐゴシック"/>
        <family val="3"/>
      </rPr>
      <t>那須譲治</t>
    </r>
  </si>
  <si>
    <r>
      <rPr>
        <sz val="6"/>
        <rFont val="ＭＳ Ｐゴシック"/>
        <family val="3"/>
      </rPr>
      <t>物理学輪講</t>
    </r>
  </si>
  <si>
    <r>
      <rPr>
        <sz val="6"/>
        <rFont val="ＭＳ Ｐゴシック"/>
        <family val="3"/>
      </rPr>
      <t>物理学演習</t>
    </r>
  </si>
  <si>
    <r>
      <rPr>
        <sz val="6"/>
        <rFont val="ＭＳ Ｐゴシック"/>
        <family val="3"/>
      </rPr>
      <t>符号理論</t>
    </r>
  </si>
  <si>
    <r>
      <rPr>
        <sz val="6"/>
        <rFont val="ＭＳ Ｐゴシック"/>
        <family val="3"/>
      </rPr>
      <t>落合秀樹</t>
    </r>
  </si>
  <si>
    <r>
      <rPr>
        <sz val="6"/>
        <rFont val="ＭＳ Ｐゴシック"/>
        <family val="3"/>
      </rPr>
      <t>ディジタル回路論</t>
    </r>
  </si>
  <si>
    <r>
      <rPr>
        <sz val="6"/>
        <rFont val="ＭＳ Ｐゴシック"/>
        <family val="3"/>
      </rPr>
      <t>市毛弘一</t>
    </r>
  </si>
  <si>
    <r>
      <rPr>
        <sz val="6"/>
        <rFont val="ＭＳ Ｐゴシック"/>
        <family val="3"/>
      </rPr>
      <t>ナノフォトニクス</t>
    </r>
  </si>
  <si>
    <r>
      <rPr>
        <sz val="6"/>
        <rFont val="ＭＳ Ｐゴシック"/>
        <family val="3"/>
      </rPr>
      <t>西島喜明</t>
    </r>
  </si>
  <si>
    <r>
      <rPr>
        <sz val="6"/>
        <rFont val="ＭＳ Ｐゴシック"/>
        <family val="3"/>
      </rPr>
      <t>離散システム特論</t>
    </r>
  </si>
  <si>
    <r>
      <rPr>
        <sz val="6"/>
        <rFont val="ＭＳ Ｐゴシック"/>
        <family val="3"/>
      </rPr>
      <t>藤本康孝</t>
    </r>
  </si>
  <si>
    <r>
      <rPr>
        <sz val="6"/>
        <rFont val="ＭＳ Ｐゴシック"/>
        <family val="3"/>
      </rPr>
      <t>フォトニクス理論</t>
    </r>
  </si>
  <si>
    <r>
      <rPr>
        <sz val="6"/>
        <rFont val="ＭＳ Ｐゴシック"/>
        <family val="3"/>
      </rPr>
      <t>馬場俊彦</t>
    </r>
  </si>
  <si>
    <r>
      <rPr>
        <sz val="6"/>
        <rFont val="ＭＳ Ｐゴシック"/>
        <family val="3"/>
      </rPr>
      <t>数理科学輪講A</t>
    </r>
  </si>
  <si>
    <r>
      <rPr>
        <sz val="6"/>
        <rFont val="ＭＳ Ｐゴシック"/>
        <family val="3"/>
      </rPr>
      <t>数理科学輪講B</t>
    </r>
  </si>
  <si>
    <r>
      <rPr>
        <sz val="6"/>
        <rFont val="ＭＳ Ｐゴシック"/>
        <family val="3"/>
      </rPr>
      <t>数理科学輪講C</t>
    </r>
  </si>
  <si>
    <r>
      <rPr>
        <sz val="6"/>
        <rFont val="ＭＳ Ｐゴシック"/>
        <family val="3"/>
      </rPr>
      <t>数理科学輪講D</t>
    </r>
  </si>
  <si>
    <r>
      <rPr>
        <sz val="6"/>
        <rFont val="ＭＳ Ｐゴシック"/>
        <family val="3"/>
      </rPr>
      <t>数理科学演習A</t>
    </r>
  </si>
  <si>
    <r>
      <rPr>
        <sz val="6"/>
        <rFont val="ＭＳ Ｐゴシック"/>
        <family val="3"/>
      </rPr>
      <t>数理科学演習B</t>
    </r>
  </si>
  <si>
    <r>
      <rPr>
        <sz val="6"/>
        <rFont val="ＭＳ Ｐゴシック"/>
        <family val="3"/>
      </rPr>
      <t>数理科学演習C</t>
    </r>
  </si>
  <si>
    <r>
      <rPr>
        <sz val="6"/>
        <rFont val="ＭＳ Ｐゴシック"/>
        <family val="3"/>
      </rPr>
      <t>数理科学演習D</t>
    </r>
  </si>
  <si>
    <r>
      <rPr>
        <sz val="6"/>
        <rFont val="ＭＳ Ｐゴシック"/>
        <family val="3"/>
      </rPr>
      <t>数理科学学外研修</t>
    </r>
  </si>
  <si>
    <r>
      <rPr>
        <sz val="6"/>
        <rFont val="ＭＳ Ｐゴシック"/>
        <family val="3"/>
      </rPr>
      <t>代数学演習</t>
    </r>
  </si>
  <si>
    <r>
      <rPr>
        <sz val="6"/>
        <rFont val="ＭＳ Ｐゴシック"/>
        <family val="3"/>
      </rPr>
      <t>幾何学演習</t>
    </r>
  </si>
  <si>
    <r>
      <rPr>
        <sz val="6"/>
        <rFont val="ＭＳ Ｐゴシック"/>
        <family val="3"/>
      </rPr>
      <t>解析学演習</t>
    </r>
  </si>
  <si>
    <r>
      <rPr>
        <sz val="6"/>
        <rFont val="ＭＳ Ｐゴシック"/>
        <family val="3"/>
      </rPr>
      <t>確率論演習</t>
    </r>
  </si>
  <si>
    <r>
      <rPr>
        <sz val="6"/>
        <rFont val="ＭＳ Ｐゴシック"/>
        <family val="3"/>
      </rPr>
      <t>統計学演習</t>
    </r>
  </si>
  <si>
    <r>
      <rPr>
        <sz val="6"/>
        <rFont val="ＭＳ Ｐゴシック"/>
        <family val="3"/>
      </rPr>
      <t>計算機数学演習</t>
    </r>
  </si>
  <si>
    <r>
      <rPr>
        <sz val="6"/>
        <rFont val="ＭＳ Ｐゴシック"/>
        <family val="3"/>
      </rPr>
      <t>重い電子系の物理</t>
    </r>
  </si>
  <si>
    <r>
      <rPr>
        <sz val="6"/>
        <rFont val="ＭＳ Ｐゴシック"/>
        <family val="3"/>
      </rPr>
      <t>表面科学</t>
    </r>
  </si>
  <si>
    <r>
      <rPr>
        <sz val="6"/>
        <rFont val="ＭＳ Ｐゴシック"/>
        <family val="3"/>
      </rPr>
      <t>結晶の対称性と群論</t>
    </r>
  </si>
  <si>
    <r>
      <rPr>
        <sz val="6"/>
        <rFont val="ＭＳ Ｐゴシック"/>
        <family val="3"/>
      </rPr>
      <t>関谷隆夫</t>
    </r>
  </si>
  <si>
    <r>
      <rPr>
        <sz val="6"/>
        <rFont val="ＭＳ Ｐゴシック"/>
        <family val="3"/>
      </rPr>
      <t>高エネルギー物理学概論</t>
    </r>
  </si>
  <si>
    <r>
      <rPr>
        <sz val="6"/>
        <rFont val="ＭＳ Ｐゴシック"/>
        <family val="3"/>
      </rPr>
      <t>片寄祐作</t>
    </r>
  </si>
  <si>
    <r>
      <rPr>
        <sz val="6"/>
        <rFont val="ＭＳ Ｐゴシック"/>
        <family val="3"/>
      </rPr>
      <t>非線形科学</t>
    </r>
  </si>
  <si>
    <r>
      <rPr>
        <sz val="6"/>
        <rFont val="ＭＳ Ｐゴシック"/>
        <family val="3"/>
      </rPr>
      <t>石渡信吾</t>
    </r>
  </si>
  <si>
    <r>
      <rPr>
        <sz val="6"/>
        <rFont val="ＭＳ Ｐゴシック"/>
        <family val="3"/>
      </rPr>
      <t>先端物理学</t>
    </r>
  </si>
  <si>
    <r>
      <rPr>
        <sz val="6"/>
        <rFont val="ＭＳ Ｐゴシック"/>
        <family val="3"/>
      </rPr>
      <t>大石一城</t>
    </r>
  </si>
  <si>
    <r>
      <rPr>
        <sz val="6"/>
        <rFont val="ＭＳ Ｐゴシック"/>
        <family val="3"/>
      </rPr>
      <t>現代物理学</t>
    </r>
  </si>
  <si>
    <r>
      <rPr>
        <sz val="6"/>
        <rFont val="ＭＳ Ｐゴシック"/>
        <family val="3"/>
      </rPr>
      <t>物理工学キャリアデザイン</t>
    </r>
  </si>
  <si>
    <r>
      <rPr>
        <sz val="6"/>
        <rFont val="ＭＳ Ｐゴシック"/>
        <family val="3"/>
      </rPr>
      <t>発展物理科学</t>
    </r>
  </si>
  <si>
    <r>
      <rPr>
        <sz val="6"/>
        <rFont val="ＭＳ Ｐゴシック"/>
        <family val="3"/>
      </rPr>
      <t>物理工学演習A</t>
    </r>
  </si>
  <si>
    <r>
      <rPr>
        <sz val="6"/>
        <rFont val="ＭＳ Ｐゴシック"/>
        <family val="3"/>
      </rPr>
      <t>物理工学教育分野各担当教員</t>
    </r>
  </si>
  <si>
    <r>
      <rPr>
        <sz val="6"/>
        <rFont val="ＭＳ Ｐゴシック"/>
        <family val="3"/>
      </rPr>
      <t>物理工学演習B</t>
    </r>
  </si>
  <si>
    <r>
      <rPr>
        <sz val="6"/>
        <rFont val="ＭＳ Ｐゴシック"/>
        <family val="3"/>
      </rPr>
      <t>電力システム計画論</t>
    </r>
  </si>
  <si>
    <r>
      <rPr>
        <sz val="6"/>
        <rFont val="ＭＳ Ｐゴシック"/>
        <family val="3"/>
      </rPr>
      <t>大山力</t>
    </r>
  </si>
  <si>
    <r>
      <rPr>
        <sz val="6"/>
        <rFont val="ＭＳ Ｐゴシック"/>
        <family val="3"/>
      </rPr>
      <t>半導体工学特論</t>
    </r>
  </si>
  <si>
    <r>
      <rPr>
        <sz val="6"/>
        <rFont val="ＭＳ Ｐゴシック"/>
        <family val="3"/>
      </rPr>
      <t>羽路伸夫</t>
    </r>
  </si>
  <si>
    <r>
      <rPr>
        <sz val="6"/>
        <rFont val="ＭＳ Ｐゴシック"/>
        <family val="3"/>
      </rPr>
      <t>マイクロエレクトロニクス</t>
    </r>
  </si>
  <si>
    <r>
      <rPr>
        <sz val="6"/>
        <rFont val="ＭＳ Ｐゴシック"/>
        <family val="3"/>
      </rPr>
      <t>高橋琢二</t>
    </r>
  </si>
  <si>
    <r>
      <rPr>
        <sz val="6"/>
        <rFont val="ＭＳ Ｐゴシック"/>
        <family val="3"/>
      </rPr>
      <t>半導体光エレクトロニクス</t>
    </r>
  </si>
  <si>
    <r>
      <rPr>
        <sz val="6"/>
        <rFont val="ＭＳ Ｐゴシック"/>
        <family val="3"/>
      </rPr>
      <t>荒川太郎</t>
    </r>
  </si>
  <si>
    <r>
      <rPr>
        <sz val="6"/>
        <rFont val="ＭＳ Ｐゴシック"/>
        <family val="3"/>
      </rPr>
      <t>情報通信インフラストラクチャ</t>
    </r>
  </si>
  <si>
    <r>
      <rPr>
        <sz val="6"/>
        <rFont val="ＭＳ Ｐゴシック"/>
        <family val="3"/>
      </rPr>
      <t>渡邊聡一</t>
    </r>
  </si>
  <si>
    <r>
      <rPr>
        <sz val="6"/>
        <rFont val="ＭＳ Ｐゴシック"/>
        <family val="3"/>
      </rPr>
      <t>マルチメディア移動通信</t>
    </r>
  </si>
  <si>
    <r>
      <rPr>
        <sz val="6"/>
        <rFont val="ＭＳ Ｐゴシック"/>
        <family val="3"/>
      </rPr>
      <t>辻宏之</t>
    </r>
  </si>
  <si>
    <r>
      <rPr>
        <sz val="6"/>
        <rFont val="ＭＳ Ｐゴシック"/>
        <family val="3"/>
      </rPr>
      <t>マイクロ波工学</t>
    </r>
  </si>
  <si>
    <r>
      <rPr>
        <sz val="6"/>
        <rFont val="ＭＳ Ｐゴシック"/>
        <family val="3"/>
      </rPr>
      <t>久我宣裕</t>
    </r>
  </si>
  <si>
    <r>
      <rPr>
        <sz val="6"/>
        <rFont val="ＭＳ Ｐゴシック"/>
        <family val="3"/>
      </rPr>
      <t>フォールトトレラントシステム論</t>
    </r>
  </si>
  <si>
    <r>
      <rPr>
        <sz val="6"/>
        <rFont val="ＭＳ Ｐゴシック"/>
        <family val="3"/>
      </rPr>
      <t>田中宏和</t>
    </r>
  </si>
  <si>
    <r>
      <rPr>
        <sz val="6"/>
        <rFont val="ＭＳ Ｐゴシック"/>
        <family val="3"/>
      </rPr>
      <t>電磁気学特論</t>
    </r>
  </si>
  <si>
    <r>
      <rPr>
        <sz val="6"/>
        <rFont val="ＭＳ Ｐゴシック"/>
        <family val="3"/>
      </rPr>
      <t>日高邦彦</t>
    </r>
  </si>
  <si>
    <r>
      <rPr>
        <sz val="6"/>
        <rFont val="ＭＳ Ｐゴシック"/>
        <family val="3"/>
      </rPr>
      <t>数理プログラミング論</t>
    </r>
  </si>
  <si>
    <r>
      <rPr>
        <sz val="6"/>
        <rFont val="ＭＳ Ｐゴシック"/>
        <family val="3"/>
      </rPr>
      <t>杉本千佳</t>
    </r>
  </si>
  <si>
    <r>
      <rPr>
        <sz val="6"/>
        <rFont val="ＭＳ Ｐゴシック"/>
        <family val="3"/>
      </rPr>
      <t>アナログCMOS集積回路</t>
    </r>
  </si>
  <si>
    <r>
      <rPr>
        <sz val="6"/>
        <rFont val="ＭＳ Ｐゴシック"/>
        <family val="3"/>
      </rPr>
      <t>小川敦</t>
    </r>
  </si>
  <si>
    <r>
      <rPr>
        <sz val="6"/>
        <rFont val="ＭＳ Ｐゴシック"/>
        <family val="3"/>
      </rPr>
      <t>集積ナノデバイス工学</t>
    </r>
  </si>
  <si>
    <r>
      <rPr>
        <sz val="6"/>
        <rFont val="ＭＳ Ｐゴシック"/>
        <family val="3"/>
      </rPr>
      <t>大矢剛嗣</t>
    </r>
  </si>
  <si>
    <r>
      <rPr>
        <sz val="6"/>
        <rFont val="ＭＳ Ｐゴシック"/>
        <family val="3"/>
      </rPr>
      <t>電子デバイス特論</t>
    </r>
  </si>
  <si>
    <r>
      <rPr>
        <sz val="6"/>
        <rFont val="ＭＳ Ｐゴシック"/>
        <family val="3"/>
      </rPr>
      <t>竹村泰司</t>
    </r>
  </si>
  <si>
    <r>
      <rPr>
        <sz val="6"/>
        <rFont val="ＭＳ Ｐゴシック"/>
        <family val="3"/>
      </rPr>
      <t>情報通信による医工融合コロキウム</t>
    </r>
  </si>
  <si>
    <r>
      <rPr>
        <sz val="6"/>
        <rFont val="ＭＳ Ｐゴシック"/>
        <family val="3"/>
      </rPr>
      <t>下野誠通</t>
    </r>
  </si>
  <si>
    <r>
      <rPr>
        <sz val="6"/>
        <rFont val="ＭＳ Ｐゴシック"/>
        <family val="3"/>
      </rPr>
      <t>スマートグリッド論</t>
    </r>
  </si>
  <si>
    <r>
      <rPr>
        <sz val="6"/>
        <rFont val="ＭＳ Ｐゴシック"/>
        <family val="3"/>
      </rPr>
      <t>辻隆男</t>
    </r>
  </si>
  <si>
    <r>
      <rPr>
        <sz val="6"/>
        <rFont val="ＭＳ Ｐゴシック"/>
        <family val="3"/>
      </rPr>
      <t>超伝導エレクトロニクス</t>
    </r>
  </si>
  <si>
    <r>
      <rPr>
        <sz val="6"/>
        <rFont val="ＭＳ Ｐゴシック"/>
        <family val="3"/>
      </rPr>
      <t>山梨裕希</t>
    </r>
  </si>
  <si>
    <r>
      <rPr>
        <sz val="6"/>
        <rFont val="ＭＳ Ｐゴシック"/>
        <family val="3"/>
      </rPr>
      <t>モバイルアンテナシステム測定</t>
    </r>
  </si>
  <si>
    <r>
      <rPr>
        <sz val="6"/>
        <rFont val="ＭＳ Ｐゴシック"/>
        <family val="3"/>
      </rPr>
      <t>新井宏之</t>
    </r>
  </si>
  <si>
    <r>
      <rPr>
        <sz val="6"/>
        <rFont val="ＭＳ Ｐゴシック"/>
        <family val="3"/>
      </rPr>
      <t>モーションコントロールシステム</t>
    </r>
  </si>
  <si>
    <r>
      <rPr>
        <sz val="6"/>
        <rFont val="ＭＳ Ｐゴシック"/>
        <family val="3"/>
      </rPr>
      <t>人間システム工学</t>
    </r>
  </si>
  <si>
    <r>
      <rPr>
        <sz val="6"/>
        <rFont val="ＭＳ Ｐゴシック"/>
        <family val="3"/>
      </rPr>
      <t>島圭介</t>
    </r>
  </si>
  <si>
    <r>
      <rPr>
        <sz val="6"/>
        <rFont val="ＭＳ Ｐゴシック"/>
        <family val="3"/>
      </rPr>
      <t>応用物理コロキウムⅠ</t>
    </r>
  </si>
  <si>
    <r>
      <rPr>
        <sz val="6"/>
        <rFont val="ＭＳ Ｐゴシック"/>
        <family val="3"/>
      </rPr>
      <t>応用物理コロキウムⅡ</t>
    </r>
  </si>
  <si>
    <r>
      <rPr>
        <sz val="6"/>
        <rFont val="ＭＳ Ｐゴシック"/>
        <family val="3"/>
      </rPr>
      <t>情報システムコロキウムⅠ</t>
    </r>
  </si>
  <si>
    <r>
      <rPr>
        <sz val="6"/>
        <rFont val="ＭＳ Ｐゴシック"/>
        <family val="3"/>
      </rPr>
      <t>情報システムコロキウムⅡ</t>
    </r>
  </si>
  <si>
    <r>
      <rPr>
        <sz val="6"/>
        <rFont val="ＭＳ Ｐゴシック"/>
        <family val="3"/>
      </rPr>
      <t>電気電子ネットワークコロキウムⅠ</t>
    </r>
  </si>
  <si>
    <r>
      <rPr>
        <sz val="6"/>
        <rFont val="ＭＳ Ｐゴシック"/>
        <family val="3"/>
      </rPr>
      <t>電気電子ネットワークコロキウムⅡ</t>
    </r>
  </si>
  <si>
    <r>
      <rPr>
        <sz val="6"/>
        <rFont val="ＭＳ Ｐゴシック"/>
        <family val="3"/>
      </rPr>
      <t>マルチメディア無線通信ネットワーク</t>
    </r>
  </si>
  <si>
    <r>
      <rPr>
        <sz val="6"/>
        <rFont val="ＭＳ Ｐゴシック"/>
        <family val="3"/>
      </rPr>
      <t>李還幇</t>
    </r>
  </si>
  <si>
    <r>
      <rPr>
        <sz val="6"/>
        <rFont val="ＭＳ Ｐゴシック"/>
        <family val="3"/>
      </rPr>
      <t>スピントロニクス</t>
    </r>
  </si>
  <si>
    <r>
      <rPr>
        <sz val="6"/>
        <rFont val="ＭＳ Ｐゴシック"/>
        <family val="3"/>
      </rPr>
      <t>関口康爾</t>
    </r>
  </si>
  <si>
    <r>
      <rPr>
        <sz val="6"/>
        <rFont val="ＭＳ Ｐゴシック"/>
        <family val="3"/>
      </rPr>
      <t>ヒューマンセンシング工学</t>
    </r>
  </si>
  <si>
    <r>
      <rPr>
        <sz val="6"/>
        <rFont val="ＭＳ Ｐゴシック"/>
        <family val="3"/>
      </rPr>
      <t>応用物理学外研修</t>
    </r>
  </si>
  <si>
    <r>
      <rPr>
        <sz val="6"/>
        <rFont val="ＭＳ Ｐゴシック"/>
        <family val="3"/>
      </rPr>
      <t>情報システム学外研修</t>
    </r>
  </si>
  <si>
    <r>
      <rPr>
        <sz val="6"/>
        <rFont val="ＭＳ Ｐゴシック"/>
        <family val="3"/>
      </rPr>
      <t>電気電子ネットワーク学外研修</t>
    </r>
  </si>
  <si>
    <r>
      <rPr>
        <sz val="6"/>
        <rFont val="ＭＳ Ｐゴシック"/>
        <family val="3"/>
      </rPr>
      <t>応用物理演習A</t>
    </r>
  </si>
  <si>
    <r>
      <rPr>
        <sz val="6"/>
        <rFont val="ＭＳ Ｐゴシック"/>
        <family val="3"/>
      </rPr>
      <t>応用物理教育分野各担当教員</t>
    </r>
  </si>
  <si>
    <r>
      <rPr>
        <sz val="6"/>
        <rFont val="ＭＳ Ｐゴシック"/>
        <family val="3"/>
      </rPr>
      <t>応用物理演習B</t>
    </r>
  </si>
  <si>
    <r>
      <rPr>
        <sz val="6"/>
        <rFont val="ＭＳ Ｐゴシック"/>
        <family val="3"/>
      </rPr>
      <t>応用物理演習C</t>
    </r>
  </si>
  <si>
    <r>
      <rPr>
        <sz val="6"/>
        <rFont val="ＭＳ Ｐゴシック"/>
        <family val="3"/>
      </rPr>
      <t>応用物理演習D</t>
    </r>
  </si>
  <si>
    <r>
      <rPr>
        <sz val="6"/>
        <rFont val="ＭＳ Ｐゴシック"/>
        <family val="3"/>
      </rPr>
      <t>情報システム教育分野各担当教員</t>
    </r>
  </si>
  <si>
    <r>
      <rPr>
        <sz val="6"/>
        <rFont val="ＭＳ Ｐゴシック"/>
        <family val="3"/>
      </rPr>
      <t>情報システム演習B</t>
    </r>
  </si>
  <si>
    <r>
      <rPr>
        <sz val="6"/>
        <rFont val="ＭＳ Ｐゴシック"/>
        <family val="3"/>
      </rPr>
      <t>情報システム演習C</t>
    </r>
  </si>
  <si>
    <r>
      <rPr>
        <sz val="6"/>
        <rFont val="ＭＳ Ｐゴシック"/>
        <family val="3"/>
      </rPr>
      <t>情報システム演習D</t>
    </r>
  </si>
  <si>
    <r>
      <rPr>
        <sz val="6"/>
        <rFont val="ＭＳ Ｐゴシック"/>
        <family val="3"/>
      </rPr>
      <t>電気電子ネットワーク演習A</t>
    </r>
  </si>
  <si>
    <r>
      <rPr>
        <sz val="6"/>
        <rFont val="ＭＳ Ｐゴシック"/>
        <family val="3"/>
      </rPr>
      <t>電気電子ネットワーク演習B</t>
    </r>
  </si>
  <si>
    <r>
      <rPr>
        <sz val="6"/>
        <rFont val="ＭＳ Ｐゴシック"/>
        <family val="3"/>
      </rPr>
      <t>電気電子ネットワーク演習C</t>
    </r>
  </si>
  <si>
    <r>
      <rPr>
        <sz val="6"/>
        <rFont val="ＭＳ Ｐゴシック"/>
        <family val="3"/>
      </rPr>
      <t>電気電子ネットワーク演習D</t>
    </r>
  </si>
  <si>
    <r>
      <rPr>
        <sz val="6"/>
        <rFont val="ＭＳ Ｐゴシック"/>
        <family val="3"/>
      </rPr>
      <t>応用物理海外インターンシップL</t>
    </r>
  </si>
  <si>
    <r>
      <rPr>
        <sz val="6"/>
        <rFont val="ＭＳ Ｐゴシック"/>
        <family val="3"/>
      </rPr>
      <t>応用物理海外インターンシップM</t>
    </r>
  </si>
  <si>
    <r>
      <rPr>
        <sz val="6"/>
        <rFont val="ＭＳ Ｐゴシック"/>
        <family val="3"/>
      </rPr>
      <t>応用物理海外インターンシップS</t>
    </r>
  </si>
  <si>
    <r>
      <rPr>
        <sz val="6"/>
        <rFont val="ＭＳ Ｐゴシック"/>
        <family val="3"/>
      </rPr>
      <t>情報システム海外インターンシップM</t>
    </r>
  </si>
  <si>
    <r>
      <rPr>
        <sz val="6"/>
        <rFont val="ＭＳ Ｐゴシック"/>
        <family val="3"/>
      </rPr>
      <t>情報システム海外インターンシップS</t>
    </r>
  </si>
  <si>
    <r>
      <rPr>
        <sz val="6"/>
        <rFont val="ＭＳ Ｐゴシック"/>
        <family val="3"/>
      </rPr>
      <t>電気電子ネットワーク海外インターンシップL</t>
    </r>
  </si>
  <si>
    <r>
      <rPr>
        <sz val="6"/>
        <rFont val="ＭＳ Ｐゴシック"/>
        <family val="3"/>
      </rPr>
      <t>電気電子ネットワーク海外インターンシップM</t>
    </r>
  </si>
  <si>
    <r>
      <rPr>
        <sz val="6"/>
        <rFont val="ＭＳ Ｐゴシック"/>
        <family val="3"/>
      </rPr>
      <t>電気電子ネットワーク海外インターンシップS</t>
    </r>
  </si>
  <si>
    <t>時間割一覧</t>
    <rPh sb="0" eb="3">
      <t>ジカンワリ</t>
    </rPh>
    <rPh sb="3" eb="5">
      <t>イチラン</t>
    </rPh>
    <phoneticPr fontId="5"/>
  </si>
  <si>
    <r>
      <rPr>
        <sz val="6"/>
        <rFont val="ＭＳ Ｐゴシック"/>
        <family val="3"/>
      </rPr>
      <t>時間割コード</t>
    </r>
  </si>
  <si>
    <r>
      <rPr>
        <sz val="6"/>
        <rFont val="ＭＳ Ｐゴシック"/>
        <family val="3"/>
      </rPr>
      <t>科目名</t>
    </r>
  </si>
  <si>
    <r>
      <rPr>
        <sz val="6"/>
        <rFont val="ＭＳ Ｐゴシック"/>
        <family val="3"/>
      </rPr>
      <t>担当教員</t>
    </r>
  </si>
  <si>
    <r>
      <rPr>
        <sz val="6"/>
        <rFont val="ＭＳ Ｐゴシック"/>
        <family val="3"/>
      </rPr>
      <t>授業形態</t>
    </r>
  </si>
  <si>
    <r>
      <rPr>
        <sz val="6"/>
        <rFont val="ＭＳ Ｐゴシック"/>
        <family val="3"/>
      </rPr>
      <t>履修年次</t>
    </r>
  </si>
  <si>
    <r>
      <rPr>
        <sz val="6"/>
        <rFont val="ＭＳ Ｐゴシック"/>
        <family val="3"/>
      </rPr>
      <t>研究指導科目</t>
    </r>
  </si>
  <si>
    <r>
      <rPr>
        <sz val="6"/>
        <rFont val="ＭＳ Ｐゴシック"/>
        <family val="3"/>
      </rPr>
      <t>使用言語</t>
    </r>
  </si>
  <si>
    <r>
      <rPr>
        <sz val="6"/>
        <rFont val="ＭＳ Ｐゴシック"/>
        <family val="3"/>
      </rPr>
      <t>ナンバリングコード</t>
    </r>
  </si>
  <si>
    <r>
      <rPr>
        <sz val="6"/>
        <rFont val="ＭＳ Ｐゴシック"/>
        <family val="3"/>
      </rPr>
      <t>開講年度</t>
    </r>
  </si>
  <si>
    <r>
      <rPr>
        <sz val="6"/>
        <rFont val="ＭＳ Ｐゴシック"/>
        <family val="3"/>
      </rPr>
      <t>開講学期/ターム</t>
    </r>
  </si>
  <si>
    <r>
      <rPr>
        <sz val="6"/>
        <rFont val="ＭＳ Ｐゴシック"/>
        <family val="3"/>
      </rPr>
      <t>備考</t>
    </r>
  </si>
  <si>
    <r>
      <rPr>
        <sz val="6"/>
        <rFont val="ＭＳ Ｐゴシック"/>
        <family val="3"/>
      </rPr>
      <t>実務系</t>
    </r>
  </si>
  <si>
    <r>
      <rPr>
        <sz val="6"/>
        <rFont val="ＭＳ Ｐゴシック"/>
        <family val="3"/>
      </rPr>
      <t>N000011</t>
    </r>
  </si>
  <si>
    <r>
      <rPr>
        <sz val="6"/>
        <rFont val="ＭＳ Ｐゴシック"/>
        <family val="3"/>
      </rPr>
      <t>高田一，向井剛輝，梅原出，大山俊幸，西佳樹，羽路伸夫，光島重徳</t>
    </r>
  </si>
  <si>
    <r>
      <rPr>
        <sz val="6"/>
        <rFont val="ＭＳ Ｐゴシック"/>
        <family val="3"/>
      </rPr>
      <t>講義</t>
    </r>
  </si>
  <si>
    <r>
      <rPr>
        <sz val="6"/>
        <rFont val="ＭＳ Ｐゴシック"/>
        <family val="3"/>
      </rPr>
      <t>1･2</t>
    </r>
  </si>
  <si>
    <r>
      <rPr>
        <sz val="6"/>
        <rFont val="ＭＳ Ｐゴシック"/>
        <family val="3"/>
      </rPr>
      <t>日本語</t>
    </r>
  </si>
  <si>
    <r>
      <rPr>
        <sz val="6"/>
        <rFont val="ＭＳ Ｐゴシック"/>
        <family val="3"/>
      </rPr>
      <t>ESa5002</t>
    </r>
  </si>
  <si>
    <r>
      <rPr>
        <sz val="6"/>
        <rFont val="ＭＳ Ｐゴシック"/>
        <family val="3"/>
      </rPr>
      <t>毎年</t>
    </r>
  </si>
  <si>
    <r>
      <rPr>
        <sz val="6"/>
        <rFont val="ＭＳ Ｐゴシック"/>
        <family val="3"/>
      </rPr>
      <t>春</t>
    </r>
  </si>
  <si>
    <r>
      <rPr>
        <sz val="6"/>
        <rFont val="ＭＳ Ｐゴシック"/>
        <family val="3"/>
      </rPr>
      <t>（a）N00002A
（b）N00002B
（c）N00002C
（d）N00002D
（e）N00002E
（f）N00002F</t>
    </r>
  </si>
  <si>
    <r>
      <rPr>
        <sz val="6"/>
        <rFont val="ＭＳ Ｐゴシック"/>
        <family val="3"/>
      </rPr>
      <t>英語</t>
    </r>
  </si>
  <si>
    <r>
      <rPr>
        <sz val="6"/>
        <rFont val="ＭＳ Ｐゴシック"/>
        <family val="3"/>
      </rPr>
      <t>ESa5006</t>
    </r>
  </si>
  <si>
    <r>
      <rPr>
        <sz val="6"/>
        <rFont val="ＭＳ Ｐゴシック"/>
        <family val="3"/>
      </rPr>
      <t>春･秋</t>
    </r>
  </si>
  <si>
    <r>
      <rPr>
        <sz val="6"/>
        <rFont val="ＭＳ Ｐゴシック"/>
        <family val="3"/>
      </rPr>
      <t>クラス分け（a～f)毎に履修登録すること。
（a～d：春学期、e～f：秋学期）</t>
    </r>
  </si>
  <si>
    <r>
      <rPr>
        <sz val="6"/>
        <rFont val="ＭＳ Ｐゴシック"/>
        <family val="3"/>
      </rPr>
      <t>（a）N00003A
（b）N00003B
（c）N00003C
（d）N00003D</t>
    </r>
  </si>
  <si>
    <r>
      <rPr>
        <sz val="6"/>
        <rFont val="ＭＳ Ｐゴシック"/>
        <family val="3"/>
      </rPr>
      <t>稲田正俊，萱葺正</t>
    </r>
  </si>
  <si>
    <r>
      <rPr>
        <sz val="6"/>
        <rFont val="ＭＳ Ｐゴシック"/>
        <family val="3"/>
      </rPr>
      <t>ESa4006</t>
    </r>
  </si>
  <si>
    <r>
      <rPr>
        <sz val="6"/>
        <rFont val="ＭＳ Ｐゴシック"/>
        <family val="3"/>
      </rPr>
      <t>a、bクラス担当：稲田 c、dクラス担当：萱葺</t>
    </r>
  </si>
  <si>
    <r>
      <rPr>
        <sz val="6"/>
        <rFont val="ＭＳ Ｐゴシック"/>
        <family val="3"/>
      </rPr>
      <t>N00004B</t>
    </r>
  </si>
  <si>
    <r>
      <rPr>
        <sz val="6"/>
        <rFont val="ＭＳ Ｐゴシック"/>
        <family val="3"/>
      </rPr>
      <t>秋</t>
    </r>
  </si>
  <si>
    <r>
      <rPr>
        <sz val="6"/>
        <rFont val="ＭＳ Ｐゴシック"/>
        <family val="3"/>
      </rPr>
      <t>N000051</t>
    </r>
  </si>
  <si>
    <r>
      <rPr>
        <sz val="6"/>
        <rFont val="ＭＳ Ｐゴシック"/>
        <family val="3"/>
      </rPr>
      <t>高田一，橋本義平，齊藤義順，佐藤国仁，岡田惠夫</t>
    </r>
  </si>
  <si>
    <r>
      <rPr>
        <sz val="6"/>
        <rFont val="ＭＳ Ｐゴシック"/>
        <family val="3"/>
      </rPr>
      <t>ESa4181</t>
    </r>
  </si>
  <si>
    <r>
      <rPr>
        <sz val="6"/>
        <rFont val="ＭＳ Ｐゴシック"/>
        <family val="3"/>
      </rPr>
      <t>N000064</t>
    </r>
  </si>
  <si>
    <r>
      <rPr>
        <sz val="6"/>
        <rFont val="ＭＳ Ｐゴシック"/>
        <family val="3"/>
      </rPr>
      <t>羽路伸夫，為近恵美</t>
    </r>
  </si>
  <si>
    <r>
      <rPr>
        <sz val="6"/>
        <rFont val="ＭＳ Ｐゴシック"/>
        <family val="3"/>
      </rPr>
      <t>ESa4004</t>
    </r>
  </si>
  <si>
    <r>
      <rPr>
        <sz val="6"/>
        <rFont val="ＭＳ Ｐゴシック"/>
        <family val="3"/>
      </rPr>
      <t>N000071</t>
    </r>
  </si>
  <si>
    <r>
      <rPr>
        <sz val="6"/>
        <rFont val="ＭＳ Ｐゴシック"/>
        <family val="3"/>
      </rPr>
      <t>ESa4002</t>
    </r>
  </si>
  <si>
    <r>
      <rPr>
        <sz val="6"/>
        <rFont val="ＭＳ Ｐゴシック"/>
        <family val="3"/>
      </rPr>
      <t>隔週開講</t>
    </r>
  </si>
  <si>
    <r>
      <rPr>
        <sz val="6"/>
        <rFont val="ＭＳ Ｐゴシック"/>
        <family val="3"/>
      </rPr>
      <t>N000081</t>
    </r>
  </si>
  <si>
    <r>
      <rPr>
        <sz val="6"/>
        <rFont val="ＭＳ Ｐゴシック"/>
        <family val="3"/>
      </rPr>
      <t>N000091</t>
    </r>
  </si>
  <si>
    <r>
      <rPr>
        <sz val="6"/>
        <rFont val="ＭＳ Ｐゴシック"/>
        <family val="3"/>
      </rPr>
      <t>岩熊眞起，佐藤国仁，橋本義平，齊藤義順</t>
    </r>
  </si>
  <si>
    <r>
      <rPr>
        <sz val="6"/>
        <rFont val="ＭＳ Ｐゴシック"/>
        <family val="3"/>
      </rPr>
      <t>N000104</t>
    </r>
  </si>
  <si>
    <r>
      <rPr>
        <sz val="6"/>
        <rFont val="ＭＳ Ｐゴシック"/>
        <family val="3"/>
      </rPr>
      <t>N000111</t>
    </r>
  </si>
  <si>
    <r>
      <rPr>
        <sz val="6"/>
        <rFont val="ＭＳ Ｐゴシック"/>
        <family val="3"/>
      </rPr>
      <t>北川達夫，稲田正俊</t>
    </r>
  </si>
  <si>
    <r>
      <rPr>
        <sz val="6"/>
        <rFont val="ＭＳ Ｐゴシック"/>
        <family val="3"/>
      </rPr>
      <t>N000121</t>
    </r>
  </si>
  <si>
    <r>
      <rPr>
        <sz val="6"/>
        <rFont val="ＭＳ Ｐゴシック"/>
        <family val="3"/>
      </rPr>
      <t>N000131</t>
    </r>
  </si>
  <si>
    <r>
      <rPr>
        <sz val="6"/>
        <rFont val="ＭＳ Ｐゴシック"/>
        <family val="3"/>
      </rPr>
      <t>N000141</t>
    </r>
  </si>
  <si>
    <r>
      <rPr>
        <sz val="6"/>
        <rFont val="ＭＳ Ｐゴシック"/>
        <family val="3"/>
      </rPr>
      <t>羽路伸夫，周佐喜和，高見沢実，為近恵美</t>
    </r>
  </si>
  <si>
    <r>
      <rPr>
        <sz val="6"/>
        <rFont val="ＭＳ Ｐゴシック"/>
        <family val="3"/>
      </rPr>
      <t>第１ターム</t>
    </r>
  </si>
  <si>
    <r>
      <rPr>
        <sz val="6"/>
        <rFont val="ＭＳ Ｐゴシック"/>
        <family val="3"/>
      </rPr>
      <t>N000151</t>
    </r>
  </si>
  <si>
    <r>
      <rPr>
        <sz val="6"/>
        <rFont val="ＭＳ Ｐゴシック"/>
        <family val="3"/>
      </rPr>
      <t>第２ターム</t>
    </r>
  </si>
  <si>
    <r>
      <rPr>
        <sz val="6"/>
        <rFont val="ＭＳ Ｐゴシック"/>
        <family val="3"/>
      </rPr>
      <t>N000161</t>
    </r>
  </si>
  <si>
    <r>
      <rPr>
        <sz val="6"/>
        <rFont val="ＭＳ Ｐゴシック"/>
        <family val="3"/>
      </rPr>
      <t>江藤学，和泉章</t>
    </r>
  </si>
  <si>
    <r>
      <rPr>
        <sz val="6"/>
        <rFont val="ＭＳ Ｐゴシック"/>
        <family val="3"/>
      </rPr>
      <t>N000171</t>
    </r>
  </si>
  <si>
    <r>
      <rPr>
        <sz val="6"/>
        <rFont val="ＭＳ Ｐゴシック"/>
        <family val="3"/>
      </rPr>
      <t>（春）N009811
（秋）N009814</t>
    </r>
  </si>
  <si>
    <r>
      <rPr>
        <sz val="6"/>
        <rFont val="ＭＳ Ｐゴシック"/>
        <family val="3"/>
      </rPr>
      <t>実験・実習</t>
    </r>
  </si>
  <si>
    <r>
      <rPr>
        <sz val="6"/>
        <rFont val="ＭＳ Ｐゴシック"/>
        <family val="3"/>
      </rPr>
      <t>ESa9004</t>
    </r>
  </si>
  <si>
    <r>
      <rPr>
        <sz val="6"/>
        <color rgb="FFFFFFFF"/>
        <rFont val="ＭＳ Ｐゴシック"/>
        <family val="3"/>
      </rPr>
      <t>情報系</t>
    </r>
  </si>
  <si>
    <r>
      <rPr>
        <sz val="6"/>
        <rFont val="ＭＳ Ｐゴシック"/>
        <family val="3"/>
      </rPr>
      <t>NA10011</t>
    </r>
  </si>
  <si>
    <r>
      <rPr>
        <sz val="6"/>
        <rFont val="ＭＳ Ｐゴシック"/>
        <family val="3"/>
      </rPr>
      <t>ESb4554</t>
    </r>
  </si>
  <si>
    <r>
      <rPr>
        <sz val="6"/>
        <rFont val="ＭＳ Ｐゴシック"/>
        <family val="3"/>
      </rPr>
      <t>工学系</t>
    </r>
  </si>
  <si>
    <r>
      <rPr>
        <sz val="6"/>
        <rFont val="ＭＳ Ｐゴシック"/>
        <family val="3"/>
      </rPr>
      <t>NA10024</t>
    </r>
  </si>
  <si>
    <r>
      <rPr>
        <sz val="6"/>
        <color rgb="FFFFFFFF"/>
        <rFont val="ＭＳ Ｐゴシック"/>
        <family val="3"/>
      </rPr>
      <t>理学系</t>
    </r>
  </si>
  <si>
    <r>
      <rPr>
        <sz val="6"/>
        <rFont val="ＭＳ Ｐゴシック"/>
        <family val="3"/>
      </rPr>
      <t>NA20014</t>
    </r>
  </si>
  <si>
    <r>
      <rPr>
        <sz val="6"/>
        <rFont val="ＭＳ Ｐゴシック"/>
        <family val="3"/>
      </rPr>
      <t>ESb4444</t>
    </r>
  </si>
  <si>
    <r>
      <rPr>
        <sz val="6"/>
        <rFont val="ＭＳ Ｐゴシック"/>
        <family val="3"/>
      </rPr>
      <t>NA20024</t>
    </r>
  </si>
  <si>
    <r>
      <rPr>
        <sz val="6"/>
        <rFont val="ＭＳ Ｐゴシック"/>
        <family val="3"/>
      </rPr>
      <t>ESb4594</t>
    </r>
  </si>
  <si>
    <r>
      <rPr>
        <sz val="6"/>
        <rFont val="ＭＳ Ｐゴシック"/>
        <family val="3"/>
      </rPr>
      <t>NA30014</t>
    </r>
  </si>
  <si>
    <r>
      <rPr>
        <sz val="6"/>
        <rFont val="ＭＳ Ｐゴシック"/>
        <family val="3"/>
      </rPr>
      <t>ESb4612</t>
    </r>
  </si>
  <si>
    <r>
      <rPr>
        <sz val="6"/>
        <rFont val="ＭＳ Ｐゴシック"/>
        <family val="3"/>
      </rPr>
      <t>NA30024</t>
    </r>
  </si>
  <si>
    <r>
      <rPr>
        <sz val="6"/>
        <rFont val="ＭＳ Ｐゴシック"/>
        <family val="3"/>
      </rPr>
      <t>NB10014</t>
    </r>
  </si>
  <si>
    <r>
      <rPr>
        <sz val="6"/>
        <rFont val="ＭＳ Ｐゴシック"/>
        <family val="3"/>
      </rPr>
      <t>ESf4521</t>
    </r>
  </si>
  <si>
    <r>
      <rPr>
        <sz val="6"/>
        <rFont val="ＭＳ Ｐゴシック"/>
        <family val="3"/>
      </rPr>
      <t>奇数</t>
    </r>
  </si>
  <si>
    <r>
      <rPr>
        <sz val="6"/>
        <rFont val="ＭＳ Ｐゴシック"/>
        <family val="3"/>
      </rPr>
      <t>NB10021</t>
    </r>
  </si>
  <si>
    <r>
      <rPr>
        <sz val="6"/>
        <rFont val="ＭＳ Ｐゴシック"/>
        <family val="3"/>
      </rPr>
      <t>偶数</t>
    </r>
  </si>
  <si>
    <r>
      <rPr>
        <sz val="6"/>
        <rFont val="ＭＳ Ｐゴシック"/>
        <family val="3"/>
      </rPr>
      <t>NB10031</t>
    </r>
  </si>
  <si>
    <r>
      <rPr>
        <sz val="6"/>
        <rFont val="ＭＳ Ｐゴシック"/>
        <family val="3"/>
      </rPr>
      <t>ESf4603</t>
    </r>
  </si>
  <si>
    <r>
      <rPr>
        <sz val="6"/>
        <rFont val="ＭＳ Ｐゴシック"/>
        <family val="3"/>
      </rPr>
      <t>NB10044</t>
    </r>
  </si>
  <si>
    <r>
      <rPr>
        <sz val="6"/>
        <rFont val="ＭＳ Ｐゴシック"/>
        <family val="3"/>
      </rPr>
      <t>ESf4533</t>
    </r>
  </si>
  <si>
    <r>
      <rPr>
        <sz val="6"/>
        <rFont val="ＭＳ Ｐゴシック"/>
        <family val="3"/>
      </rPr>
      <t>NB10054</t>
    </r>
  </si>
  <si>
    <r>
      <rPr>
        <sz val="6"/>
        <rFont val="ＭＳ Ｐゴシック"/>
        <family val="3"/>
      </rPr>
      <t>ESf4522</t>
    </r>
  </si>
  <si>
    <r>
      <rPr>
        <sz val="6"/>
        <rFont val="ＭＳ Ｐゴシック"/>
        <family val="3"/>
      </rPr>
      <t>NB10064</t>
    </r>
  </si>
  <si>
    <r>
      <rPr>
        <sz val="6"/>
        <rFont val="ＭＳ Ｐゴシック"/>
        <family val="3"/>
      </rPr>
      <t>ESf4712</t>
    </r>
  </si>
  <si>
    <r>
      <rPr>
        <sz val="6"/>
        <rFont val="ＭＳ Ｐゴシック"/>
        <family val="3"/>
      </rPr>
      <t>NB10074</t>
    </r>
  </si>
  <si>
    <r>
      <rPr>
        <sz val="6"/>
        <rFont val="ＭＳ Ｐゴシック"/>
        <family val="3"/>
      </rPr>
      <t>ESf4534</t>
    </r>
  </si>
  <si>
    <r>
      <rPr>
        <sz val="6"/>
        <rFont val="ＭＳ Ｐゴシック"/>
        <family val="3"/>
      </rPr>
      <t>NB10254</t>
    </r>
  </si>
  <si>
    <r>
      <rPr>
        <sz val="6"/>
        <rFont val="ＭＳ Ｐゴシック"/>
        <family val="3"/>
      </rPr>
      <t>ESh4523</t>
    </r>
  </si>
  <si>
    <r>
      <rPr>
        <sz val="6"/>
        <rFont val="ＭＳ Ｐゴシック"/>
        <family val="3"/>
      </rPr>
      <t>NB20011</t>
    </r>
  </si>
  <si>
    <r>
      <rPr>
        <sz val="6"/>
        <rFont val="ＭＳ Ｐゴシック"/>
        <family val="3"/>
      </rPr>
      <t>ESf5565</t>
    </r>
  </si>
  <si>
    <r>
      <rPr>
        <sz val="6"/>
        <rFont val="ＭＳ Ｐゴシック"/>
        <family val="3"/>
      </rPr>
      <t>NB20024</t>
    </r>
  </si>
  <si>
    <r>
      <rPr>
        <sz val="6"/>
        <rFont val="ＭＳ Ｐゴシック"/>
        <family val="3"/>
      </rPr>
      <t>ESf5555</t>
    </r>
  </si>
  <si>
    <r>
      <rPr>
        <sz val="6"/>
        <rFont val="ＭＳ Ｐゴシック"/>
        <family val="3"/>
      </rPr>
      <t>NB20031</t>
    </r>
  </si>
  <si>
    <r>
      <rPr>
        <sz val="6"/>
        <rFont val="ＭＳ Ｐゴシック"/>
        <family val="3"/>
      </rPr>
      <t>ESf5601</t>
    </r>
  </si>
  <si>
    <r>
      <rPr>
        <sz val="6"/>
        <rFont val="ＭＳ Ｐゴシック"/>
        <family val="3"/>
      </rPr>
      <t>NB20043</t>
    </r>
  </si>
  <si>
    <r>
      <rPr>
        <sz val="6"/>
        <rFont val="ＭＳ Ｐゴシック"/>
        <family val="3"/>
      </rPr>
      <t>光島重徳，荒木拓人</t>
    </r>
  </si>
  <si>
    <r>
      <rPr>
        <sz val="6"/>
        <rFont val="ＭＳ Ｐゴシック"/>
        <family val="3"/>
      </rPr>
      <t>ESf5537</t>
    </r>
  </si>
  <si>
    <r>
      <rPr>
        <sz val="6"/>
        <rFont val="ＭＳ Ｐゴシック"/>
        <family val="3"/>
      </rPr>
      <t>第３ターム</t>
    </r>
  </si>
  <si>
    <r>
      <rPr>
        <sz val="6"/>
        <rFont val="ＭＳ Ｐゴシック"/>
        <family val="3"/>
      </rPr>
      <t>NC10014</t>
    </r>
  </si>
  <si>
    <r>
      <rPr>
        <sz val="6"/>
        <rFont val="ＭＳ Ｐゴシック"/>
        <family val="3"/>
      </rPr>
      <t>ESj4471</t>
    </r>
  </si>
  <si>
    <r>
      <rPr>
        <sz val="6"/>
        <rFont val="ＭＳ Ｐゴシック"/>
        <family val="3"/>
      </rPr>
      <t>数学教育分野 指定科目</t>
    </r>
  </si>
  <si>
    <r>
      <rPr>
        <sz val="6"/>
        <rFont val="ＭＳ Ｐゴシック"/>
        <family val="3"/>
      </rPr>
      <t>NC10021</t>
    </r>
  </si>
  <si>
    <r>
      <rPr>
        <sz val="6"/>
        <rFont val="ＭＳ Ｐゴシック"/>
        <family val="3"/>
      </rPr>
      <t>ESj4472</t>
    </r>
  </si>
  <si>
    <r>
      <rPr>
        <sz val="6"/>
        <rFont val="ＭＳ Ｐゴシック"/>
        <family val="3"/>
      </rPr>
      <t>NC10031</t>
    </r>
  </si>
  <si>
    <r>
      <rPr>
        <sz val="6"/>
        <rFont val="ＭＳ Ｐゴシック"/>
        <family val="3"/>
      </rPr>
      <t>ESj4473</t>
    </r>
  </si>
  <si>
    <r>
      <rPr>
        <sz val="6"/>
        <rFont val="ＭＳ Ｐゴシック"/>
        <family val="3"/>
      </rPr>
      <t>NC10044</t>
    </r>
  </si>
  <si>
    <r>
      <rPr>
        <sz val="6"/>
        <rFont val="ＭＳ Ｐゴシック"/>
        <family val="3"/>
      </rPr>
      <t>今野紀雄，竹居正登</t>
    </r>
  </si>
  <si>
    <r>
      <rPr>
        <sz val="6"/>
        <rFont val="ＭＳ Ｐゴシック"/>
        <family val="3"/>
      </rPr>
      <t>ESj4475</t>
    </r>
  </si>
  <si>
    <r>
      <rPr>
        <sz val="6"/>
        <rFont val="ＭＳ Ｐゴシック"/>
        <family val="3"/>
      </rPr>
      <t>春/秋</t>
    </r>
  </si>
  <si>
    <r>
      <rPr>
        <sz val="6"/>
        <rFont val="ＭＳ Ｐゴシック"/>
        <family val="3"/>
      </rPr>
      <t>偶数年度は秋学期に、奇数年度は春学期に開講する。
偶数年度担当：竹居（秋学期）奇数年度担当：今野（春学期）</t>
    </r>
  </si>
  <si>
    <r>
      <rPr>
        <sz val="6"/>
        <rFont val="ＭＳ Ｐゴシック"/>
        <family val="3"/>
      </rPr>
      <t>NC10051</t>
    </r>
  </si>
  <si>
    <r>
      <rPr>
        <sz val="6"/>
        <rFont val="ＭＳ Ｐゴシック"/>
        <family val="3"/>
      </rPr>
      <t>NC20011</t>
    </r>
  </si>
  <si>
    <r>
      <rPr>
        <sz val="6"/>
        <rFont val="ＭＳ Ｐゴシック"/>
        <family val="3"/>
      </rPr>
      <t>ESj4494</t>
    </r>
  </si>
  <si>
    <r>
      <rPr>
        <sz val="6"/>
        <rFont val="ＭＳ Ｐゴシック"/>
        <family val="3"/>
      </rPr>
      <t>NC20021</t>
    </r>
  </si>
  <si>
    <r>
      <rPr>
        <sz val="6"/>
        <rFont val="ＭＳ Ｐゴシック"/>
        <family val="3"/>
      </rPr>
      <t>一柳優子，白﨑良演</t>
    </r>
  </si>
  <si>
    <r>
      <rPr>
        <sz val="6"/>
        <rFont val="ＭＳ Ｐゴシック"/>
        <family val="3"/>
      </rPr>
      <t>ESj4432</t>
    </r>
  </si>
  <si>
    <r>
      <rPr>
        <sz val="6"/>
        <rFont val="ＭＳ Ｐゴシック"/>
        <family val="3"/>
      </rPr>
      <t>NC20031</t>
    </r>
  </si>
  <si>
    <r>
      <rPr>
        <sz val="6"/>
        <rFont val="ＭＳ Ｐゴシック"/>
        <family val="3"/>
      </rPr>
      <t>上原政智，山本勲</t>
    </r>
  </si>
  <si>
    <r>
      <rPr>
        <sz val="6"/>
        <rFont val="ＭＳ Ｐゴシック"/>
        <family val="3"/>
      </rPr>
      <t>ESj4493</t>
    </r>
  </si>
  <si>
    <r>
      <rPr>
        <sz val="6"/>
        <rFont val="ＭＳ Ｐゴシック"/>
        <family val="3"/>
      </rPr>
      <t>NC20044</t>
    </r>
  </si>
  <si>
    <r>
      <rPr>
        <sz val="6"/>
        <rFont val="ＭＳ Ｐゴシック"/>
        <family val="3"/>
      </rPr>
      <t>ESj4492</t>
    </r>
  </si>
  <si>
    <r>
      <rPr>
        <sz val="6"/>
        <rFont val="ＭＳ Ｐゴシック"/>
        <family val="3"/>
      </rPr>
      <t>NC20051</t>
    </r>
  </si>
  <si>
    <r>
      <rPr>
        <sz val="6"/>
        <rFont val="ＭＳ Ｐゴシック"/>
        <family val="3"/>
      </rPr>
      <t>ESj4491</t>
    </r>
  </si>
  <si>
    <r>
      <rPr>
        <sz val="6"/>
        <rFont val="ＭＳ Ｐゴシック"/>
        <family val="3"/>
      </rPr>
      <t>NC20064</t>
    </r>
  </si>
  <si>
    <r>
      <rPr>
        <sz val="6"/>
        <rFont val="ＭＳ Ｐゴシック"/>
        <family val="3"/>
      </rPr>
      <t>ESj4511</t>
    </r>
  </si>
  <si>
    <r>
      <rPr>
        <sz val="6"/>
        <rFont val="ＭＳ Ｐゴシック"/>
        <family val="3"/>
      </rPr>
      <t>NC30014</t>
    </r>
  </si>
  <si>
    <r>
      <rPr>
        <sz val="6"/>
        <rFont val="ＭＳ Ｐゴシック"/>
        <family val="3"/>
      </rPr>
      <t>藤井康正，小宮山涼一</t>
    </r>
  </si>
  <si>
    <r>
      <rPr>
        <sz val="6"/>
        <rFont val="ＭＳ Ｐゴシック"/>
        <family val="3"/>
      </rPr>
      <t>ESj4616</t>
    </r>
  </si>
  <si>
    <r>
      <rPr>
        <sz val="6"/>
        <rFont val="ＭＳ Ｐゴシック"/>
        <family val="3"/>
      </rPr>
      <t>NC30024</t>
    </r>
  </si>
  <si>
    <r>
      <rPr>
        <sz val="6"/>
        <rFont val="ＭＳ Ｐゴシック"/>
        <family val="3"/>
      </rPr>
      <t>ESj4564</t>
    </r>
  </si>
  <si>
    <r>
      <rPr>
        <sz val="6"/>
        <rFont val="ＭＳ Ｐゴシック"/>
        <family val="3"/>
      </rPr>
      <t>NC30034</t>
    </r>
  </si>
  <si>
    <r>
      <rPr>
        <sz val="6"/>
        <rFont val="ＭＳ Ｐゴシック"/>
        <family val="3"/>
      </rPr>
      <t>NC30041</t>
    </r>
  </si>
  <si>
    <r>
      <rPr>
        <sz val="6"/>
        <rFont val="ＭＳ Ｐゴシック"/>
        <family val="3"/>
      </rPr>
      <t>ESj4563</t>
    </r>
  </si>
  <si>
    <r>
      <rPr>
        <sz val="6"/>
        <rFont val="ＭＳ Ｐゴシック"/>
        <family val="3"/>
      </rPr>
      <t>NC30054</t>
    </r>
  </si>
  <si>
    <r>
      <rPr>
        <sz val="6"/>
        <rFont val="ＭＳ Ｐゴシック"/>
        <family val="3"/>
      </rPr>
      <t>NC30064</t>
    </r>
  </si>
  <si>
    <r>
      <rPr>
        <sz val="6"/>
        <rFont val="ＭＳ Ｐゴシック"/>
        <family val="3"/>
      </rPr>
      <t>ESj4124</t>
    </r>
  </si>
  <si>
    <r>
      <rPr>
        <sz val="6"/>
        <rFont val="ＭＳ Ｐゴシック"/>
        <family val="3"/>
      </rPr>
      <t>NC30071</t>
    </r>
  </si>
  <si>
    <r>
      <rPr>
        <sz val="6"/>
        <rFont val="ＭＳ Ｐゴシック"/>
        <family val="3"/>
      </rPr>
      <t>ESj4562</t>
    </r>
  </si>
  <si>
    <r>
      <rPr>
        <sz val="6"/>
        <rFont val="ＭＳ Ｐゴシック"/>
        <family val="3"/>
      </rPr>
      <t>NC10064</t>
    </r>
  </si>
  <si>
    <r>
      <rPr>
        <sz val="6"/>
        <rFont val="ＭＳ Ｐゴシック"/>
        <family val="3"/>
      </rPr>
      <t>ESk5471</t>
    </r>
  </si>
  <si>
    <r>
      <rPr>
        <sz val="6"/>
        <rFont val="ＭＳ Ｐゴシック"/>
        <family val="3"/>
      </rPr>
      <t>NC10071</t>
    </r>
  </si>
  <si>
    <r>
      <rPr>
        <sz val="6"/>
        <rFont val="ＭＳ Ｐゴシック"/>
        <family val="3"/>
      </rPr>
      <t>ESk5472</t>
    </r>
  </si>
  <si>
    <r>
      <rPr>
        <sz val="6"/>
        <rFont val="ＭＳ Ｐゴシック"/>
        <family val="3"/>
      </rPr>
      <t>NC10081</t>
    </r>
  </si>
  <si>
    <r>
      <rPr>
        <sz val="6"/>
        <rFont val="ＭＳ Ｐゴシック"/>
        <family val="3"/>
      </rPr>
      <t>ESk5473</t>
    </r>
  </si>
  <si>
    <r>
      <rPr>
        <sz val="6"/>
        <rFont val="ＭＳ Ｐゴシック"/>
        <family val="3"/>
      </rPr>
      <t>NC10091</t>
    </r>
  </si>
  <si>
    <r>
      <rPr>
        <sz val="6"/>
        <rFont val="ＭＳ Ｐゴシック"/>
        <family val="3"/>
      </rPr>
      <t>ESk5475</t>
    </r>
  </si>
  <si>
    <r>
      <rPr>
        <sz val="6"/>
        <rFont val="ＭＳ Ｐゴシック"/>
        <family val="3"/>
      </rPr>
      <t>NC10104</t>
    </r>
  </si>
  <si>
    <r>
      <rPr>
        <sz val="6"/>
        <rFont val="ＭＳ Ｐゴシック"/>
        <family val="3"/>
      </rPr>
      <t>NC10114</t>
    </r>
  </si>
  <si>
    <r>
      <rPr>
        <sz val="6"/>
        <rFont val="ＭＳ Ｐゴシック"/>
        <family val="3"/>
      </rPr>
      <t>NC20071</t>
    </r>
  </si>
  <si>
    <r>
      <rPr>
        <sz val="6"/>
        <rFont val="ＭＳ Ｐゴシック"/>
        <family val="3"/>
      </rPr>
      <t>小坂英男，堀切智之</t>
    </r>
  </si>
  <si>
    <r>
      <rPr>
        <sz val="6"/>
        <rFont val="ＭＳ Ｐゴシック"/>
        <family val="3"/>
      </rPr>
      <t>ESk4432</t>
    </r>
  </si>
  <si>
    <r>
      <rPr>
        <sz val="6"/>
        <rFont val="ＭＳ Ｐゴシック"/>
        <family val="3"/>
      </rPr>
      <t>NC20084</t>
    </r>
  </si>
  <si>
    <r>
      <rPr>
        <sz val="6"/>
        <rFont val="ＭＳ Ｐゴシック"/>
        <family val="3"/>
      </rPr>
      <t>武田淳，片山郁文</t>
    </r>
  </si>
  <si>
    <r>
      <rPr>
        <sz val="6"/>
        <rFont val="ＭＳ Ｐゴシック"/>
        <family val="3"/>
      </rPr>
      <t>ESk4492</t>
    </r>
  </si>
  <si>
    <r>
      <rPr>
        <sz val="6"/>
        <rFont val="ＭＳ Ｐゴシック"/>
        <family val="3"/>
      </rPr>
      <t>NC20091</t>
    </r>
  </si>
  <si>
    <r>
      <rPr>
        <sz val="6"/>
        <rFont val="ＭＳ Ｐゴシック"/>
        <family val="3"/>
      </rPr>
      <t>ESk4495</t>
    </r>
  </si>
  <si>
    <r>
      <rPr>
        <sz val="6"/>
        <rFont val="ＭＳ Ｐゴシック"/>
        <family val="3"/>
      </rPr>
      <t>NC20101</t>
    </r>
  </si>
  <si>
    <r>
      <rPr>
        <sz val="6"/>
        <rFont val="ＭＳ Ｐゴシック"/>
        <family val="3"/>
      </rPr>
      <t>大野かおる，Hannes Raebiger</t>
    </r>
  </si>
  <si>
    <r>
      <rPr>
        <sz val="6"/>
        <rFont val="ＭＳ Ｐゴシック"/>
        <family val="3"/>
      </rPr>
      <t>ESk4493</t>
    </r>
  </si>
  <si>
    <r>
      <rPr>
        <sz val="6"/>
        <rFont val="ＭＳ Ｐゴシック"/>
        <family val="3"/>
      </rPr>
      <t>NC20114</t>
    </r>
  </si>
  <si>
    <r>
      <rPr>
        <sz val="6"/>
        <rFont val="ＭＳ Ｐゴシック"/>
        <family val="3"/>
      </rPr>
      <t>ESk4491</t>
    </r>
  </si>
  <si>
    <r>
      <rPr>
        <sz val="6"/>
        <rFont val="ＭＳ Ｐゴシック"/>
        <family val="3"/>
      </rPr>
      <t>NC20214</t>
    </r>
  </si>
  <si>
    <r>
      <rPr>
        <sz val="6"/>
        <rFont val="ＭＳ Ｐゴシック"/>
        <family val="3"/>
      </rPr>
      <t>ESl4493</t>
    </r>
  </si>
  <si>
    <r>
      <rPr>
        <sz val="6"/>
        <rFont val="ＭＳ Ｐゴシック"/>
        <family val="3"/>
      </rPr>
      <t>（春）NC21101
（秋）NC21104</t>
    </r>
  </si>
  <si>
    <r>
      <rPr>
        <sz val="6"/>
        <rFont val="ＭＳ Ｐゴシック"/>
        <family val="3"/>
      </rPr>
      <t>大野かおる，関谷隆夫</t>
    </r>
  </si>
  <si>
    <r>
      <rPr>
        <sz val="6"/>
        <rFont val="ＭＳ Ｐゴシック"/>
        <family val="3"/>
      </rPr>
      <t>演習</t>
    </r>
  </si>
  <si>
    <r>
      <rPr>
        <sz val="6"/>
        <rFont val="ＭＳ Ｐゴシック"/>
        <family val="3"/>
      </rPr>
      <t>ESk9023</t>
    </r>
  </si>
  <si>
    <r>
      <rPr>
        <sz val="6"/>
        <rFont val="ＭＳ Ｐゴシック"/>
        <family val="3"/>
      </rPr>
      <t>教育職員専修免許状(理科)取得希望者のための科目であり、修了要件には含まれない。</t>
    </r>
  </si>
  <si>
    <r>
      <rPr>
        <sz val="6"/>
        <rFont val="ＭＳ Ｐゴシック"/>
        <family val="3"/>
      </rPr>
      <t>（春）NC21201
（秋）NC21204</t>
    </r>
  </si>
  <si>
    <r>
      <rPr>
        <sz val="6"/>
        <rFont val="ＭＳ Ｐゴシック"/>
        <family val="3"/>
      </rPr>
      <t>ESk9022</t>
    </r>
  </si>
  <si>
    <r>
      <rPr>
        <sz val="6"/>
        <rFont val="ＭＳ Ｐゴシック"/>
        <family val="3"/>
      </rPr>
      <t>NC30084</t>
    </r>
  </si>
  <si>
    <r>
      <rPr>
        <sz val="6"/>
        <rFont val="ＭＳ Ｐゴシック"/>
        <family val="3"/>
      </rPr>
      <t>ESk4564</t>
    </r>
  </si>
  <si>
    <r>
      <rPr>
        <sz val="6"/>
        <rFont val="ＭＳ Ｐゴシック"/>
        <family val="3"/>
      </rPr>
      <t>NC30091</t>
    </r>
  </si>
  <si>
    <r>
      <rPr>
        <sz val="6"/>
        <rFont val="ＭＳ Ｐゴシック"/>
        <family val="3"/>
      </rPr>
      <t>ESk4565</t>
    </r>
  </si>
  <si>
    <r>
      <rPr>
        <sz val="6"/>
        <rFont val="ＭＳ Ｐゴシック"/>
        <family val="3"/>
      </rPr>
      <t>NC30101</t>
    </r>
  </si>
  <si>
    <r>
      <rPr>
        <sz val="6"/>
        <rFont val="ＭＳ Ｐゴシック"/>
        <family val="3"/>
      </rPr>
      <t>NC30114</t>
    </r>
  </si>
  <si>
    <r>
      <rPr>
        <sz val="6"/>
        <rFont val="ＭＳ Ｐゴシック"/>
        <family val="3"/>
      </rPr>
      <t>ESk4566</t>
    </r>
  </si>
  <si>
    <r>
      <rPr>
        <sz val="6"/>
        <rFont val="ＭＳ Ｐゴシック"/>
        <family val="3"/>
      </rPr>
      <t>NC30121</t>
    </r>
  </si>
  <si>
    <r>
      <rPr>
        <sz val="6"/>
        <rFont val="ＭＳ Ｐゴシック"/>
        <family val="3"/>
      </rPr>
      <t>ESk4444</t>
    </r>
  </si>
  <si>
    <t>情報系科目群</t>
    <rPh sb="0" eb="2">
      <t>ジョウホウ</t>
    </rPh>
    <rPh sb="2" eb="3">
      <t>ケイ</t>
    </rPh>
    <rPh sb="3" eb="5">
      <t>カモク</t>
    </rPh>
    <rPh sb="5" eb="6">
      <t>グン</t>
    </rPh>
    <phoneticPr fontId="5"/>
  </si>
  <si>
    <t>理学系科目群</t>
    <rPh sb="0" eb="2">
      <t>リガク</t>
    </rPh>
    <rPh sb="2" eb="3">
      <t>ケイ</t>
    </rPh>
    <rPh sb="3" eb="5">
      <t>カモク</t>
    </rPh>
    <rPh sb="5" eb="6">
      <t>グン</t>
    </rPh>
    <phoneticPr fontId="5"/>
  </si>
  <si>
    <t>工学系科目群</t>
    <rPh sb="0" eb="2">
      <t>コウガク</t>
    </rPh>
    <rPh sb="2" eb="3">
      <t>ケイ</t>
    </rPh>
    <rPh sb="3" eb="5">
      <t>カモク</t>
    </rPh>
    <rPh sb="5" eb="6">
      <t>グン</t>
    </rPh>
    <phoneticPr fontId="5"/>
  </si>
  <si>
    <t>実務系(プロフェッション)科目群</t>
    <rPh sb="0" eb="2">
      <t>ジツム</t>
    </rPh>
    <rPh sb="2" eb="3">
      <t>ケイ</t>
    </rPh>
    <rPh sb="13" eb="15">
      <t>カモク</t>
    </rPh>
    <rPh sb="15" eb="16">
      <t>グン</t>
    </rPh>
    <phoneticPr fontId="5"/>
  </si>
  <si>
    <t>通算</t>
    <rPh sb="0" eb="2">
      <t>ツウサン</t>
    </rPh>
    <phoneticPr fontId="5"/>
  </si>
  <si>
    <t>専攻共通科目GPA</t>
    <phoneticPr fontId="5"/>
  </si>
  <si>
    <t>GPT</t>
    <phoneticPr fontId="5"/>
  </si>
  <si>
    <t>専攻共通科目</t>
    <phoneticPr fontId="5"/>
  </si>
  <si>
    <t>＊RC=Registration Credits (登録単位数)</t>
  </si>
  <si>
    <t>成績表記</t>
    <rPh sb="0" eb="2">
      <t>セイセキ</t>
    </rPh>
    <rPh sb="2" eb="4">
      <t>ヒョウキ</t>
    </rPh>
    <phoneticPr fontId="5"/>
  </si>
  <si>
    <t>秀(S)</t>
    <rPh sb="0" eb="1">
      <t>シュウ</t>
    </rPh>
    <phoneticPr fontId="5"/>
  </si>
  <si>
    <t>優(A)</t>
    <rPh sb="0" eb="1">
      <t>ユウ</t>
    </rPh>
    <phoneticPr fontId="5"/>
  </si>
  <si>
    <t>良(B)</t>
    <rPh sb="0" eb="1">
      <t>リョウ</t>
    </rPh>
    <phoneticPr fontId="5"/>
  </si>
  <si>
    <t>可(C)</t>
    <rPh sb="0" eb="1">
      <t>カ</t>
    </rPh>
    <phoneticPr fontId="5"/>
  </si>
  <si>
    <t>不可(F)</t>
    <rPh sb="0" eb="2">
      <t>フカ</t>
    </rPh>
    <phoneticPr fontId="5"/>
  </si>
  <si>
    <t>　RCT=Registration Credits Total (登録総単位数)</t>
    <phoneticPr fontId="5"/>
  </si>
  <si>
    <t>点数</t>
    <rPh sb="0" eb="2">
      <t>テンスウ</t>
    </rPh>
    <phoneticPr fontId="5"/>
  </si>
  <si>
    <t>合否</t>
    <rPh sb="0" eb="2">
      <t>ゴウヒ</t>
    </rPh>
    <phoneticPr fontId="5"/>
  </si>
  <si>
    <t>100～90</t>
    <phoneticPr fontId="5"/>
  </si>
  <si>
    <t>89～80</t>
    <phoneticPr fontId="5"/>
  </si>
  <si>
    <t>79～70</t>
    <phoneticPr fontId="5"/>
  </si>
  <si>
    <t>69～60</t>
    <phoneticPr fontId="5"/>
  </si>
  <si>
    <t>59～0</t>
    <phoneticPr fontId="5"/>
  </si>
  <si>
    <t>合格</t>
    <rPh sb="0" eb="2">
      <t>ゴウカク</t>
    </rPh>
    <phoneticPr fontId="5"/>
  </si>
  <si>
    <t>不合格</t>
    <rPh sb="0" eb="3">
      <t>フゴウカク</t>
    </rPh>
    <phoneticPr fontId="5"/>
  </si>
  <si>
    <t>単位認定ならびに学業成績</t>
    <rPh sb="0" eb="2">
      <t>タンイ</t>
    </rPh>
    <rPh sb="2" eb="4">
      <t>ニンテイ</t>
    </rPh>
    <rPh sb="8" eb="10">
      <t>ガクギョウ</t>
    </rPh>
    <rPh sb="10" eb="12">
      <t>セイセキ</t>
    </rPh>
    <phoneticPr fontId="5"/>
  </si>
  <si>
    <t>日付：</t>
    <rPh sb="0" eb="2">
      <t>ヒヅケ</t>
    </rPh>
    <phoneticPr fontId="5"/>
  </si>
  <si>
    <t>専門科目</t>
    <phoneticPr fontId="5"/>
  </si>
  <si>
    <t>学府共通科目合計</t>
    <rPh sb="6" eb="8">
      <t>ゴウケイ</t>
    </rPh>
    <phoneticPr fontId="5"/>
  </si>
  <si>
    <t>専攻共通科目合計</t>
    <rPh sb="6" eb="8">
      <t>ゴウケイ</t>
    </rPh>
    <phoneticPr fontId="5"/>
  </si>
  <si>
    <t>専門科目合計</t>
    <rPh sb="4" eb="6">
      <t>ゴウケイ</t>
    </rPh>
    <phoneticPr fontId="5"/>
  </si>
  <si>
    <t>学府共通科目GPA</t>
    <phoneticPr fontId="5"/>
  </si>
  <si>
    <t>学府共通科目RCT/GPT</t>
    <phoneticPr fontId="5"/>
  </si>
  <si>
    <t>専攻共通科目RCT/GPT</t>
    <phoneticPr fontId="5"/>
  </si>
  <si>
    <t>専門科目GPA</t>
    <phoneticPr fontId="5"/>
  </si>
  <si>
    <t>専門科目RCT/GPT</t>
    <phoneticPr fontId="5"/>
  </si>
  <si>
    <r>
      <rPr>
        <sz val="6"/>
        <rFont val="ＭＳ Ｐゴシック"/>
        <family val="3"/>
      </rPr>
      <t>NC30131</t>
    </r>
  </si>
  <si>
    <r>
      <rPr>
        <sz val="6"/>
        <rFont val="ＭＳ Ｐゴシック"/>
        <family val="3"/>
      </rPr>
      <t>ESl5561</t>
    </r>
  </si>
  <si>
    <r>
      <rPr>
        <sz val="6"/>
        <rFont val="ＭＳ Ｐゴシック"/>
        <family val="3"/>
      </rPr>
      <t>NC30141</t>
    </r>
  </si>
  <si>
    <r>
      <rPr>
        <sz val="6"/>
        <rFont val="ＭＳ Ｐゴシック"/>
        <family val="3"/>
      </rPr>
      <t>ESl5563</t>
    </r>
  </si>
  <si>
    <r>
      <rPr>
        <sz val="6"/>
        <rFont val="ＭＳ Ｐゴシック"/>
        <family val="3"/>
      </rPr>
      <t>NC30151</t>
    </r>
  </si>
  <si>
    <r>
      <rPr>
        <sz val="6"/>
        <rFont val="ＭＳ Ｐゴシック"/>
        <family val="3"/>
      </rPr>
      <t>NC30164</t>
    </r>
  </si>
  <si>
    <r>
      <rPr>
        <sz val="6"/>
        <rFont val="ＭＳ Ｐゴシック"/>
        <family val="3"/>
      </rPr>
      <t>ESl5444</t>
    </r>
  </si>
  <si>
    <r>
      <rPr>
        <sz val="6"/>
        <rFont val="ＭＳ Ｐゴシック"/>
        <family val="3"/>
      </rPr>
      <t>NC30171</t>
    </r>
  </si>
  <si>
    <r>
      <rPr>
        <sz val="6"/>
        <rFont val="ＭＳ Ｐゴシック"/>
        <family val="3"/>
      </rPr>
      <t>ESl5564</t>
    </r>
  </si>
  <si>
    <r>
      <rPr>
        <sz val="6"/>
        <rFont val="ＭＳ Ｐゴシック"/>
        <family val="3"/>
      </rPr>
      <t>NC30184</t>
    </r>
  </si>
  <si>
    <r>
      <rPr>
        <sz val="6"/>
        <rFont val="ＭＳ Ｐゴシック"/>
        <family val="3"/>
      </rPr>
      <t>NC30191</t>
    </r>
  </si>
  <si>
    <r>
      <rPr>
        <sz val="6"/>
        <rFont val="ＭＳ Ｐゴシック"/>
        <family val="3"/>
      </rPr>
      <t>NC30204</t>
    </r>
  </si>
  <si>
    <r>
      <rPr>
        <sz val="6"/>
        <rFont val="ＭＳ Ｐゴシック"/>
        <family val="3"/>
      </rPr>
      <t>NC30211</t>
    </r>
  </si>
  <si>
    <r>
      <rPr>
        <sz val="6"/>
        <rFont val="ＭＳ Ｐゴシック"/>
        <family val="3"/>
      </rPr>
      <t>NC30221</t>
    </r>
  </si>
  <si>
    <r>
      <rPr>
        <sz val="6"/>
        <rFont val="ＭＳ Ｐゴシック"/>
        <family val="3"/>
      </rPr>
      <t>ESl5112</t>
    </r>
  </si>
  <si>
    <r>
      <rPr>
        <sz val="6"/>
        <rFont val="ＭＳ Ｐゴシック"/>
        <family val="3"/>
      </rPr>
      <t>NC30234</t>
    </r>
  </si>
  <si>
    <r>
      <rPr>
        <sz val="6"/>
        <rFont val="ＭＳ Ｐゴシック"/>
        <family val="3"/>
      </rPr>
      <t>NC30241</t>
    </r>
  </si>
  <si>
    <r>
      <rPr>
        <sz val="6"/>
        <rFont val="ＭＳ Ｐゴシック"/>
        <family val="3"/>
      </rPr>
      <t>ESl5436</t>
    </r>
  </si>
  <si>
    <r>
      <rPr>
        <sz val="6"/>
        <rFont val="ＭＳ Ｐゴシック"/>
        <family val="3"/>
      </rPr>
      <t>NC30254</t>
    </r>
  </si>
  <si>
    <r>
      <rPr>
        <sz val="6"/>
        <rFont val="ＭＳ Ｐゴシック"/>
        <family val="3"/>
      </rPr>
      <t>NC30261</t>
    </r>
  </si>
  <si>
    <r>
      <rPr>
        <sz val="6"/>
        <rFont val="ＭＳ Ｐゴシック"/>
        <family val="3"/>
      </rPr>
      <t>ESl5131</t>
    </r>
  </si>
  <si>
    <r>
      <rPr>
        <sz val="6"/>
        <rFont val="ＭＳ Ｐゴシック"/>
        <family val="3"/>
      </rPr>
      <t>NC30271</t>
    </r>
  </si>
  <si>
    <r>
      <rPr>
        <sz val="6"/>
        <rFont val="ＭＳ Ｐゴシック"/>
        <family val="3"/>
      </rPr>
      <t>NC30281</t>
    </r>
  </si>
  <si>
    <r>
      <rPr>
        <sz val="6"/>
        <rFont val="ＭＳ Ｐゴシック"/>
        <family val="3"/>
      </rPr>
      <t>NC30294</t>
    </r>
  </si>
  <si>
    <r>
      <rPr>
        <sz val="6"/>
        <rFont val="ＭＳ Ｐゴシック"/>
        <family val="3"/>
      </rPr>
      <t>NC30301</t>
    </r>
  </si>
  <si>
    <r>
      <rPr>
        <sz val="6"/>
        <rFont val="ＭＳ Ｐゴシック"/>
        <family val="3"/>
      </rPr>
      <t>NC30314</t>
    </r>
  </si>
  <si>
    <r>
      <rPr>
        <sz val="6"/>
        <rFont val="ＭＳ Ｐゴシック"/>
        <family val="3"/>
      </rPr>
      <t>ESl5234</t>
    </r>
  </si>
  <si>
    <r>
      <rPr>
        <sz val="6"/>
        <rFont val="ＭＳ Ｐゴシック"/>
        <family val="3"/>
      </rPr>
      <t>NC30324</t>
    </r>
  </si>
  <si>
    <r>
      <rPr>
        <sz val="6"/>
        <rFont val="ＭＳ Ｐゴシック"/>
        <family val="3"/>
      </rPr>
      <t>大矢剛嗣，西島喜明，島圭介，辻隆男</t>
    </r>
  </si>
  <si>
    <r>
      <rPr>
        <sz val="6"/>
        <rFont val="ＭＳ Ｐゴシック"/>
        <family val="3"/>
      </rPr>
      <t>NC30334</t>
    </r>
  </si>
  <si>
    <r>
      <rPr>
        <sz val="6"/>
        <rFont val="ＭＳ Ｐゴシック"/>
        <family val="3"/>
      </rPr>
      <t>NC30344</t>
    </r>
  </si>
  <si>
    <r>
      <rPr>
        <sz val="6"/>
        <rFont val="ＭＳ Ｐゴシック"/>
        <family val="3"/>
      </rPr>
      <t>島圭介，辻隆男，大矢剛嗣，西島喜明</t>
    </r>
  </si>
  <si>
    <r>
      <rPr>
        <sz val="6"/>
        <rFont val="ＭＳ Ｐゴシック"/>
        <family val="3"/>
      </rPr>
      <t>ESl5111</t>
    </r>
  </si>
  <si>
    <r>
      <rPr>
        <sz val="6"/>
        <rFont val="ＭＳ Ｐゴシック"/>
        <family val="3"/>
      </rPr>
      <t>NC30354</t>
    </r>
  </si>
  <si>
    <r>
      <rPr>
        <sz val="6"/>
        <rFont val="ＭＳ Ｐゴシック"/>
        <family val="3"/>
      </rPr>
      <t>NC30364</t>
    </r>
  </si>
  <si>
    <r>
      <rPr>
        <sz val="6"/>
        <rFont val="ＭＳ Ｐゴシック"/>
        <family val="3"/>
      </rPr>
      <t>辻隆男，大矢剛嗣，西島喜明，島圭介</t>
    </r>
  </si>
  <si>
    <r>
      <rPr>
        <sz val="6"/>
        <rFont val="ＭＳ Ｐゴシック"/>
        <family val="3"/>
      </rPr>
      <t>NC30374</t>
    </r>
  </si>
  <si>
    <r>
      <rPr>
        <sz val="6"/>
        <rFont val="ＭＳ Ｐゴシック"/>
        <family val="3"/>
      </rPr>
      <t>NC30381</t>
    </r>
  </si>
  <si>
    <r>
      <rPr>
        <sz val="6"/>
        <rFont val="ＭＳ Ｐゴシック"/>
        <family val="3"/>
      </rPr>
      <t>NC30391</t>
    </r>
  </si>
  <si>
    <r>
      <rPr>
        <sz val="6"/>
        <rFont val="ＭＳ Ｐゴシック"/>
        <family val="3"/>
      </rPr>
      <t>ESI5441</t>
    </r>
  </si>
  <si>
    <r>
      <rPr>
        <sz val="6"/>
        <rFont val="ＭＳ Ｐゴシック"/>
        <family val="3"/>
      </rPr>
      <t>NC30404</t>
    </r>
  </si>
  <si>
    <r>
      <rPr>
        <sz val="6"/>
        <rFont val="ＭＳ Ｐゴシック"/>
        <family val="3"/>
      </rPr>
      <t>ESl5122</t>
    </r>
  </si>
  <si>
    <r>
      <rPr>
        <sz val="6"/>
        <rFont val="ＭＳ Ｐゴシック"/>
        <family val="3"/>
      </rPr>
      <t>NC31101</t>
    </r>
  </si>
  <si>
    <r>
      <rPr>
        <sz val="6"/>
        <rFont val="ＭＳ Ｐゴシック"/>
        <family val="3"/>
      </rPr>
      <t>応用物理教育分野各担当教員，辻宏之</t>
    </r>
  </si>
  <si>
    <r>
      <rPr>
        <sz val="6"/>
        <rFont val="ＭＳ Ｐゴシック"/>
        <family val="3"/>
      </rPr>
      <t>ESl5034</t>
    </r>
  </si>
  <si>
    <r>
      <rPr>
        <sz val="6"/>
        <rFont val="ＭＳ Ｐゴシック"/>
        <family val="3"/>
      </rPr>
      <t>NC31201</t>
    </r>
  </si>
  <si>
    <r>
      <rPr>
        <sz val="6"/>
        <rFont val="ＭＳ Ｐゴシック"/>
        <family val="3"/>
      </rPr>
      <t>情報システム教育分野各担当教員，辻宏之</t>
    </r>
  </si>
  <si>
    <r>
      <rPr>
        <sz val="6"/>
        <rFont val="ＭＳ Ｐゴシック"/>
        <family val="3"/>
      </rPr>
      <t>ESl5044</t>
    </r>
  </si>
  <si>
    <r>
      <rPr>
        <sz val="6"/>
        <rFont val="ＭＳ Ｐゴシック"/>
        <family val="3"/>
      </rPr>
      <t>NC31301</t>
    </r>
  </si>
  <si>
    <r>
      <rPr>
        <sz val="6"/>
        <rFont val="ＭＳ Ｐゴシック"/>
        <family val="3"/>
      </rPr>
      <t>電気電子ﾈｯﾄﾜｰｸ教育分野各担当教員，辻宏之</t>
    </r>
  </si>
  <si>
    <r>
      <rPr>
        <sz val="6"/>
        <rFont val="ＭＳ Ｐゴシック"/>
        <family val="3"/>
      </rPr>
      <t>ESl5054</t>
    </r>
  </si>
  <si>
    <r>
      <rPr>
        <sz val="6"/>
        <rFont val="ＭＳ Ｐゴシック"/>
        <family val="3"/>
      </rPr>
      <t>NC31401</t>
    </r>
  </si>
  <si>
    <r>
      <rPr>
        <sz val="6"/>
        <rFont val="ＭＳ Ｐゴシック"/>
        <family val="3"/>
      </rPr>
      <t>○</t>
    </r>
  </si>
  <si>
    <r>
      <rPr>
        <sz val="6"/>
        <rFont val="ＭＳ Ｐゴシック"/>
        <family val="3"/>
      </rPr>
      <t>ESl5032</t>
    </r>
  </si>
  <si>
    <r>
      <rPr>
        <sz val="6"/>
        <rFont val="ＭＳ Ｐゴシック"/>
        <family val="3"/>
      </rPr>
      <t>NC31504</t>
    </r>
  </si>
  <si>
    <r>
      <rPr>
        <sz val="6"/>
        <rFont val="ＭＳ Ｐゴシック"/>
        <family val="3"/>
      </rPr>
      <t>NC31601</t>
    </r>
  </si>
  <si>
    <r>
      <rPr>
        <sz val="6"/>
        <rFont val="ＭＳ Ｐゴシック"/>
        <family val="3"/>
      </rPr>
      <t>NC31704</t>
    </r>
  </si>
  <si>
    <r>
      <rPr>
        <sz val="6"/>
        <rFont val="ＭＳ Ｐゴシック"/>
        <family val="3"/>
      </rPr>
      <t>NC31801</t>
    </r>
  </si>
  <si>
    <r>
      <rPr>
        <sz val="6"/>
        <rFont val="ＭＳ Ｐゴシック"/>
        <family val="3"/>
      </rPr>
      <t>ESl5042</t>
    </r>
  </si>
  <si>
    <r>
      <rPr>
        <sz val="6"/>
        <rFont val="ＭＳ Ｐゴシック"/>
        <family val="3"/>
      </rPr>
      <t>NC31904</t>
    </r>
  </si>
  <si>
    <r>
      <rPr>
        <sz val="6"/>
        <rFont val="ＭＳ Ｐゴシック"/>
        <family val="3"/>
      </rPr>
      <t>NC32001</t>
    </r>
  </si>
  <si>
    <r>
      <rPr>
        <sz val="6"/>
        <rFont val="ＭＳ Ｐゴシック"/>
        <family val="3"/>
      </rPr>
      <t>NC32104</t>
    </r>
  </si>
  <si>
    <r>
      <rPr>
        <sz val="6"/>
        <rFont val="ＭＳ Ｐゴシック"/>
        <family val="3"/>
      </rPr>
      <t>NC32201</t>
    </r>
  </si>
  <si>
    <r>
      <rPr>
        <sz val="6"/>
        <rFont val="ＭＳ Ｐゴシック"/>
        <family val="3"/>
      </rPr>
      <t>電気電子ﾈｯﾄﾜｰｸ教育分野各担当教員</t>
    </r>
  </si>
  <si>
    <r>
      <rPr>
        <sz val="6"/>
        <rFont val="ＭＳ Ｐゴシック"/>
        <family val="3"/>
      </rPr>
      <t>ESl5052</t>
    </r>
  </si>
  <si>
    <r>
      <rPr>
        <sz val="6"/>
        <rFont val="ＭＳ Ｐゴシック"/>
        <family val="3"/>
      </rPr>
      <t>NC32304</t>
    </r>
  </si>
  <si>
    <r>
      <rPr>
        <sz val="6"/>
        <rFont val="ＭＳ Ｐゴシック"/>
        <family val="3"/>
      </rPr>
      <t>NC32401</t>
    </r>
  </si>
  <si>
    <r>
      <rPr>
        <sz val="6"/>
        <rFont val="ＭＳ Ｐゴシック"/>
        <family val="3"/>
      </rPr>
      <t>NC32504</t>
    </r>
  </si>
  <si>
    <r>
      <rPr>
        <sz val="6"/>
        <rFont val="ＭＳ Ｐゴシック"/>
        <family val="3"/>
      </rPr>
      <t>（春）NC39811
（秋）NC39814</t>
    </r>
  </si>
  <si>
    <r>
      <rPr>
        <sz val="6"/>
        <rFont val="ＭＳ Ｐゴシック"/>
        <family val="3"/>
      </rPr>
      <t>（春）NC39821
（秋）NC39824</t>
    </r>
  </si>
  <si>
    <r>
      <rPr>
        <sz val="6"/>
        <rFont val="ＭＳ Ｐゴシック"/>
        <family val="3"/>
      </rPr>
      <t>（春）NC39831
（秋）NC39834</t>
    </r>
  </si>
  <si>
    <r>
      <rPr>
        <sz val="6"/>
        <rFont val="ＭＳ Ｐゴシック"/>
        <family val="3"/>
      </rPr>
      <t>（春）NC39841
（秋）NC39844</t>
    </r>
  </si>
  <si>
    <r>
      <rPr>
        <sz val="6"/>
        <rFont val="ＭＳ Ｐゴシック"/>
        <family val="3"/>
      </rPr>
      <t>（春）NC39851
（秋）NC39854</t>
    </r>
  </si>
  <si>
    <r>
      <rPr>
        <sz val="6"/>
        <rFont val="ＭＳ Ｐゴシック"/>
        <family val="3"/>
      </rPr>
      <t>（春）NC39861
（秋）NC39864</t>
    </r>
  </si>
  <si>
    <r>
      <rPr>
        <sz val="6"/>
        <rFont val="ＭＳ Ｐゴシック"/>
        <family val="3"/>
      </rPr>
      <t>（春）NC39871
（秋）NC39874</t>
    </r>
  </si>
  <si>
    <r>
      <rPr>
        <sz val="6"/>
        <rFont val="ＭＳ Ｐゴシック"/>
        <family val="3"/>
      </rPr>
      <t>（春）NC39881
（秋）NC39884</t>
    </r>
  </si>
  <si>
    <r>
      <rPr>
        <sz val="6"/>
        <rFont val="ＭＳ Ｐゴシック"/>
        <family val="3"/>
      </rPr>
      <t>（春）NC39891
（秋）NC39894</t>
    </r>
  </si>
  <si>
    <r>
      <rPr>
        <sz val="6"/>
        <rFont val="ＭＳ Ｐゴシック"/>
        <family val="3"/>
      </rPr>
      <t>開講学期
/ターム</t>
    </r>
  </si>
  <si>
    <r>
      <rPr>
        <sz val="6"/>
        <rFont val="ＭＳ Ｐゴシック"/>
        <family val="3"/>
      </rPr>
      <t>時限</t>
    </r>
  </si>
  <si>
    <r>
      <rPr>
        <sz val="6"/>
        <rFont val="ＭＳ Ｐゴシック"/>
        <family val="3"/>
      </rPr>
      <t>教室</t>
    </r>
  </si>
  <si>
    <r>
      <rPr>
        <b/>
        <sz val="6"/>
        <rFont val="ＭＳ Ｐゴシック"/>
        <family val="3"/>
      </rPr>
      <t>【専攻共通科目】</t>
    </r>
  </si>
  <si>
    <r>
      <rPr>
        <sz val="6"/>
        <rFont val="ＭＳ Ｐゴシック"/>
        <family val="3"/>
      </rPr>
      <t>NA10031</t>
    </r>
  </si>
  <si>
    <r>
      <rPr>
        <sz val="6"/>
        <rFont val="ＭＳ Ｐゴシック"/>
        <family val="3"/>
      </rPr>
      <t>NA10054</t>
    </r>
  </si>
  <si>
    <r>
      <rPr>
        <sz val="6"/>
        <rFont val="ＭＳ Ｐゴシック"/>
        <family val="3"/>
      </rPr>
      <t>NA10064</t>
    </r>
  </si>
  <si>
    <r>
      <rPr>
        <sz val="6"/>
        <rFont val="ＭＳ Ｐゴシック"/>
        <family val="3"/>
      </rPr>
      <t>NA10074</t>
    </r>
  </si>
  <si>
    <r>
      <rPr>
        <sz val="6"/>
        <rFont val="ＭＳ Ｐゴシック"/>
        <family val="3"/>
      </rPr>
      <t>NA20031</t>
    </r>
  </si>
  <si>
    <r>
      <rPr>
        <sz val="6"/>
        <rFont val="ＭＳ Ｐゴシック"/>
        <family val="3"/>
      </rPr>
      <t>NA20041</t>
    </r>
  </si>
  <si>
    <r>
      <rPr>
        <sz val="6"/>
        <rFont val="ＭＳ Ｐゴシック"/>
        <family val="3"/>
      </rPr>
      <t>NA30034</t>
    </r>
  </si>
  <si>
    <r>
      <rPr>
        <sz val="6"/>
        <rFont val="ＭＳ Ｐゴシック"/>
        <family val="3"/>
      </rPr>
      <t>NA30041</t>
    </r>
  </si>
  <si>
    <r>
      <rPr>
        <sz val="6"/>
        <rFont val="ＭＳ Ｐゴシック"/>
        <family val="3"/>
      </rPr>
      <t>NA30051</t>
    </r>
  </si>
  <si>
    <r>
      <rPr>
        <sz val="6"/>
        <rFont val="ＭＳ Ｐゴシック"/>
        <family val="3"/>
      </rPr>
      <t>NA30061</t>
    </r>
  </si>
  <si>
    <r>
      <rPr>
        <sz val="6"/>
        <rFont val="ＭＳ Ｐゴシック"/>
        <family val="3"/>
      </rPr>
      <t>NA10084</t>
    </r>
  </si>
  <si>
    <r>
      <rPr>
        <sz val="6"/>
        <rFont val="ＭＳ Ｐゴシック"/>
        <family val="3"/>
      </rPr>
      <t>NA10091</t>
    </r>
  </si>
  <si>
    <r>
      <rPr>
        <sz val="6"/>
        <rFont val="ＭＳ Ｐゴシック"/>
        <family val="3"/>
      </rPr>
      <t>NA10104</t>
    </r>
  </si>
  <si>
    <r>
      <rPr>
        <sz val="6"/>
        <rFont val="ＭＳ Ｐゴシック"/>
        <family val="3"/>
      </rPr>
      <t>NA10111</t>
    </r>
  </si>
  <si>
    <r>
      <rPr>
        <sz val="6"/>
        <rFont val="ＭＳ Ｐゴシック"/>
        <family val="3"/>
      </rPr>
      <t>NA10121</t>
    </r>
  </si>
  <si>
    <r>
      <rPr>
        <sz val="6"/>
        <rFont val="ＭＳ Ｐゴシック"/>
        <family val="3"/>
      </rPr>
      <t>NA10131</t>
    </r>
  </si>
  <si>
    <r>
      <rPr>
        <sz val="6"/>
        <rFont val="ＭＳ Ｐゴシック"/>
        <family val="3"/>
      </rPr>
      <t>NA10144</t>
    </r>
  </si>
  <si>
    <r>
      <rPr>
        <sz val="6"/>
        <rFont val="ＭＳ Ｐゴシック"/>
        <family val="3"/>
      </rPr>
      <t>NA10154</t>
    </r>
  </si>
  <si>
    <r>
      <rPr>
        <sz val="6"/>
        <rFont val="ＭＳ Ｐゴシック"/>
        <family val="3"/>
      </rPr>
      <t>NA10164</t>
    </r>
  </si>
  <si>
    <r>
      <rPr>
        <sz val="6"/>
        <rFont val="ＭＳ Ｐゴシック"/>
        <family val="3"/>
      </rPr>
      <t>NA10174</t>
    </r>
  </si>
  <si>
    <r>
      <rPr>
        <sz val="6"/>
        <rFont val="ＭＳ Ｐゴシック"/>
        <family val="3"/>
      </rPr>
      <t>NA10184</t>
    </r>
  </si>
  <si>
    <r>
      <rPr>
        <sz val="6"/>
        <rFont val="ＭＳ Ｐゴシック"/>
        <family val="3"/>
      </rPr>
      <t>NA10194</t>
    </r>
  </si>
  <si>
    <r>
      <rPr>
        <sz val="6"/>
        <rFont val="ＭＳ Ｐゴシック"/>
        <family val="3"/>
      </rPr>
      <t>NA10204</t>
    </r>
  </si>
  <si>
    <r>
      <rPr>
        <sz val="6"/>
        <rFont val="ＭＳ Ｐゴシック"/>
        <family val="3"/>
      </rPr>
      <t>NA10214</t>
    </r>
  </si>
  <si>
    <r>
      <rPr>
        <sz val="6"/>
        <rFont val="ＭＳ Ｐゴシック"/>
        <family val="3"/>
      </rPr>
      <t>NA10221</t>
    </r>
  </si>
  <si>
    <r>
      <rPr>
        <sz val="6"/>
        <rFont val="ＭＳ Ｐゴシック"/>
        <family val="3"/>
      </rPr>
      <t>NA10231</t>
    </r>
  </si>
  <si>
    <r>
      <rPr>
        <sz val="6"/>
        <rFont val="ＭＳ Ｐゴシック"/>
        <family val="3"/>
      </rPr>
      <t>NA20051</t>
    </r>
  </si>
  <si>
    <r>
      <rPr>
        <sz val="6"/>
        <rFont val="ＭＳ Ｐゴシック"/>
        <family val="3"/>
      </rPr>
      <t>NA20064</t>
    </r>
  </si>
  <si>
    <r>
      <rPr>
        <sz val="6"/>
        <rFont val="ＭＳ Ｐゴシック"/>
        <family val="3"/>
      </rPr>
      <t>NA20074</t>
    </r>
  </si>
  <si>
    <r>
      <rPr>
        <sz val="6"/>
        <rFont val="ＭＳ Ｐゴシック"/>
        <family val="3"/>
      </rPr>
      <t>NA20084</t>
    </r>
  </si>
  <si>
    <r>
      <rPr>
        <sz val="6"/>
        <rFont val="ＭＳ Ｐゴシック"/>
        <family val="3"/>
      </rPr>
      <t>NA20094</t>
    </r>
  </si>
  <si>
    <r>
      <rPr>
        <sz val="6"/>
        <rFont val="ＭＳ Ｐゴシック"/>
        <family val="3"/>
      </rPr>
      <t>NA20111</t>
    </r>
  </si>
  <si>
    <r>
      <rPr>
        <sz val="6"/>
        <rFont val="ＭＳ Ｐゴシック"/>
        <family val="3"/>
      </rPr>
      <t>NA20124</t>
    </r>
  </si>
  <si>
    <r>
      <rPr>
        <sz val="6"/>
        <rFont val="ＭＳ Ｐゴシック"/>
        <family val="3"/>
      </rPr>
      <t>NA20134</t>
    </r>
  </si>
  <si>
    <r>
      <rPr>
        <sz val="6"/>
        <rFont val="ＭＳ Ｐゴシック"/>
        <family val="3"/>
      </rPr>
      <t>NA30071</t>
    </r>
  </si>
  <si>
    <r>
      <rPr>
        <sz val="6"/>
        <rFont val="ＭＳ Ｐゴシック"/>
        <family val="3"/>
      </rPr>
      <t>NA30084</t>
    </r>
  </si>
  <si>
    <r>
      <rPr>
        <sz val="6"/>
        <rFont val="ＭＳ Ｐゴシック"/>
        <family val="3"/>
      </rPr>
      <t>NA30091</t>
    </r>
  </si>
  <si>
    <r>
      <rPr>
        <sz val="6"/>
        <rFont val="ＭＳ Ｐゴシック"/>
        <family val="3"/>
      </rPr>
      <t>NA30101</t>
    </r>
  </si>
  <si>
    <r>
      <rPr>
        <sz val="6"/>
        <rFont val="ＭＳ Ｐゴシック"/>
        <family val="3"/>
      </rPr>
      <t>NA30114</t>
    </r>
  </si>
  <si>
    <r>
      <rPr>
        <sz val="6"/>
        <rFont val="ＭＳ Ｐゴシック"/>
        <family val="3"/>
      </rPr>
      <t>NA30121</t>
    </r>
  </si>
  <si>
    <r>
      <rPr>
        <sz val="6"/>
        <rFont val="ＭＳ Ｐゴシック"/>
        <family val="3"/>
      </rPr>
      <t>Special Lecture on Ocean and Space Engineering A</t>
    </r>
  </si>
  <si>
    <r>
      <rPr>
        <sz val="6"/>
        <rFont val="ＭＳ Ｐゴシック"/>
        <family val="3"/>
      </rPr>
      <t>Special Lecture on Ocean and Space Engineering B</t>
    </r>
  </si>
  <si>
    <r>
      <rPr>
        <sz val="6"/>
        <rFont val="ＭＳ Ｐゴシック"/>
        <family val="3"/>
      </rPr>
      <t>Special Lecture on Ocean and Space Engineering C</t>
    </r>
  </si>
  <si>
    <r>
      <rPr>
        <sz val="6"/>
        <rFont val="ＭＳ Ｐゴシック"/>
        <family val="3"/>
      </rPr>
      <t>Special Lecture on Ocean and Space Engineering D</t>
    </r>
  </si>
  <si>
    <r>
      <rPr>
        <sz val="6"/>
        <rFont val="ＭＳ Ｐゴシック"/>
        <family val="3"/>
      </rPr>
      <t>NA30171</t>
    </r>
  </si>
  <si>
    <r>
      <rPr>
        <sz val="6"/>
        <rFont val="ＭＳ Ｐゴシック"/>
        <family val="3"/>
      </rPr>
      <t>NA30181</t>
    </r>
  </si>
  <si>
    <r>
      <rPr>
        <sz val="6"/>
        <rFont val="ＭＳ Ｐゴシック"/>
        <family val="3"/>
      </rPr>
      <t>NA30194</t>
    </r>
  </si>
  <si>
    <r>
      <rPr>
        <sz val="6"/>
        <rFont val="ＭＳ Ｐゴシック"/>
        <family val="3"/>
      </rPr>
      <t>NA30204</t>
    </r>
  </si>
  <si>
    <r>
      <rPr>
        <sz val="6"/>
        <rFont val="ＭＳ Ｐゴシック"/>
        <family val="3"/>
      </rPr>
      <t>NA30214</t>
    </r>
  </si>
  <si>
    <r>
      <rPr>
        <sz val="6"/>
        <rFont val="ＭＳ Ｐゴシック"/>
        <family val="3"/>
      </rPr>
      <t>NA30224</t>
    </r>
  </si>
  <si>
    <r>
      <rPr>
        <sz val="6"/>
        <rFont val="ＭＳ Ｐゴシック"/>
        <family val="3"/>
      </rPr>
      <t>NA30231</t>
    </r>
  </si>
  <si>
    <r>
      <rPr>
        <sz val="6"/>
        <rFont val="ＭＳ Ｐゴシック"/>
        <family val="3"/>
      </rPr>
      <t>NA30241</t>
    </r>
  </si>
  <si>
    <r>
      <rPr>
        <sz val="6"/>
        <rFont val="ＭＳ Ｐゴシック"/>
        <family val="3"/>
      </rPr>
      <t>NA30254</t>
    </r>
  </si>
  <si>
    <r>
      <rPr>
        <sz val="6"/>
        <rFont val="ＭＳ Ｐゴシック"/>
        <family val="3"/>
      </rPr>
      <t>NB10081</t>
    </r>
  </si>
  <si>
    <r>
      <rPr>
        <sz val="6"/>
        <rFont val="ＭＳ Ｐゴシック"/>
        <family val="3"/>
      </rPr>
      <t>NB10091</t>
    </r>
  </si>
  <si>
    <r>
      <rPr>
        <sz val="6"/>
        <rFont val="ＭＳ Ｐゴシック"/>
        <family val="3"/>
      </rPr>
      <t>NB10104</t>
    </r>
  </si>
  <si>
    <r>
      <rPr>
        <sz val="6"/>
        <rFont val="ＭＳ Ｐゴシック"/>
        <family val="3"/>
      </rPr>
      <t>NB10111</t>
    </r>
  </si>
  <si>
    <r>
      <rPr>
        <sz val="6"/>
        <rFont val="ＭＳ Ｐゴシック"/>
        <family val="3"/>
      </rPr>
      <t>NB10124</t>
    </r>
  </si>
  <si>
    <r>
      <rPr>
        <sz val="6"/>
        <rFont val="ＭＳ Ｐゴシック"/>
        <family val="3"/>
      </rPr>
      <t>NB10134</t>
    </r>
  </si>
  <si>
    <r>
      <rPr>
        <sz val="6"/>
        <rFont val="ＭＳ Ｐゴシック"/>
        <family val="3"/>
      </rPr>
      <t>NB10141</t>
    </r>
  </si>
  <si>
    <r>
      <rPr>
        <sz val="6"/>
        <rFont val="ＭＳ Ｐゴシック"/>
        <family val="3"/>
      </rPr>
      <t>NB20051</t>
    </r>
  </si>
  <si>
    <r>
      <rPr>
        <sz val="6"/>
        <rFont val="ＭＳ Ｐゴシック"/>
        <family val="3"/>
      </rPr>
      <t>NB20064</t>
    </r>
  </si>
  <si>
    <r>
      <rPr>
        <sz val="6"/>
        <rFont val="ＭＳ Ｐゴシック"/>
        <family val="3"/>
      </rPr>
      <t>NB20071</t>
    </r>
  </si>
  <si>
    <r>
      <rPr>
        <sz val="6"/>
        <rFont val="ＭＳ Ｐゴシック"/>
        <family val="3"/>
      </rPr>
      <t>NB20084</t>
    </r>
  </si>
  <si>
    <r>
      <rPr>
        <sz val="6"/>
        <rFont val="ＭＳ Ｐゴシック"/>
        <family val="3"/>
      </rPr>
      <t>NB20104</t>
    </r>
  </si>
  <si>
    <r>
      <rPr>
        <sz val="6"/>
        <rFont val="ＭＳ Ｐゴシック"/>
        <family val="3"/>
      </rPr>
      <t>NB20114</t>
    </r>
  </si>
  <si>
    <r>
      <rPr>
        <sz val="6"/>
        <rFont val="ＭＳ Ｐゴシック"/>
        <family val="3"/>
      </rPr>
      <t>NB20124</t>
    </r>
  </si>
  <si>
    <r>
      <rPr>
        <sz val="6"/>
        <rFont val="ＭＳ Ｐゴシック"/>
        <family val="3"/>
      </rPr>
      <t>NB20131</t>
    </r>
  </si>
  <si>
    <r>
      <rPr>
        <sz val="6"/>
        <rFont val="ＭＳ Ｐゴシック"/>
        <family val="3"/>
      </rPr>
      <t>NB20141</t>
    </r>
  </si>
  <si>
    <r>
      <rPr>
        <sz val="6"/>
        <rFont val="ＭＳ Ｐゴシック"/>
        <family val="3"/>
      </rPr>
      <t>NB10151</t>
    </r>
  </si>
  <si>
    <r>
      <rPr>
        <sz val="6"/>
        <rFont val="ＭＳ Ｐゴシック"/>
        <family val="3"/>
      </rPr>
      <t>NB10161</t>
    </r>
  </si>
  <si>
    <r>
      <rPr>
        <sz val="6"/>
        <rFont val="ＭＳ Ｐゴシック"/>
        <family val="3"/>
      </rPr>
      <t>NB10171</t>
    </r>
  </si>
  <si>
    <r>
      <rPr>
        <sz val="6"/>
        <rFont val="ＭＳ Ｐゴシック"/>
        <family val="3"/>
      </rPr>
      <t>NB10184</t>
    </r>
  </si>
  <si>
    <r>
      <rPr>
        <sz val="6"/>
        <rFont val="ＭＳ Ｐゴシック"/>
        <family val="3"/>
      </rPr>
      <t>NB10194</t>
    </r>
  </si>
  <si>
    <r>
      <rPr>
        <sz val="6"/>
        <rFont val="ＭＳ Ｐゴシック"/>
        <family val="3"/>
      </rPr>
      <t>NB10201</t>
    </r>
  </si>
  <si>
    <r>
      <rPr>
        <sz val="6"/>
        <rFont val="ＭＳ Ｐゴシック"/>
        <family val="3"/>
      </rPr>
      <t>NB10214</t>
    </r>
  </si>
  <si>
    <r>
      <rPr>
        <sz val="6"/>
        <rFont val="ＭＳ Ｐゴシック"/>
        <family val="3"/>
      </rPr>
      <t>NB10221</t>
    </r>
  </si>
  <si>
    <r>
      <rPr>
        <sz val="6"/>
        <rFont val="ＭＳ Ｐゴシック"/>
        <family val="3"/>
      </rPr>
      <t>NB10231</t>
    </r>
  </si>
  <si>
    <r>
      <rPr>
        <sz val="6"/>
        <rFont val="ＭＳ Ｐゴシック"/>
        <family val="3"/>
      </rPr>
      <t>NB10241</t>
    </r>
  </si>
  <si>
    <r>
      <rPr>
        <sz val="6"/>
        <rFont val="ＭＳ Ｐゴシック"/>
        <family val="3"/>
      </rPr>
      <t>NB11101</t>
    </r>
  </si>
  <si>
    <r>
      <rPr>
        <sz val="6"/>
        <rFont val="ＭＳ Ｐゴシック"/>
        <family val="3"/>
      </rPr>
      <t>NB11204</t>
    </r>
  </si>
  <si>
    <r>
      <rPr>
        <sz val="6"/>
        <rFont val="ＭＳ Ｐゴシック"/>
        <family val="3"/>
      </rPr>
      <t>NB11301</t>
    </r>
  </si>
  <si>
    <r>
      <rPr>
        <sz val="6"/>
        <rFont val="ＭＳ Ｐゴシック"/>
        <family val="3"/>
      </rPr>
      <t>NB11404</t>
    </r>
  </si>
  <si>
    <r>
      <rPr>
        <sz val="6"/>
        <rFont val="ＭＳ Ｐゴシック"/>
        <family val="3"/>
      </rPr>
      <t>NB11504</t>
    </r>
  </si>
  <si>
    <r>
      <rPr>
        <sz val="6"/>
        <rFont val="ＭＳ Ｐゴシック"/>
        <family val="3"/>
      </rPr>
      <t>NB11601</t>
    </r>
  </si>
  <si>
    <r>
      <rPr>
        <sz val="6"/>
        <rFont val="ＭＳ Ｐゴシック"/>
        <family val="3"/>
      </rPr>
      <t>NB11701</t>
    </r>
  </si>
  <si>
    <r>
      <rPr>
        <sz val="6"/>
        <rFont val="ＭＳ Ｐゴシック"/>
        <family val="3"/>
      </rPr>
      <t>NB11801</t>
    </r>
  </si>
  <si>
    <r>
      <rPr>
        <sz val="6"/>
        <rFont val="ＭＳ Ｐゴシック"/>
        <family val="3"/>
      </rPr>
      <t>NB11904</t>
    </r>
  </si>
  <si>
    <r>
      <rPr>
        <sz val="6"/>
        <rFont val="ＭＳ Ｐゴシック"/>
        <family val="3"/>
      </rPr>
      <t>NB12004</t>
    </r>
  </si>
  <si>
    <r>
      <rPr>
        <sz val="6"/>
        <rFont val="ＭＳ Ｐゴシック"/>
        <family val="3"/>
      </rPr>
      <t>NB12101</t>
    </r>
  </si>
  <si>
    <r>
      <rPr>
        <sz val="6"/>
        <rFont val="ＭＳ Ｐゴシック"/>
        <family val="3"/>
      </rPr>
      <t>NB12201</t>
    </r>
  </si>
  <si>
    <r>
      <rPr>
        <sz val="6"/>
        <rFont val="ＭＳ Ｐゴシック"/>
        <family val="3"/>
      </rPr>
      <t>NB12301</t>
    </r>
  </si>
  <si>
    <r>
      <rPr>
        <sz val="6"/>
        <rFont val="ＭＳ Ｐゴシック"/>
        <family val="3"/>
      </rPr>
      <t>NB12404</t>
    </r>
  </si>
  <si>
    <r>
      <rPr>
        <sz val="6"/>
        <rFont val="ＭＳ Ｐゴシック"/>
        <family val="3"/>
      </rPr>
      <t>NB20151</t>
    </r>
  </si>
  <si>
    <r>
      <rPr>
        <sz val="6"/>
        <rFont val="ＭＳ Ｐゴシック"/>
        <family val="3"/>
      </rPr>
      <t>NB20164</t>
    </r>
  </si>
  <si>
    <r>
      <rPr>
        <sz val="6"/>
        <rFont val="ＭＳ Ｐゴシック"/>
        <family val="3"/>
      </rPr>
      <t>NB20284</t>
    </r>
  </si>
  <si>
    <r>
      <rPr>
        <sz val="6"/>
        <rFont val="ＭＳ Ｐゴシック"/>
        <family val="3"/>
      </rPr>
      <t>NB20181</t>
    </r>
  </si>
  <si>
    <r>
      <rPr>
        <sz val="6"/>
        <rFont val="ＭＳ Ｐゴシック"/>
        <family val="3"/>
      </rPr>
      <t>NB20191</t>
    </r>
  </si>
  <si>
    <r>
      <rPr>
        <sz val="6"/>
        <rFont val="ＭＳ Ｐゴシック"/>
        <family val="3"/>
      </rPr>
      <t>NB20204</t>
    </r>
  </si>
  <si>
    <r>
      <rPr>
        <sz val="6"/>
        <rFont val="ＭＳ Ｐゴシック"/>
        <family val="3"/>
      </rPr>
      <t>NB20214</t>
    </r>
  </si>
  <si>
    <r>
      <rPr>
        <sz val="6"/>
        <rFont val="ＭＳ Ｐゴシック"/>
        <family val="3"/>
      </rPr>
      <t>NB20221</t>
    </r>
  </si>
  <si>
    <r>
      <rPr>
        <sz val="6"/>
        <rFont val="ＭＳ Ｐゴシック"/>
        <family val="3"/>
      </rPr>
      <t>NB20231</t>
    </r>
  </si>
  <si>
    <r>
      <rPr>
        <sz val="6"/>
        <rFont val="ＭＳ Ｐゴシック"/>
        <family val="3"/>
      </rPr>
      <t>NB20241</t>
    </r>
  </si>
  <si>
    <r>
      <rPr>
        <sz val="6"/>
        <rFont val="ＭＳ Ｐゴシック"/>
        <family val="3"/>
      </rPr>
      <t>NB20254</t>
    </r>
  </si>
  <si>
    <r>
      <rPr>
        <sz val="6"/>
        <rFont val="ＭＳ Ｐゴシック"/>
        <family val="3"/>
      </rPr>
      <t>NB20261</t>
    </r>
  </si>
  <si>
    <r>
      <rPr>
        <sz val="6"/>
        <rFont val="ＭＳ Ｐゴシック"/>
        <family val="3"/>
      </rPr>
      <t>NB20271</t>
    </r>
  </si>
  <si>
    <r>
      <rPr>
        <sz val="6"/>
        <rFont val="ＭＳ Ｐゴシック"/>
        <family val="3"/>
      </rPr>
      <t>NB21101</t>
    </r>
  </si>
  <si>
    <r>
      <rPr>
        <sz val="6"/>
        <rFont val="ＭＳ Ｐゴシック"/>
        <family val="3"/>
      </rPr>
      <t>NB21204</t>
    </r>
  </si>
  <si>
    <r>
      <rPr>
        <sz val="6"/>
        <rFont val="ＭＳ Ｐゴシック"/>
        <family val="3"/>
      </rPr>
      <t>NB21301</t>
    </r>
  </si>
  <si>
    <r>
      <rPr>
        <sz val="6"/>
        <rFont val="ＭＳ Ｐゴシック"/>
        <family val="3"/>
      </rPr>
      <t>NB21404</t>
    </r>
  </si>
  <si>
    <r>
      <rPr>
        <sz val="6"/>
        <rFont val="ＭＳ Ｐゴシック"/>
        <family val="3"/>
      </rPr>
      <t>NB21504</t>
    </r>
  </si>
  <si>
    <r>
      <rPr>
        <sz val="6"/>
        <rFont val="ＭＳ Ｐゴシック"/>
        <family val="3"/>
      </rPr>
      <t>NB21601</t>
    </r>
  </si>
  <si>
    <r>
      <rPr>
        <sz val="6"/>
        <rFont val="ＭＳ Ｐゴシック"/>
        <family val="3"/>
      </rPr>
      <t>NB21701</t>
    </r>
  </si>
  <si>
    <r>
      <rPr>
        <sz val="6"/>
        <rFont val="ＭＳ Ｐゴシック"/>
        <family val="3"/>
      </rPr>
      <t>NB21804</t>
    </r>
  </si>
  <si>
    <r>
      <rPr>
        <sz val="6"/>
        <rFont val="ＭＳ Ｐゴシック"/>
        <family val="3"/>
      </rPr>
      <t>NC11101</t>
    </r>
  </si>
  <si>
    <r>
      <rPr>
        <sz val="6"/>
        <rFont val="ＭＳ Ｐゴシック"/>
        <family val="3"/>
      </rPr>
      <t>NC11204</t>
    </r>
  </si>
  <si>
    <r>
      <rPr>
        <sz val="6"/>
        <rFont val="ＭＳ Ｐゴシック"/>
        <family val="3"/>
      </rPr>
      <t>NC11301</t>
    </r>
  </si>
  <si>
    <r>
      <rPr>
        <sz val="6"/>
        <rFont val="ＭＳ Ｐゴシック"/>
        <family val="3"/>
      </rPr>
      <t>NC11404</t>
    </r>
  </si>
  <si>
    <r>
      <rPr>
        <sz val="6"/>
        <rFont val="ＭＳ Ｐゴシック"/>
        <family val="3"/>
      </rPr>
      <t>NC11501</t>
    </r>
  </si>
  <si>
    <r>
      <rPr>
        <sz val="6"/>
        <rFont val="ＭＳ Ｐゴシック"/>
        <family val="3"/>
      </rPr>
      <t>NC11604</t>
    </r>
  </si>
  <si>
    <r>
      <rPr>
        <sz val="6"/>
        <rFont val="ＭＳ Ｐゴシック"/>
        <family val="3"/>
      </rPr>
      <t>NC11701</t>
    </r>
  </si>
  <si>
    <r>
      <rPr>
        <sz val="6"/>
        <rFont val="ＭＳ Ｐゴシック"/>
        <family val="3"/>
      </rPr>
      <t>NC11804</t>
    </r>
  </si>
  <si>
    <r>
      <rPr>
        <sz val="6"/>
        <rFont val="ＭＳ Ｐゴシック"/>
        <family val="3"/>
      </rPr>
      <t>NC12001</t>
    </r>
  </si>
  <si>
    <r>
      <rPr>
        <sz val="6"/>
        <rFont val="ＭＳ Ｐゴシック"/>
        <family val="3"/>
      </rPr>
      <t>NC12104</t>
    </r>
  </si>
  <si>
    <r>
      <rPr>
        <sz val="6"/>
        <rFont val="ＭＳ Ｐゴシック"/>
        <family val="3"/>
      </rPr>
      <t>NC12204</t>
    </r>
  </si>
  <si>
    <r>
      <rPr>
        <sz val="6"/>
        <rFont val="ＭＳ Ｐゴシック"/>
        <family val="3"/>
      </rPr>
      <t>NC12301</t>
    </r>
  </si>
  <si>
    <r>
      <rPr>
        <sz val="6"/>
        <rFont val="ＭＳ Ｐゴシック"/>
        <family val="3"/>
      </rPr>
      <t>NC12404</t>
    </r>
  </si>
  <si>
    <r>
      <rPr>
        <sz val="6"/>
        <rFont val="ＭＳ Ｐゴシック"/>
        <family val="3"/>
      </rPr>
      <t>NC12501</t>
    </r>
  </si>
  <si>
    <r>
      <rPr>
        <sz val="6"/>
        <rFont val="ＭＳ Ｐゴシック"/>
        <family val="3"/>
      </rPr>
      <t>NC20124</t>
    </r>
  </si>
  <si>
    <r>
      <rPr>
        <sz val="6"/>
        <rFont val="ＭＳ Ｐゴシック"/>
        <family val="3"/>
      </rPr>
      <t>NC20134</t>
    </r>
  </si>
  <si>
    <r>
      <rPr>
        <sz val="6"/>
        <rFont val="ＭＳ Ｐゴシック"/>
        <family val="3"/>
      </rPr>
      <t>NC20144</t>
    </r>
  </si>
  <si>
    <r>
      <rPr>
        <sz val="6"/>
        <rFont val="ＭＳ Ｐゴシック"/>
        <family val="3"/>
      </rPr>
      <t>NC20151</t>
    </r>
  </si>
  <si>
    <r>
      <rPr>
        <sz val="6"/>
        <rFont val="ＭＳ Ｐゴシック"/>
        <family val="3"/>
      </rPr>
      <t>NC20161</t>
    </r>
  </si>
  <si>
    <r>
      <rPr>
        <sz val="6"/>
        <rFont val="ＭＳ Ｐゴシック"/>
        <family val="3"/>
      </rPr>
      <t>NC20173</t>
    </r>
  </si>
  <si>
    <r>
      <rPr>
        <sz val="6"/>
        <rFont val="ＭＳ Ｐゴシック"/>
        <family val="3"/>
      </rPr>
      <t>NC20183</t>
    </r>
  </si>
  <si>
    <r>
      <rPr>
        <sz val="6"/>
        <rFont val="ＭＳ Ｐゴシック"/>
        <family val="3"/>
      </rPr>
      <t>NC20194</t>
    </r>
  </si>
  <si>
    <r>
      <rPr>
        <sz val="6"/>
        <rFont val="ＭＳ Ｐゴシック"/>
        <family val="3"/>
      </rPr>
      <t>通年</t>
    </r>
  </si>
  <si>
    <r>
      <rPr>
        <sz val="6"/>
        <rFont val="ＭＳ Ｐゴシック"/>
        <family val="3"/>
      </rPr>
      <t>NC20201</t>
    </r>
  </si>
  <si>
    <r>
      <rPr>
        <sz val="6"/>
        <rFont val="ＭＳ Ｐゴシック"/>
        <family val="3"/>
      </rPr>
      <t>NC21301</t>
    </r>
  </si>
  <si>
    <r>
      <rPr>
        <sz val="6"/>
        <rFont val="ＭＳ Ｐゴシック"/>
        <family val="3"/>
      </rPr>
      <t>NC21404</t>
    </r>
  </si>
  <si>
    <t>電情 - 演Ⅱ</t>
    <phoneticPr fontId="5"/>
  </si>
  <si>
    <t>科目名</t>
    <rPh sb="0" eb="2">
      <t>カモク</t>
    </rPh>
    <rPh sb="2" eb="3">
      <t>メイ</t>
    </rPh>
    <phoneticPr fontId="5"/>
  </si>
  <si>
    <t>時間割コード</t>
    <rPh sb="0" eb="3">
      <t>ジカンワリ</t>
    </rPh>
    <phoneticPr fontId="5"/>
  </si>
  <si>
    <t>担当教員</t>
    <rPh sb="0" eb="2">
      <t>タントウ</t>
    </rPh>
    <rPh sb="2" eb="4">
      <t>キョウイン</t>
    </rPh>
    <phoneticPr fontId="5"/>
  </si>
  <si>
    <r>
      <rPr>
        <sz val="6"/>
        <rFont val="ＭＳ Ｐゴシック"/>
        <family val="3"/>
      </rPr>
      <t>科目区分</t>
    </r>
    <r>
      <rPr>
        <sz val="6"/>
        <rFont val="ＭＳ Ｐゴシック"/>
        <family val="3"/>
        <charset val="128"/>
      </rPr>
      <t>Ⅰ</t>
    </r>
    <phoneticPr fontId="5"/>
  </si>
  <si>
    <r>
      <rPr>
        <sz val="6"/>
        <rFont val="ＭＳ Ｐゴシック"/>
        <family val="3"/>
      </rPr>
      <t>科目区分</t>
    </r>
    <r>
      <rPr>
        <sz val="6"/>
        <rFont val="ＭＳ Ｐゴシック"/>
        <family val="3"/>
        <charset val="128"/>
      </rPr>
      <t>Ⅱ</t>
    </r>
    <phoneticPr fontId="5"/>
  </si>
  <si>
    <t>科目区分Ⅰ</t>
    <rPh sb="0" eb="2">
      <t>カモク</t>
    </rPh>
    <rPh sb="2" eb="4">
      <t>クブン</t>
    </rPh>
    <phoneticPr fontId="5"/>
  </si>
  <si>
    <t>曜日</t>
    <rPh sb="0" eb="2">
      <t>ヨウビ</t>
    </rPh>
    <phoneticPr fontId="5"/>
  </si>
  <si>
    <t>時限</t>
    <rPh sb="0" eb="2">
      <t>ジゲン</t>
    </rPh>
    <phoneticPr fontId="5"/>
  </si>
  <si>
    <t>教室</t>
    <rPh sb="0" eb="2">
      <t>キョウシツ</t>
    </rPh>
    <phoneticPr fontId="5"/>
  </si>
  <si>
    <t>備考</t>
    <rPh sb="0" eb="2">
      <t>ビコウ</t>
    </rPh>
    <phoneticPr fontId="5"/>
  </si>
  <si>
    <t>春</t>
    <phoneticPr fontId="5"/>
  </si>
  <si>
    <t>①下記URLより"履修案内"/”理工学府時間割表”をダウンロード</t>
  </si>
  <si>
    <t>②Adobe Acrobat Pro DCでファイルを開き，【PDFを書き出し】を選択し，［スプレッドシート］→［Microsoft Excelブック］で書き出し．</t>
  </si>
  <si>
    <t>③出力ファイルを整理してこのシートに貼り付け</t>
  </si>
  <si>
    <t>半導体光エレクトロニクス</t>
    <phoneticPr fontId="5"/>
  </si>
  <si>
    <t>科目区分Ⅱ</t>
    <rPh sb="0" eb="2">
      <t>カモク</t>
    </rPh>
    <rPh sb="2" eb="4">
      <t>クブン</t>
    </rPh>
    <phoneticPr fontId="5"/>
  </si>
  <si>
    <t>④【科目名】の列を最初の行に変更する</t>
  </si>
  <si>
    <t>④【科目名】の列を最初の行に変更する</t>
    <rPh sb="2" eb="4">
      <t>カモク</t>
    </rPh>
    <rPh sb="4" eb="5">
      <t>メイ</t>
    </rPh>
    <rPh sb="7" eb="8">
      <t>レツ</t>
    </rPh>
    <rPh sb="9" eb="11">
      <t>サイショ</t>
    </rPh>
    <rPh sb="12" eb="13">
      <t>ギョウ</t>
    </rPh>
    <rPh sb="14" eb="16">
      <t>ヘンコウ</t>
    </rPh>
    <phoneticPr fontId="5"/>
  </si>
  <si>
    <t>使用言語</t>
    <rPh sb="0" eb="2">
      <t>シヨウ</t>
    </rPh>
    <rPh sb="2" eb="4">
      <t>ゲンゴ</t>
    </rPh>
    <phoneticPr fontId="5"/>
  </si>
  <si>
    <t>授業形態</t>
    <rPh sb="0" eb="2">
      <t>ジュギョウ</t>
    </rPh>
    <rPh sb="2" eb="4">
      <t>ケイタイ</t>
    </rPh>
    <phoneticPr fontId="5"/>
  </si>
  <si>
    <t>開講年度</t>
    <rPh sb="0" eb="2">
      <t>カイコウ</t>
    </rPh>
    <rPh sb="2" eb="4">
      <t>ネンド</t>
    </rPh>
    <phoneticPr fontId="5"/>
  </si>
  <si>
    <t>履修年次</t>
    <rPh sb="0" eb="2">
      <t>リシュウ</t>
    </rPh>
    <rPh sb="2" eb="4">
      <t>ネンジ</t>
    </rPh>
    <phoneticPr fontId="5"/>
  </si>
  <si>
    <t>ナンバリングコード</t>
    <phoneticPr fontId="5"/>
  </si>
  <si>
    <t>開講期</t>
    <rPh sb="0" eb="2">
      <t>カイコウ</t>
    </rPh>
    <rPh sb="2" eb="3">
      <t>キ</t>
    </rPh>
    <phoneticPr fontId="5"/>
  </si>
  <si>
    <t>理工学府MPBL</t>
    <phoneticPr fontId="5"/>
  </si>
  <si>
    <t>リスクマネジメントのための技術者倫理</t>
    <phoneticPr fontId="5"/>
  </si>
  <si>
    <t>機械工学インターンシップL</t>
    <phoneticPr fontId="5"/>
  </si>
  <si>
    <t>マイクロエレクトロニクス</t>
    <phoneticPr fontId="5"/>
  </si>
  <si>
    <t>講義内容</t>
    <rPh sb="0" eb="2">
      <t>コウギ</t>
    </rPh>
    <rPh sb="2" eb="4">
      <t>ナイヨウ</t>
    </rPh>
    <phoneticPr fontId="5"/>
  </si>
  <si>
    <t>講義時間割</t>
    <rPh sb="0" eb="2">
      <t>コウギ</t>
    </rPh>
    <rPh sb="2" eb="5">
      <t>ジカンワリ</t>
    </rPh>
    <phoneticPr fontId="5"/>
  </si>
  <si>
    <t>列番号</t>
    <rPh sb="0" eb="3">
      <t>レツバンゴウ</t>
    </rPh>
    <phoneticPr fontId="5"/>
  </si>
  <si>
    <t>年度</t>
    <rPh sb="0" eb="2">
      <t>ネンド</t>
    </rPh>
    <phoneticPr fontId="5"/>
  </si>
  <si>
    <t>科目データ</t>
    <rPh sb="0" eb="2">
      <t>カモク</t>
    </rPh>
    <phoneticPr fontId="5"/>
  </si>
  <si>
    <t>データ名</t>
    <rPh sb="3" eb="4">
      <t>メイ</t>
    </rPh>
    <phoneticPr fontId="5"/>
  </si>
  <si>
    <t>セル名</t>
    <rPh sb="2" eb="3">
      <t>メイ</t>
    </rPh>
    <phoneticPr fontId="5"/>
  </si>
  <si>
    <t>時間割データ</t>
    <rPh sb="0" eb="3">
      <t>ジカンワリ</t>
    </rPh>
    <phoneticPr fontId="5"/>
  </si>
  <si>
    <t>$B:$O</t>
    <phoneticPr fontId="5"/>
  </si>
  <si>
    <t>$B:$I</t>
    <phoneticPr fontId="5"/>
  </si>
  <si>
    <t>参照先
データ入力</t>
    <rPh sb="0" eb="2">
      <t>サンショウ</t>
    </rPh>
    <rPh sb="2" eb="3">
      <t>サキ</t>
    </rPh>
    <rPh sb="7" eb="9">
      <t>ニュウリョク</t>
    </rPh>
    <phoneticPr fontId="5"/>
  </si>
  <si>
    <t>学期</t>
    <rPh sb="0" eb="2">
      <t>ガッキ</t>
    </rPh>
    <phoneticPr fontId="5"/>
  </si>
  <si>
    <t>秋</t>
    <rPh sb="0" eb="1">
      <t>アキ</t>
    </rPh>
    <phoneticPr fontId="5"/>
  </si>
  <si>
    <t>情報システム演習A</t>
    <phoneticPr fontId="5"/>
  </si>
  <si>
    <t>情報システム海外インターンシップL</t>
    <phoneticPr fontId="5"/>
  </si>
  <si>
    <t>08:50-10:20</t>
    <phoneticPr fontId="5"/>
  </si>
  <si>
    <t>10:30-12:00</t>
    <phoneticPr fontId="5"/>
  </si>
  <si>
    <t>13:00-14:30</t>
    <phoneticPr fontId="5"/>
  </si>
  <si>
    <t>14:40-16:10</t>
    <phoneticPr fontId="5"/>
  </si>
  <si>
    <t>16:15-17:45</t>
    <phoneticPr fontId="5"/>
  </si>
  <si>
    <t>集中講義等</t>
    <rPh sb="0" eb="2">
      <t>シュウチュウ</t>
    </rPh>
    <rPh sb="2" eb="4">
      <t>コウギ</t>
    </rPh>
    <rPh sb="4" eb="5">
      <t>トウ</t>
    </rPh>
    <phoneticPr fontId="5"/>
  </si>
  <si>
    <t>月</t>
    <rPh sb="0" eb="1">
      <t>ゲツ</t>
    </rPh>
    <phoneticPr fontId="5"/>
  </si>
  <si>
    <t>火</t>
  </si>
  <si>
    <t>水</t>
  </si>
  <si>
    <t>木</t>
    <rPh sb="0" eb="1">
      <t>モク</t>
    </rPh>
    <phoneticPr fontId="5"/>
  </si>
  <si>
    <t>金</t>
    <rPh sb="0" eb="1">
      <t>キン</t>
    </rPh>
    <phoneticPr fontId="5"/>
  </si>
  <si>
    <t>作業用</t>
    <rPh sb="0" eb="3">
      <t>サギョウヨウ</t>
    </rPh>
    <phoneticPr fontId="5"/>
  </si>
  <si>
    <t>開始列</t>
    <rPh sb="0" eb="2">
      <t>カイシ</t>
    </rPh>
    <rPh sb="2" eb="3">
      <t>レツ</t>
    </rPh>
    <phoneticPr fontId="5"/>
  </si>
  <si>
    <t>終了列</t>
    <rPh sb="0" eb="2">
      <t>シュウリョウ</t>
    </rPh>
    <rPh sb="2" eb="3">
      <t>レツ</t>
    </rPh>
    <phoneticPr fontId="5"/>
  </si>
  <si>
    <t>時間割表記</t>
    <rPh sb="0" eb="3">
      <t>ジカンワリ</t>
    </rPh>
    <rPh sb="3" eb="5">
      <t>ヒョウキ</t>
    </rPh>
    <phoneticPr fontId="5"/>
  </si>
  <si>
    <t>回数込時間割表記</t>
    <rPh sb="0" eb="2">
      <t>カイスウ</t>
    </rPh>
    <rPh sb="2" eb="3">
      <t>コ</t>
    </rPh>
    <rPh sb="3" eb="8">
      <t>ジカンワリヒョウキ</t>
    </rPh>
    <phoneticPr fontId="5"/>
  </si>
  <si>
    <t>履修単位数</t>
    <rPh sb="0" eb="2">
      <t>リシュウ</t>
    </rPh>
    <rPh sb="2" eb="4">
      <t>タンイ</t>
    </rPh>
    <rPh sb="4" eb="5">
      <t>スウ</t>
    </rPh>
    <phoneticPr fontId="5"/>
  </si>
  <si>
    <t>取得単位数</t>
    <rPh sb="0" eb="2">
      <t>シュトク</t>
    </rPh>
    <rPh sb="2" eb="4">
      <t>タンイ</t>
    </rPh>
    <rPh sb="4" eb="5">
      <t>スウ</t>
    </rPh>
    <phoneticPr fontId="5"/>
  </si>
  <si>
    <t/>
  </si>
  <si>
    <t>単位数</t>
  </si>
  <si>
    <t>物理工学インターンシップM</t>
    <phoneticPr fontId="5"/>
  </si>
  <si>
    <t>モーションコントロールシステム</t>
    <phoneticPr fontId="5"/>
  </si>
  <si>
    <t>春</t>
    <rPh sb="0" eb="1">
      <t>ハル</t>
    </rPh>
    <phoneticPr fontId="5"/>
  </si>
  <si>
    <t>参照先
データ出力</t>
    <rPh sb="0" eb="2">
      <t>サンショウ</t>
    </rPh>
    <rPh sb="2" eb="3">
      <t>サキ</t>
    </rPh>
    <rPh sb="7" eb="9">
      <t>シュツリョク</t>
    </rPh>
    <phoneticPr fontId="5"/>
  </si>
  <si>
    <t>■のシート</t>
    <phoneticPr fontId="5"/>
  </si>
  <si>
    <t>シート一覧</t>
    <rPh sb="3" eb="5">
      <t>イチラン</t>
    </rPh>
    <phoneticPr fontId="5"/>
  </si>
  <si>
    <t>【対象】　YYYY科目一覧　YYYY時間割表</t>
    <rPh sb="1" eb="3">
      <t>タイショウ</t>
    </rPh>
    <rPh sb="9" eb="11">
      <t>カモク</t>
    </rPh>
    <rPh sb="11" eb="13">
      <t>イチラン</t>
    </rPh>
    <rPh sb="18" eb="21">
      <t>ジカンワリ</t>
    </rPh>
    <rPh sb="21" eb="22">
      <t>ヒョウ</t>
    </rPh>
    <phoneticPr fontId="5"/>
  </si>
  <si>
    <t>※PEDプログラムには対応していません</t>
    <rPh sb="11" eb="13">
      <t>タイオウ</t>
    </rPh>
    <phoneticPr fontId="5"/>
  </si>
  <si>
    <t>その他</t>
    <rPh sb="2" eb="3">
      <t>タ</t>
    </rPh>
    <phoneticPr fontId="5"/>
  </si>
  <si>
    <t>秋</t>
    <phoneticPr fontId="5"/>
  </si>
  <si>
    <t>先取履修</t>
    <rPh sb="0" eb="2">
      <t>サキドリ</t>
    </rPh>
    <rPh sb="2" eb="4">
      <t>リシュウ</t>
    </rPh>
    <phoneticPr fontId="5"/>
  </si>
  <si>
    <t>【対象】　先取履修　１年春　１年秋　２年春　２年秋</t>
    <rPh sb="1" eb="3">
      <t>タイショウ</t>
    </rPh>
    <rPh sb="5" eb="7">
      <t>サキドリ</t>
    </rPh>
    <rPh sb="7" eb="9">
      <t>リシュウ</t>
    </rPh>
    <rPh sb="11" eb="12">
      <t>ネン</t>
    </rPh>
    <rPh sb="12" eb="13">
      <t>ハル</t>
    </rPh>
    <rPh sb="15" eb="16">
      <t>ネン</t>
    </rPh>
    <rPh sb="16" eb="17">
      <t>アキ</t>
    </rPh>
    <rPh sb="19" eb="20">
      <t>ネン</t>
    </rPh>
    <rPh sb="20" eb="21">
      <t>ハル</t>
    </rPh>
    <rPh sb="23" eb="24">
      <t>ネン</t>
    </rPh>
    <rPh sb="24" eb="25">
      <t>アキ</t>
    </rPh>
    <phoneticPr fontId="5"/>
  </si>
  <si>
    <t>専門科目</t>
    <rPh sb="0" eb="4">
      <t>センモンカモク</t>
    </rPh>
    <phoneticPr fontId="5"/>
  </si>
  <si>
    <t>長尾智晴．白川真一</t>
    <rPh sb="0" eb="2">
      <t>ナガオ</t>
    </rPh>
    <rPh sb="2" eb="4">
      <t>トモハル</t>
    </rPh>
    <rPh sb="5" eb="7">
      <t>シラカワ</t>
    </rPh>
    <rPh sb="7" eb="9">
      <t>シンイチ</t>
    </rPh>
    <phoneticPr fontId="5"/>
  </si>
  <si>
    <t>白川真一，長尾智晴</t>
    <rPh sb="0" eb="2">
      <t>シラカワ</t>
    </rPh>
    <rPh sb="2" eb="4">
      <t>シンイチ</t>
    </rPh>
    <rPh sb="5" eb="7">
      <t>ナガオ</t>
    </rPh>
    <rPh sb="7" eb="9">
      <t>トモハル</t>
    </rPh>
    <phoneticPr fontId="5"/>
  </si>
  <si>
    <t>講義</t>
    <phoneticPr fontId="5"/>
  </si>
  <si>
    <t>日本語</t>
    <phoneticPr fontId="5"/>
  </si>
  <si>
    <t>環境情報学府</t>
    <rPh sb="0" eb="4">
      <t>カンキョウジョウホウ</t>
    </rPh>
    <rPh sb="4" eb="6">
      <t>ガクフ</t>
    </rPh>
    <phoneticPr fontId="5"/>
  </si>
  <si>
    <t>金</t>
    <phoneticPr fontId="5"/>
  </si>
  <si>
    <t>月</t>
    <phoneticPr fontId="5"/>
  </si>
  <si>
    <t>C102</t>
    <phoneticPr fontId="5"/>
  </si>
  <si>
    <t>環境情報1-305</t>
    <rPh sb="0" eb="2">
      <t>カンキョウ</t>
    </rPh>
    <rPh sb="2" eb="4">
      <t>ジョウホウ</t>
    </rPh>
    <phoneticPr fontId="5"/>
  </si>
  <si>
    <r>
      <rPr>
        <sz val="6"/>
        <rFont val="ＭＳ Ｐゴシック"/>
        <family val="3"/>
      </rPr>
      <t>向井剛輝，各教育分野各担当教員</t>
    </r>
  </si>
  <si>
    <r>
      <rPr>
        <sz val="6"/>
        <rFont val="ＭＳ Ｐゴシック"/>
        <family val="3"/>
      </rPr>
      <t>（a）N00002A
（b）N00002B
（c）N00002C
（d）N00002D
（e）N00002E
（f）N00002F
（g）N00002G
（h）N00002H
（i）N00002I
（j）N00002J
（k）N00002K</t>
    </r>
  </si>
  <si>
    <r>
      <rPr>
        <sz val="6"/>
        <rFont val="ＭＳ Ｐゴシック"/>
        <family val="3"/>
      </rPr>
      <t>安藤吉隆，稲田正俊，萱葺正</t>
    </r>
  </si>
  <si>
    <r>
      <rPr>
        <sz val="6"/>
        <rFont val="ＭＳ Ｐゴシック"/>
        <family val="3"/>
      </rPr>
      <t>クラス分け（a～k)毎に履修登録すること。
（a～d、g～j：春学期、e～f、k：秋学期）</t>
    </r>
  </si>
  <si>
    <r>
      <rPr>
        <sz val="6"/>
        <rFont val="ＭＳ Ｐゴシック"/>
        <family val="3"/>
      </rPr>
      <t>大塚和弘，為近恵美</t>
    </r>
  </si>
  <si>
    <r>
      <rPr>
        <sz val="6"/>
        <rFont val="ＭＳ Ｐゴシック"/>
        <family val="3"/>
      </rPr>
      <t>大塚和弘，周佐喜和，高見沢実，為近恵美</t>
    </r>
  </si>
  <si>
    <r>
      <rPr>
        <sz val="6"/>
        <rFont val="ＭＳ Ｐゴシック"/>
        <family val="3"/>
      </rPr>
      <t>科目区分</t>
    </r>
  </si>
  <si>
    <r>
      <rPr>
        <sz val="6"/>
        <rFont val="ＭＳ Ｐゴシック"/>
        <family val="3"/>
      </rPr>
      <t>単位数</t>
    </r>
  </si>
  <si>
    <r>
      <rPr>
        <sz val="6"/>
        <rFont val="ＭＳ Ｐゴシック"/>
        <family val="3"/>
      </rPr>
      <t>偶数年度は秋学期に、奇数年度は春学期に開講する。
偶数年度担当：竹居（秋学期）
奇数年度担当：今野（春学期）</t>
    </r>
  </si>
  <si>
    <r>
      <rPr>
        <b/>
        <sz val="6"/>
        <rFont val="ＭＳ Ｐゴシック"/>
        <family val="3"/>
      </rPr>
      <t>機械･材料・海洋系工学専攻</t>
    </r>
  </si>
  <si>
    <r>
      <rPr>
        <sz val="6"/>
        <rFont val="ＭＳ Ｐゴシック"/>
        <family val="3"/>
      </rPr>
      <t>ESc5551</t>
    </r>
  </si>
  <si>
    <r>
      <rPr>
        <sz val="6"/>
        <rFont val="ＭＳ Ｐゴシック"/>
        <family val="3"/>
      </rPr>
      <t>ESc5556</t>
    </r>
  </si>
  <si>
    <r>
      <rPr>
        <sz val="6"/>
        <rFont val="ＭＳ Ｐゴシック"/>
        <family val="3"/>
      </rPr>
      <t>ESc5555</t>
    </r>
  </si>
  <si>
    <r>
      <rPr>
        <sz val="6"/>
        <rFont val="ＭＳ Ｐゴシック"/>
        <family val="3"/>
      </rPr>
      <t>ESc5611</t>
    </r>
  </si>
  <si>
    <r>
      <rPr>
        <sz val="6"/>
        <rFont val="ＭＳ Ｐゴシック"/>
        <family val="3"/>
      </rPr>
      <t>ESc4594</t>
    </r>
  </si>
  <si>
    <r>
      <rPr>
        <sz val="6"/>
        <rFont val="ＭＳ Ｐゴシック"/>
        <family val="3"/>
      </rPr>
      <t>ESc4552</t>
    </r>
  </si>
  <si>
    <r>
      <rPr>
        <sz val="6"/>
        <rFont val="ＭＳ Ｐゴシック"/>
        <family val="3"/>
      </rPr>
      <t>ESc5612</t>
    </r>
  </si>
  <si>
    <r>
      <rPr>
        <b/>
        <sz val="6"/>
        <rFont val="ＭＳ Ｐゴシック"/>
        <family val="3"/>
      </rPr>
      <t>【専門科目】</t>
    </r>
  </si>
  <si>
    <r>
      <rPr>
        <sz val="6"/>
        <rFont val="ＭＳ Ｐゴシック"/>
        <family val="3"/>
      </rPr>
      <t>○各教育分野が指定する専門科目
そのうち、 ◎必修,    ●選択必修</t>
    </r>
  </si>
  <si>
    <r>
      <rPr>
        <sz val="6"/>
        <rFont val="ＭＳ Ｐゴシック"/>
        <family val="3"/>
      </rPr>
      <t>ESd5553</t>
    </r>
  </si>
  <si>
    <r>
      <rPr>
        <sz val="6"/>
        <rFont val="ＭＳ Ｐゴシック"/>
        <family val="3"/>
      </rPr>
      <t>ESd5552</t>
    </r>
  </si>
  <si>
    <r>
      <rPr>
        <sz val="6"/>
        <rFont val="ＭＳ Ｐゴシック"/>
        <family val="3"/>
      </rPr>
      <t>ESd5551</t>
    </r>
  </si>
  <si>
    <r>
      <rPr>
        <sz val="6"/>
        <rFont val="ＭＳ Ｐゴシック"/>
        <family val="3"/>
      </rPr>
      <t>ESd5554</t>
    </r>
  </si>
  <si>
    <r>
      <rPr>
        <sz val="6"/>
        <rFont val="ＭＳ Ｐゴシック"/>
        <family val="3"/>
      </rPr>
      <t>ESd5556</t>
    </r>
  </si>
  <si>
    <r>
      <rPr>
        <sz val="6"/>
        <rFont val="ＭＳ Ｐゴシック"/>
        <family val="3"/>
      </rPr>
      <t>ESd5126</t>
    </r>
  </si>
  <si>
    <r>
      <rPr>
        <sz val="6"/>
        <rFont val="ＭＳ Ｐゴシック"/>
        <family val="3"/>
      </rPr>
      <t>ESd5436</t>
    </r>
  </si>
  <si>
    <r>
      <rPr>
        <sz val="6"/>
        <rFont val="ＭＳ Ｐゴシック"/>
        <family val="3"/>
      </rPr>
      <t>ESd5555</t>
    </r>
  </si>
  <si>
    <r>
      <rPr>
        <sz val="6"/>
        <rFont val="ＭＳ Ｐゴシック"/>
        <family val="3"/>
      </rPr>
      <t>ESd5234</t>
    </r>
  </si>
  <si>
    <r>
      <rPr>
        <sz val="6"/>
        <rFont val="ＭＳ Ｐゴシック"/>
        <family val="3"/>
      </rPr>
      <t>ESd5443</t>
    </r>
  </si>
  <si>
    <r>
      <rPr>
        <sz val="6"/>
        <rFont val="ＭＳ Ｐゴシック"/>
        <family val="3"/>
      </rPr>
      <t>ESd5611</t>
    </r>
  </si>
  <si>
    <r>
      <rPr>
        <sz val="6"/>
        <rFont val="ＭＳ Ｐゴシック"/>
        <family val="3"/>
      </rPr>
      <t>加幡安雄，岩城智香子，和田国彦</t>
    </r>
  </si>
  <si>
    <r>
      <rPr>
        <sz val="6"/>
        <rFont val="ＭＳ Ｐゴシック"/>
        <family val="3"/>
      </rPr>
      <t>ESd5616</t>
    </r>
  </si>
  <si>
    <r>
      <rPr>
        <sz val="6"/>
        <rFont val="ＭＳ Ｐゴシック"/>
        <family val="3"/>
      </rPr>
      <t>（春）NA11101
（秋）NA11104</t>
    </r>
  </si>
  <si>
    <r>
      <rPr>
        <sz val="6"/>
        <rFont val="ＭＳ Ｐゴシック"/>
        <family val="3"/>
      </rPr>
      <t>ESd5011</t>
    </r>
  </si>
  <si>
    <r>
      <rPr>
        <sz val="6"/>
        <rFont val="ＭＳ Ｐゴシック"/>
        <family val="3"/>
      </rPr>
      <t>（春）NA11201
（秋）NA11204</t>
    </r>
  </si>
  <si>
    <r>
      <rPr>
        <sz val="6"/>
        <rFont val="ＭＳ Ｐゴシック"/>
        <family val="3"/>
      </rPr>
      <t>（春）NA11301
（秋）NA11304</t>
    </r>
  </si>
  <si>
    <r>
      <rPr>
        <sz val="6"/>
        <rFont val="ＭＳ Ｐゴシック"/>
        <family val="3"/>
      </rPr>
      <t>2  ＊</t>
    </r>
  </si>
  <si>
    <r>
      <rPr>
        <sz val="6"/>
        <rFont val="ＭＳ Ｐゴシック"/>
        <family val="3"/>
      </rPr>
      <t>◎</t>
    </r>
  </si>
  <si>
    <r>
      <rPr>
        <sz val="6"/>
        <rFont val="ＭＳ Ｐゴシック"/>
        <family val="3"/>
      </rPr>
      <t>（春）NA11401
（秋）NA11404</t>
    </r>
  </si>
  <si>
    <r>
      <rPr>
        <sz val="6"/>
        <rFont val="ＭＳ Ｐゴシック"/>
        <family val="3"/>
      </rPr>
      <t>（春）NA19811
（秋）NA19814</t>
    </r>
  </si>
  <si>
    <r>
      <rPr>
        <sz val="6"/>
        <rFont val="ＭＳ Ｐゴシック"/>
        <family val="3"/>
      </rPr>
      <t>ESd5014</t>
    </r>
  </si>
  <si>
    <r>
      <rPr>
        <sz val="6"/>
        <rFont val="ＭＳ Ｐゴシック"/>
        <family val="3"/>
      </rPr>
      <t>（春）NA19821
（秋）NA19824</t>
    </r>
  </si>
  <si>
    <r>
      <rPr>
        <sz val="6"/>
        <rFont val="ＭＳ Ｐゴシック"/>
        <family val="3"/>
      </rPr>
      <t>（春）NA19831
（秋）NA19834</t>
    </r>
  </si>
  <si>
    <r>
      <rPr>
        <sz val="6"/>
        <rFont val="ＭＳ Ｐゴシック"/>
        <family val="3"/>
      </rPr>
      <t>ESd5594</t>
    </r>
  </si>
  <si>
    <r>
      <rPr>
        <sz val="6"/>
        <rFont val="ＭＳ Ｐゴシック"/>
        <family val="3"/>
      </rPr>
      <t>ESd5441</t>
    </r>
  </si>
  <si>
    <r>
      <rPr>
        <sz val="6"/>
        <rFont val="ＭＳ Ｐゴシック"/>
        <family val="3"/>
      </rPr>
      <t>梅澤修，中尾航，廣澤渉一，向井剛輝</t>
    </r>
  </si>
  <si>
    <r>
      <rPr>
        <sz val="6"/>
        <rFont val="ＭＳ Ｐゴシック"/>
        <family val="3"/>
      </rPr>
      <t>ESd5591</t>
    </r>
  </si>
  <si>
    <r>
      <rPr>
        <sz val="6"/>
        <rFont val="ＭＳ Ｐゴシック"/>
        <family val="3"/>
      </rPr>
      <t>ESd5434</t>
    </r>
  </si>
  <si>
    <r>
      <rPr>
        <sz val="6"/>
        <rFont val="ＭＳ Ｐゴシック"/>
        <family val="3"/>
      </rPr>
      <t>後藤聡太，神戸洋史</t>
    </r>
  </si>
  <si>
    <r>
      <rPr>
        <sz val="6"/>
        <rFont val="ＭＳ Ｐゴシック"/>
        <family val="3"/>
      </rPr>
      <t>ESd5595</t>
    </r>
  </si>
  <si>
    <r>
      <rPr>
        <sz val="6"/>
        <rFont val="ＭＳ Ｐゴシック"/>
        <family val="3"/>
      </rPr>
      <t>（春）NA21101
（秋）NA21104</t>
    </r>
  </si>
  <si>
    <r>
      <rPr>
        <sz val="6"/>
        <rFont val="ＭＳ Ｐゴシック"/>
        <family val="3"/>
      </rPr>
      <t>梅澤修，中尾航，廣澤渉一，向井剛輝，中津川博，長谷川誠，前野智美，大竹充</t>
    </r>
  </si>
  <si>
    <r>
      <rPr>
        <sz val="6"/>
        <rFont val="ＭＳ Ｐゴシック"/>
        <family val="3"/>
      </rPr>
      <t>ESd5021</t>
    </r>
  </si>
  <si>
    <r>
      <rPr>
        <sz val="6"/>
        <rFont val="ＭＳ Ｐゴシック"/>
        <family val="3"/>
      </rPr>
      <t>（春）NA21201
（秋）NA21204</t>
    </r>
  </si>
  <si>
    <r>
      <rPr>
        <sz val="6"/>
        <rFont val="ＭＳ Ｐゴシック"/>
        <family val="3"/>
      </rPr>
      <t>（春）NA21301
（秋）NA21304</t>
    </r>
  </si>
  <si>
    <r>
      <rPr>
        <sz val="6"/>
        <rFont val="ＭＳ Ｐゴシック"/>
        <family val="3"/>
      </rPr>
      <t>（春）NA21401
（秋）NA21404</t>
    </r>
  </si>
  <si>
    <r>
      <rPr>
        <sz val="6"/>
        <rFont val="ＭＳ Ｐゴシック"/>
        <family val="3"/>
      </rPr>
      <t>（春）NA29811
（秋）NA29814</t>
    </r>
  </si>
  <si>
    <r>
      <rPr>
        <sz val="6"/>
        <rFont val="ＭＳ Ｐゴシック"/>
        <family val="3"/>
      </rPr>
      <t>梅澤修，中尾航，廣澤渉一，向井剛輝，中津川博，長谷川誠，前野智美，大竹充，材料工学教育分野客員教員</t>
    </r>
  </si>
  <si>
    <r>
      <rPr>
        <sz val="6"/>
        <rFont val="ＭＳ Ｐゴシック"/>
        <family val="3"/>
      </rPr>
      <t>ESd5024</t>
    </r>
  </si>
  <si>
    <r>
      <rPr>
        <sz val="6"/>
        <rFont val="ＭＳ Ｐゴシック"/>
        <family val="3"/>
      </rPr>
      <t>（春）NA29821
（秋）NA29824</t>
    </r>
  </si>
  <si>
    <r>
      <rPr>
        <sz val="6"/>
        <rFont val="ＭＳ Ｐゴシック"/>
        <family val="3"/>
      </rPr>
      <t>（春）NA29831
（秋）NA29834</t>
    </r>
  </si>
  <si>
    <r>
      <rPr>
        <sz val="6"/>
        <rFont val="ＭＳ Ｐゴシック"/>
        <family val="3"/>
      </rPr>
      <t>ESd5612</t>
    </r>
  </si>
  <si>
    <r>
      <rPr>
        <sz val="6"/>
        <rFont val="ＭＳ Ｐゴシック"/>
        <family val="3"/>
      </rPr>
      <t>ESd4612</t>
    </r>
  </si>
  <si>
    <r>
      <rPr>
        <sz val="6"/>
        <rFont val="ＭＳ Ｐゴシック"/>
        <family val="3"/>
      </rPr>
      <t>加藤俊司，中島康晴</t>
    </r>
  </si>
  <si>
    <r>
      <rPr>
        <sz val="6"/>
        <rFont val="ＭＳ Ｐゴシック"/>
        <family val="3"/>
      </rPr>
      <t>福戸淳司，伊藤博子</t>
    </r>
  </si>
  <si>
    <r>
      <rPr>
        <sz val="6"/>
        <rFont val="ＭＳ Ｐゴシック"/>
        <family val="3"/>
      </rPr>
      <t>吉田公一，湯浅和昭，有馬俊朗，川村恭己，岡田哲男</t>
    </r>
  </si>
  <si>
    <r>
      <rPr>
        <sz val="6"/>
        <rFont val="ＭＳ Ｐゴシック"/>
        <family val="3"/>
      </rPr>
      <t>（春）NA30131
（秋）NA30134</t>
    </r>
  </si>
  <si>
    <r>
      <rPr>
        <sz val="6"/>
        <rFont val="ＭＳ Ｐゴシック"/>
        <family val="3"/>
      </rPr>
      <t>上野誠也，岡田哲男，川村恭己，日野孝則</t>
    </r>
  </si>
  <si>
    <r>
      <rPr>
        <sz val="6"/>
        <rFont val="ＭＳ Ｐゴシック"/>
        <family val="3"/>
      </rPr>
      <t>（春）NA30141
（秋）NA30144</t>
    </r>
  </si>
  <si>
    <r>
      <rPr>
        <sz val="6"/>
        <rFont val="ＭＳ Ｐゴシック"/>
        <family val="3"/>
      </rPr>
      <t>（春）NA30151
（秋）NA30154</t>
    </r>
  </si>
  <si>
    <r>
      <rPr>
        <sz val="6"/>
        <rFont val="ＭＳ Ｐゴシック"/>
        <family val="3"/>
      </rPr>
      <t>（春）NA30161
（秋）NA30164</t>
    </r>
  </si>
  <si>
    <r>
      <rPr>
        <sz val="6"/>
        <rFont val="ＭＳ Ｐゴシック"/>
        <family val="3"/>
      </rPr>
      <t>村井基彦，日野孝則，岡田哲男，川村恭己，髙木洋平，西佳樹，平川嘉昭，満行泰河</t>
    </r>
  </si>
  <si>
    <r>
      <rPr>
        <sz val="6"/>
        <rFont val="ＭＳ Ｐゴシック"/>
        <family val="3"/>
      </rPr>
      <t>（春）NA31101
（秋）NA31104</t>
    </r>
  </si>
  <si>
    <r>
      <rPr>
        <sz val="6"/>
        <rFont val="ＭＳ Ｐゴシック"/>
        <family val="3"/>
      </rPr>
      <t>海洋空間教育分野各担当教員，上野誠也，宮路幸二，樋口丈浩</t>
    </r>
  </si>
  <si>
    <r>
      <rPr>
        <sz val="6"/>
        <rFont val="ＭＳ Ｐゴシック"/>
        <family val="3"/>
      </rPr>
      <t>ESd5031</t>
    </r>
  </si>
  <si>
    <r>
      <rPr>
        <sz val="6"/>
        <rFont val="ＭＳ Ｐゴシック"/>
        <family val="3"/>
      </rPr>
      <t>（春）NA31201
（秋）NA31204</t>
    </r>
  </si>
  <si>
    <r>
      <rPr>
        <sz val="6"/>
        <rFont val="ＭＳ Ｐゴシック"/>
        <family val="3"/>
      </rPr>
      <t>（春）NA31301
（秋）NA31304</t>
    </r>
  </si>
  <si>
    <r>
      <rPr>
        <sz val="6"/>
        <rFont val="ＭＳ Ｐゴシック"/>
        <family val="3"/>
      </rPr>
      <t>（春）NA31401
（秋）NA31404</t>
    </r>
  </si>
  <si>
    <r>
      <rPr>
        <sz val="6"/>
        <rFont val="ＭＳ Ｐゴシック"/>
        <family val="3"/>
      </rPr>
      <t>（春）NA31501
（秋）NA31504</t>
    </r>
  </si>
  <si>
    <r>
      <rPr>
        <sz val="6"/>
        <rFont val="ＭＳ Ｐゴシック"/>
        <family val="3"/>
      </rPr>
      <t>ESd5034</t>
    </r>
  </si>
  <si>
    <r>
      <rPr>
        <sz val="6"/>
        <rFont val="ＭＳ Ｐゴシック"/>
        <family val="3"/>
      </rPr>
      <t>（春）NA31601
（秋）NA31604</t>
    </r>
  </si>
  <si>
    <r>
      <rPr>
        <sz val="6"/>
        <rFont val="ＭＳ Ｐゴシック"/>
        <family val="3"/>
      </rPr>
      <t>（春）NA31701
（秋）NA31704</t>
    </r>
  </si>
  <si>
    <r>
      <rPr>
        <sz val="6"/>
        <rFont val="ＭＳ Ｐゴシック"/>
        <family val="3"/>
      </rPr>
      <t>海洋空間教育分野各担当教員，上野誠也，宮路幸二，樋口丈浩，加藤俊司，福戸淳司，伊藤博子，中島康晴</t>
    </r>
  </si>
  <si>
    <r>
      <rPr>
        <sz val="6"/>
        <rFont val="ＭＳ Ｐゴシック"/>
        <family val="3"/>
      </rPr>
      <t>（春）NA31801
（秋）NA31804</t>
    </r>
  </si>
  <si>
    <r>
      <rPr>
        <sz val="6"/>
        <rFont val="ＭＳ Ｐゴシック"/>
        <family val="3"/>
      </rPr>
      <t>（春）NA39811
（秋）NA39814</t>
    </r>
  </si>
  <si>
    <r>
      <rPr>
        <sz val="6"/>
        <rFont val="ＭＳ Ｐゴシック"/>
        <family val="3"/>
      </rPr>
      <t>（春）NA39821
（秋）NA39824</t>
    </r>
  </si>
  <si>
    <r>
      <rPr>
        <sz val="6"/>
        <rFont val="ＭＳ Ｐゴシック"/>
        <family val="3"/>
      </rPr>
      <t>（春）NA39831
（秋）NA39834</t>
    </r>
  </si>
  <si>
    <r>
      <rPr>
        <sz val="6"/>
        <rFont val="ＭＳ Ｐゴシック"/>
        <family val="3"/>
      </rPr>
      <t>（春）NA41101
（秋）NA41104</t>
    </r>
  </si>
  <si>
    <r>
      <rPr>
        <sz val="6"/>
        <rFont val="ＭＳ Ｐゴシック"/>
        <family val="3"/>
      </rPr>
      <t>ESd5041</t>
    </r>
  </si>
  <si>
    <r>
      <rPr>
        <sz val="6"/>
        <rFont val="ＭＳ Ｐゴシック"/>
        <family val="3"/>
      </rPr>
      <t>（春）NA41201
（秋）NA41204</t>
    </r>
  </si>
  <si>
    <r>
      <rPr>
        <b/>
        <sz val="6"/>
        <rFont val="ＭＳ Ｐゴシック"/>
        <family val="3"/>
      </rPr>
      <t>化学・生命系理工学専攻</t>
    </r>
  </si>
  <si>
    <r>
      <rPr>
        <sz val="6"/>
        <rFont val="ＭＳ Ｐゴシック"/>
        <family val="3"/>
      </rPr>
      <t>ESg5521</t>
    </r>
  </si>
  <si>
    <r>
      <rPr>
        <sz val="6"/>
        <rFont val="ＭＳ Ｐゴシック"/>
        <family val="3"/>
      </rPr>
      <t>ESg5674</t>
    </r>
  </si>
  <si>
    <r>
      <rPr>
        <sz val="6"/>
        <rFont val="ＭＳ Ｐゴシック"/>
        <family val="3"/>
      </rPr>
      <t>ESg5523</t>
    </r>
  </si>
  <si>
    <r>
      <rPr>
        <sz val="6"/>
        <rFont val="ＭＳ Ｐゴシック"/>
        <family val="3"/>
      </rPr>
      <t>半沢宏之，由比藤文夫，宇根本篤，永井愛作，高柳大</t>
    </r>
  </si>
  <si>
    <r>
      <rPr>
        <sz val="6"/>
        <rFont val="ＭＳ Ｐゴシック"/>
        <family val="3"/>
      </rPr>
      <t>ESg5544</t>
    </r>
  </si>
  <si>
    <r>
      <rPr>
        <sz val="6"/>
        <rFont val="ＭＳ Ｐゴシック"/>
        <family val="3"/>
      </rPr>
      <t>獨古薫，上野和英</t>
    </r>
  </si>
  <si>
    <r>
      <rPr>
        <sz val="6"/>
        <rFont val="ＭＳ Ｐゴシック"/>
        <family val="3"/>
      </rPr>
      <t>ESg5537</t>
    </r>
  </si>
  <si>
    <r>
      <rPr>
        <sz val="6"/>
        <rFont val="ＭＳ Ｐゴシック"/>
        <family val="3"/>
      </rPr>
      <t>ESg5603</t>
    </r>
  </si>
  <si>
    <r>
      <rPr>
        <sz val="6"/>
        <rFont val="ＭＳ Ｐゴシック"/>
        <family val="3"/>
      </rPr>
      <t>光島重徳，黒田義之</t>
    </r>
  </si>
  <si>
    <r>
      <rPr>
        <sz val="6"/>
        <rFont val="ＭＳ Ｐゴシック"/>
        <family val="3"/>
      </rPr>
      <t>ESg5531</t>
    </r>
  </si>
  <si>
    <r>
      <rPr>
        <sz val="6"/>
        <rFont val="ＭＳ Ｐゴシック"/>
        <family val="3"/>
      </rPr>
      <t>ESg5671</t>
    </r>
  </si>
  <si>
    <r>
      <rPr>
        <sz val="6"/>
        <rFont val="ＭＳ Ｐゴシック"/>
        <family val="3"/>
      </rPr>
      <t>ESg5551</t>
    </r>
  </si>
  <si>
    <r>
      <rPr>
        <sz val="6"/>
        <rFont val="ＭＳ Ｐゴシック"/>
        <family val="3"/>
      </rPr>
      <t>中村一穂，新田見匡</t>
    </r>
  </si>
  <si>
    <r>
      <rPr>
        <sz val="6"/>
        <rFont val="ＭＳ Ｐゴシック"/>
        <family val="3"/>
      </rPr>
      <t>ESg5601</t>
    </r>
  </si>
  <si>
    <r>
      <rPr>
        <sz val="6"/>
        <rFont val="ＭＳ Ｐゴシック"/>
        <family val="3"/>
      </rPr>
      <t>ESg5602</t>
    </r>
  </si>
  <si>
    <r>
      <rPr>
        <sz val="6"/>
        <rFont val="ＭＳ Ｐゴシック"/>
        <family val="3"/>
      </rPr>
      <t>ESg5676</t>
    </r>
  </si>
  <si>
    <r>
      <rPr>
        <sz val="6"/>
        <rFont val="ＭＳ Ｐゴシック"/>
        <family val="3"/>
      </rPr>
      <t>ESh5532</t>
    </r>
  </si>
  <si>
    <r>
      <rPr>
        <sz val="6"/>
        <rFont val="ＭＳ Ｐゴシック"/>
        <family val="3"/>
      </rPr>
      <t>ESh5522</t>
    </r>
  </si>
  <si>
    <r>
      <rPr>
        <sz val="6"/>
        <rFont val="ＭＳ Ｐゴシック"/>
        <family val="3"/>
      </rPr>
      <t>ESh5531</t>
    </r>
  </si>
  <si>
    <r>
      <rPr>
        <sz val="6"/>
        <rFont val="ＭＳ Ｐゴシック"/>
        <family val="3"/>
      </rPr>
      <t>ESh5592</t>
    </r>
  </si>
  <si>
    <r>
      <rPr>
        <sz val="6"/>
        <rFont val="ＭＳ Ｐゴシック"/>
        <family val="3"/>
      </rPr>
      <t>ESh5601</t>
    </r>
  </si>
  <si>
    <r>
      <rPr>
        <sz val="6"/>
        <rFont val="ＭＳ Ｐゴシック"/>
        <family val="3"/>
      </rPr>
      <t>ESh5672</t>
    </r>
  </si>
  <si>
    <r>
      <rPr>
        <sz val="6"/>
        <rFont val="ＭＳ Ｐゴシック"/>
        <family val="3"/>
      </rPr>
      <t>癸生川陽子</t>
    </r>
  </si>
  <si>
    <r>
      <rPr>
        <sz val="6"/>
        <rFont val="ＭＳ Ｐゴシック"/>
        <family val="3"/>
      </rPr>
      <t>ESh5507</t>
    </r>
  </si>
  <si>
    <r>
      <rPr>
        <sz val="6"/>
        <rFont val="ＭＳ Ｐゴシック"/>
        <family val="3"/>
      </rPr>
      <t>ESh5521</t>
    </r>
  </si>
  <si>
    <r>
      <rPr>
        <sz val="6"/>
        <rFont val="ＭＳ Ｐゴシック"/>
        <family val="3"/>
      </rPr>
      <t>ESh5502</t>
    </r>
  </si>
  <si>
    <r>
      <rPr>
        <sz val="6"/>
        <rFont val="ＭＳ Ｐゴシック"/>
        <family val="3"/>
      </rPr>
      <t>工学系，理学系</t>
    </r>
  </si>
  <si>
    <r>
      <rPr>
        <sz val="6"/>
        <rFont val="ＭＳ Ｐゴシック"/>
        <family val="3"/>
      </rPr>
      <t>ESh5012</t>
    </r>
  </si>
  <si>
    <r>
      <rPr>
        <sz val="6"/>
        <rFont val="ＭＳ Ｐゴシック"/>
        <family val="3"/>
      </rPr>
      <t>ESh5011</t>
    </r>
  </si>
  <si>
    <r>
      <rPr>
        <sz val="6"/>
        <rFont val="ＭＳ Ｐゴシック"/>
        <family val="3"/>
      </rPr>
      <t>ESh5015</t>
    </r>
  </si>
  <si>
    <r>
      <rPr>
        <sz val="6"/>
        <rFont val="ＭＳ Ｐゴシック"/>
        <family val="3"/>
      </rPr>
      <t>ESh5021</t>
    </r>
  </si>
  <si>
    <r>
      <rPr>
        <sz val="6"/>
        <rFont val="ＭＳ Ｐゴシック"/>
        <family val="3"/>
      </rPr>
      <t>ESh5025</t>
    </r>
  </si>
  <si>
    <r>
      <rPr>
        <sz val="6"/>
        <rFont val="ＭＳ Ｐゴシック"/>
        <family val="3"/>
      </rPr>
      <t>ESh5024</t>
    </r>
  </si>
  <si>
    <r>
      <rPr>
        <sz val="6"/>
        <rFont val="ＭＳ Ｐゴシック"/>
        <family val="3"/>
      </rPr>
      <t>跡部真人，窪田好浩，獨古薫，藪内直明，渡邉正義，稲垣怜史，上野和英</t>
    </r>
  </si>
  <si>
    <r>
      <rPr>
        <sz val="6"/>
        <rFont val="ＭＳ Ｐゴシック"/>
        <family val="3"/>
      </rPr>
      <t>ESh5031</t>
    </r>
  </si>
  <si>
    <r>
      <rPr>
        <sz val="6"/>
        <rFont val="ＭＳ Ｐゴシック"/>
        <family val="3"/>
      </rPr>
      <t>（春）NB19811
（秋）NB19814</t>
    </r>
  </si>
  <si>
    <r>
      <rPr>
        <sz val="6"/>
        <rFont val="ＭＳ Ｐゴシック"/>
        <family val="3"/>
      </rPr>
      <t>（春）NB19821
（秋）NB19824</t>
    </r>
  </si>
  <si>
    <r>
      <rPr>
        <sz val="6"/>
        <rFont val="ＭＳ Ｐゴシック"/>
        <family val="3"/>
      </rPr>
      <t>（春）NB19831
（秋）NB19834</t>
    </r>
  </si>
  <si>
    <r>
      <rPr>
        <sz val="6"/>
        <rFont val="ＭＳ Ｐゴシック"/>
        <family val="3"/>
      </rPr>
      <t>（春）NB19841
（秋）NB19844</t>
    </r>
  </si>
  <si>
    <r>
      <rPr>
        <sz val="6"/>
        <rFont val="ＭＳ Ｐゴシック"/>
        <family val="3"/>
      </rPr>
      <t>（春）NB19851
（秋）NB19854</t>
    </r>
  </si>
  <si>
    <r>
      <rPr>
        <sz val="6"/>
        <rFont val="ＭＳ Ｐゴシック"/>
        <family val="3"/>
      </rPr>
      <t>（春）NB19861
（秋）NB19864</t>
    </r>
  </si>
  <si>
    <r>
      <rPr>
        <sz val="6"/>
        <rFont val="ＭＳ Ｐゴシック"/>
        <family val="3"/>
      </rPr>
      <t>陶山貢市，鎌田素之</t>
    </r>
  </si>
  <si>
    <r>
      <rPr>
        <sz val="6"/>
        <rFont val="ＭＳ Ｐゴシック"/>
        <family val="3"/>
      </rPr>
      <t>ESh5221</t>
    </r>
  </si>
  <si>
    <r>
      <rPr>
        <sz val="6"/>
        <rFont val="ＭＳ Ｐゴシック"/>
        <family val="3"/>
      </rPr>
      <t>ESh5181</t>
    </r>
  </si>
  <si>
    <r>
      <rPr>
        <sz val="6"/>
        <rFont val="ＭＳ Ｐゴシック"/>
        <family val="3"/>
      </rPr>
      <t>ESh5602</t>
    </r>
  </si>
  <si>
    <r>
      <rPr>
        <sz val="6"/>
        <rFont val="ＭＳ Ｐゴシック"/>
        <family val="3"/>
      </rPr>
      <t>ESh5712</t>
    </r>
  </si>
  <si>
    <r>
      <rPr>
        <sz val="6"/>
        <rFont val="ＭＳ Ｐゴシック"/>
        <family val="3"/>
      </rPr>
      <t>福田淳二，飯島一智</t>
    </r>
  </si>
  <si>
    <r>
      <rPr>
        <sz val="6"/>
        <rFont val="ＭＳ Ｐゴシック"/>
        <family val="3"/>
      </rPr>
      <t>ESh5231</t>
    </r>
  </si>
  <si>
    <r>
      <rPr>
        <sz val="6"/>
        <rFont val="ＭＳ Ｐゴシック"/>
        <family val="3"/>
      </rPr>
      <t>中村一穂，羽深等</t>
    </r>
  </si>
  <si>
    <r>
      <rPr>
        <sz val="6"/>
        <rFont val="ＭＳ Ｐゴシック"/>
        <family val="3"/>
      </rPr>
      <t>ESh5536</t>
    </r>
  </si>
  <si>
    <r>
      <rPr>
        <sz val="6"/>
        <rFont val="ＭＳ Ｐゴシック"/>
        <family val="3"/>
      </rPr>
      <t>化学応用・バイオ教育分野各担当教員，麦倉良啓，山本融，森田寛</t>
    </r>
  </si>
  <si>
    <r>
      <rPr>
        <sz val="6"/>
        <rFont val="ＭＳ Ｐゴシック"/>
        <family val="3"/>
      </rPr>
      <t>ESh5049</t>
    </r>
  </si>
  <si>
    <r>
      <rPr>
        <sz val="6"/>
        <rFont val="ＭＳ Ｐゴシック"/>
        <family val="3"/>
      </rPr>
      <t>山本博志</t>
    </r>
  </si>
  <si>
    <r>
      <rPr>
        <sz val="6"/>
        <rFont val="ＭＳ Ｐゴシック"/>
        <family val="3"/>
      </rPr>
      <t>ESh5593</t>
    </r>
  </si>
  <si>
    <r>
      <rPr>
        <sz val="6"/>
        <rFont val="ＭＳ Ｐゴシック"/>
        <family val="3"/>
      </rPr>
      <t>ESh5604</t>
    </r>
  </si>
  <si>
    <r>
      <rPr>
        <sz val="6"/>
        <rFont val="ＭＳ Ｐゴシック"/>
        <family val="3"/>
      </rPr>
      <t>ESh5551</t>
    </r>
  </si>
  <si>
    <r>
      <rPr>
        <sz val="6"/>
        <rFont val="ＭＳ Ｐゴシック"/>
        <family val="3"/>
      </rPr>
      <t>ESh5042</t>
    </r>
  </si>
  <si>
    <r>
      <rPr>
        <sz val="6"/>
        <rFont val="ＭＳ Ｐゴシック"/>
        <family val="3"/>
      </rPr>
      <t>奥山邦人，栗原靖之，高橋宏治，武田穣，羽深等，福田淳二，金井俊光，中村一穂，飯島一智，三角隆太</t>
    </r>
  </si>
  <si>
    <r>
      <rPr>
        <sz val="6"/>
        <rFont val="ＭＳ Ｐゴシック"/>
        <family val="3"/>
      </rPr>
      <t>ESh5045</t>
    </r>
  </si>
  <si>
    <r>
      <rPr>
        <sz val="6"/>
        <rFont val="ＭＳ Ｐゴシック"/>
        <family val="3"/>
      </rPr>
      <t>岡崎慎司，光島重徳，吉武英昭，松澤幸一，黒田義之</t>
    </r>
  </si>
  <si>
    <r>
      <rPr>
        <sz val="6"/>
        <rFont val="ＭＳ Ｐゴシック"/>
        <family val="3"/>
      </rPr>
      <t>ESh5032</t>
    </r>
  </si>
  <si>
    <r>
      <rPr>
        <sz val="6"/>
        <rFont val="ＭＳ Ｐゴシック"/>
        <family val="3"/>
      </rPr>
      <t>（春）NB29811
（秋）NB29814</t>
    </r>
  </si>
  <si>
    <r>
      <rPr>
        <sz val="6"/>
        <rFont val="ＭＳ Ｐゴシック"/>
        <family val="3"/>
      </rPr>
      <t>ESh5044</t>
    </r>
  </si>
  <si>
    <r>
      <rPr>
        <sz val="6"/>
        <rFont val="ＭＳ Ｐゴシック"/>
        <family val="3"/>
      </rPr>
      <t>（春）NB29821
（秋）NB29824</t>
    </r>
  </si>
  <si>
    <r>
      <rPr>
        <sz val="6"/>
        <rFont val="ＭＳ Ｐゴシック"/>
        <family val="3"/>
      </rPr>
      <t>（春）NB29831
（秋）NB29834</t>
    </r>
  </si>
  <si>
    <r>
      <rPr>
        <sz val="6"/>
        <rFont val="ＭＳ Ｐゴシック"/>
        <family val="3"/>
      </rPr>
      <t>ESk5444</t>
    </r>
  </si>
  <si>
    <r>
      <rPr>
        <sz val="6"/>
        <rFont val="ＭＳ Ｐゴシック"/>
        <family val="3"/>
      </rPr>
      <t>ESk5563</t>
    </r>
  </si>
  <si>
    <r>
      <rPr>
        <b/>
        <sz val="6"/>
        <rFont val="ＭＳ Ｐゴシック"/>
        <family val="3"/>
      </rPr>
      <t>【専門科目】  数学教育分野</t>
    </r>
  </si>
  <si>
    <r>
      <rPr>
        <sz val="6"/>
        <rFont val="ＭＳ Ｐゴシック"/>
        <family val="3"/>
      </rPr>
      <t>梶原健，黒木学，今野紀雄，塩路直樹，竹居正登，本田淳史</t>
    </r>
  </si>
  <si>
    <r>
      <rPr>
        <sz val="6"/>
        <rFont val="ＭＳ Ｐゴシック"/>
        <family val="3"/>
      </rPr>
      <t>ESl5013</t>
    </r>
  </si>
  <si>
    <r>
      <rPr>
        <sz val="6"/>
        <rFont val="ＭＳ Ｐゴシック"/>
        <family val="3"/>
      </rPr>
      <t>ESl5011</t>
    </r>
  </si>
  <si>
    <r>
      <rPr>
        <sz val="6"/>
        <rFont val="ＭＳ Ｐゴシック"/>
        <family val="3"/>
      </rPr>
      <t>●</t>
    </r>
  </si>
  <si>
    <r>
      <rPr>
        <sz val="6"/>
        <rFont val="ＭＳ Ｐゴシック"/>
        <family val="3"/>
      </rPr>
      <t>（春）NC11901
（秋）NC11904</t>
    </r>
  </si>
  <si>
    <r>
      <rPr>
        <sz val="6"/>
        <rFont val="ＭＳ Ｐゴシック"/>
        <family val="3"/>
      </rPr>
      <t>ESl5014</t>
    </r>
  </si>
  <si>
    <r>
      <rPr>
        <sz val="6"/>
        <rFont val="ＭＳ Ｐゴシック"/>
        <family val="3"/>
      </rPr>
      <t>ESl4012</t>
    </r>
  </si>
  <si>
    <r>
      <rPr>
        <b/>
        <sz val="6"/>
        <rFont val="ＭＳ Ｐゴシック"/>
        <family val="3"/>
      </rPr>
      <t>【専門科目】  物理工学教育分野</t>
    </r>
  </si>
  <si>
    <r>
      <rPr>
        <sz val="6"/>
        <rFont val="ＭＳ Ｐゴシック"/>
        <family val="3"/>
      </rPr>
      <t>ESl5493</t>
    </r>
  </si>
  <si>
    <r>
      <rPr>
        <sz val="6"/>
        <rFont val="ＭＳ Ｐゴシック"/>
        <family val="3"/>
      </rPr>
      <t>首藤健一，大野真也</t>
    </r>
  </si>
  <si>
    <r>
      <rPr>
        <sz val="6"/>
        <rFont val="ＭＳ Ｐゴシック"/>
        <family val="3"/>
      </rPr>
      <t>ESl5443</t>
    </r>
  </si>
  <si>
    <r>
      <rPr>
        <sz val="6"/>
        <rFont val="ＭＳ Ｐゴシック"/>
        <family val="3"/>
      </rPr>
      <t>ESl5442</t>
    </r>
  </si>
  <si>
    <r>
      <rPr>
        <sz val="6"/>
        <rFont val="ＭＳ Ｐゴシック"/>
        <family val="3"/>
      </rPr>
      <t>ESl5446</t>
    </r>
  </si>
  <si>
    <r>
      <rPr>
        <sz val="6"/>
        <rFont val="ＭＳ Ｐゴシック"/>
        <family val="3"/>
      </rPr>
      <t>ESl5494</t>
    </r>
  </si>
  <si>
    <r>
      <rPr>
        <sz val="6"/>
        <rFont val="ＭＳ Ｐゴシック"/>
        <family val="3"/>
      </rPr>
      <t>速水賢</t>
    </r>
  </si>
  <si>
    <r>
      <rPr>
        <sz val="6"/>
        <rFont val="ＭＳ Ｐゴシック"/>
        <family val="3"/>
      </rPr>
      <t>梅原出，関谷隆夫，山本勲，石渡信吾，辻村真理枝</t>
    </r>
  </si>
  <si>
    <r>
      <rPr>
        <sz val="6"/>
        <rFont val="ＭＳ Ｐゴシック"/>
        <family val="3"/>
      </rPr>
      <t>ESl5022</t>
    </r>
  </si>
  <si>
    <r>
      <rPr>
        <sz val="6"/>
        <rFont val="ＭＳ Ｐゴシック"/>
        <family val="3"/>
      </rPr>
      <t>長谷川雅也</t>
    </r>
  </si>
  <si>
    <r>
      <rPr>
        <sz val="6"/>
        <rFont val="ＭＳ Ｐゴシック"/>
        <family val="3"/>
      </rPr>
      <t>ESl5491</t>
    </r>
  </si>
  <si>
    <r>
      <rPr>
        <sz val="6"/>
        <rFont val="ＭＳ Ｐゴシック"/>
        <family val="3"/>
      </rPr>
      <t>ESl5021</t>
    </r>
  </si>
  <si>
    <t>学府共通科目</t>
  </si>
  <si>
    <t>ESI4125</t>
    <phoneticPr fontId="5"/>
  </si>
  <si>
    <t>入学年度</t>
    <rPh sb="0" eb="2">
      <t>ニュウガク</t>
    </rPh>
    <rPh sb="2" eb="4">
      <t>ネンド</t>
    </rPh>
    <phoneticPr fontId="5"/>
  </si>
  <si>
    <t>使用言語に従う</t>
  </si>
  <si>
    <t>使用者情報</t>
    <rPh sb="0" eb="3">
      <t>シヨウシャ</t>
    </rPh>
    <rPh sb="3" eb="5">
      <t>ジョウホウ</t>
    </rPh>
    <phoneticPr fontId="5"/>
  </si>
  <si>
    <t>管理情報</t>
    <rPh sb="0" eb="2">
      <t>カンリ</t>
    </rPh>
    <rPh sb="2" eb="4">
      <t>ジョウホウ</t>
    </rPh>
    <phoneticPr fontId="5"/>
  </si>
  <si>
    <t>シラバス表示言語</t>
    <rPh sb="4" eb="6">
      <t>ヒョウジ</t>
    </rPh>
    <rPh sb="6" eb="8">
      <t>ゲンゴ</t>
    </rPh>
    <phoneticPr fontId="5"/>
  </si>
  <si>
    <t>理工学府MPBL</t>
  </si>
  <si>
    <t>N000011</t>
  </si>
  <si>
    <t>向井剛輝 、他</t>
  </si>
  <si>
    <t>令和2年度は開講しない</t>
  </si>
  <si>
    <t>Presentation English</t>
  </si>
  <si>
    <t>N00002A</t>
  </si>
  <si>
    <t>安藤吉隆</t>
  </si>
  <si>
    <t>秋</t>
  </si>
  <si>
    <t>月</t>
  </si>
  <si>
    <t>a クラス</t>
  </si>
  <si>
    <t>N00002B</t>
  </si>
  <si>
    <t>b クラス</t>
  </si>
  <si>
    <t>N00002C</t>
  </si>
  <si>
    <t>木</t>
  </si>
  <si>
    <t>c クラス</t>
  </si>
  <si>
    <t>N00002D</t>
  </si>
  <si>
    <t>d クラス</t>
  </si>
  <si>
    <t>N00002E</t>
  </si>
  <si>
    <t>e クラス</t>
  </si>
  <si>
    <t>N00002F</t>
  </si>
  <si>
    <t>f クラス</t>
  </si>
  <si>
    <t>N00002G</t>
  </si>
  <si>
    <t>稲田正俊</t>
  </si>
  <si>
    <t>g クラス</t>
  </si>
  <si>
    <t>N00002H</t>
  </si>
  <si>
    <t>h クラス</t>
  </si>
  <si>
    <t>N00002I</t>
  </si>
  <si>
    <t>萱葺正</t>
  </si>
  <si>
    <t>i クラス</t>
  </si>
  <si>
    <t>N00002J</t>
  </si>
  <si>
    <t>j クラス</t>
  </si>
  <si>
    <t>N00002K</t>
  </si>
  <si>
    <t>k クラス</t>
  </si>
  <si>
    <t>イノベーションと起業Ⅱ</t>
  </si>
  <si>
    <t>N000064</t>
  </si>
  <si>
    <t>大塚和弘 、他</t>
  </si>
  <si>
    <t>集中</t>
  </si>
  <si>
    <t>プロジェクトマネジメントⅠ</t>
  </si>
  <si>
    <t>N000071</t>
  </si>
  <si>
    <t>岡埜谷正裕</t>
  </si>
  <si>
    <t>金</t>
  </si>
  <si>
    <t>3・4</t>
  </si>
  <si>
    <t>隔週開講 （初回講義日：未定）</t>
  </si>
  <si>
    <t>プロジェクトマネジメントⅡ</t>
  </si>
  <si>
    <t>N000081</t>
  </si>
  <si>
    <t>Professional Ethics in EU＆US</t>
  </si>
  <si>
    <t>N000111</t>
  </si>
  <si>
    <t>北川達夫 、他</t>
  </si>
  <si>
    <t>グローバル企業における効果的な事業計画策定</t>
  </si>
  <si>
    <t>N000121</t>
  </si>
  <si>
    <t>藤岡健介</t>
  </si>
  <si>
    <t>春</t>
  </si>
  <si>
    <t>グローバルスタンダードの次世代ビジネススキル</t>
  </si>
  <si>
    <t>N000131</t>
  </si>
  <si>
    <t>山口博</t>
  </si>
  <si>
    <t>隔週開講 （初回講義日：5月15日）</t>
  </si>
  <si>
    <t>イノベーションと課題発見Ⅰ</t>
  </si>
  <si>
    <t>N000141</t>
  </si>
  <si>
    <t>第４ターム</t>
  </si>
  <si>
    <t>4・5</t>
  </si>
  <si>
    <t>イノベーションと課題発見Ⅱ</t>
  </si>
  <si>
    <t>N000151</t>
  </si>
  <si>
    <t>第５ターム</t>
  </si>
  <si>
    <t>標準化とビジネス</t>
  </si>
  <si>
    <t>N000161</t>
  </si>
  <si>
    <t>江藤学 、他</t>
  </si>
  <si>
    <t>神奈川県の取り組む技術課題</t>
  </si>
  <si>
    <t>N000171</t>
  </si>
  <si>
    <t>為近恵美</t>
  </si>
  <si>
    <t>理工学府海外インターンシップ</t>
  </si>
  <si>
    <t>（春）N009811</t>
  </si>
  <si>
    <t>市毛弘一</t>
  </si>
  <si>
    <t>（秋）N009814</t>
  </si>
  <si>
    <t>数値流体工学</t>
  </si>
  <si>
    <t>NA10011</t>
  </si>
  <si>
    <t>松井純</t>
  </si>
  <si>
    <t>乱流現象論</t>
  </si>
  <si>
    <t>NA10024</t>
  </si>
  <si>
    <t>西野耕一</t>
  </si>
  <si>
    <t>光・電子材料学概論</t>
  </si>
  <si>
    <t>NA20014</t>
  </si>
  <si>
    <t>向井剛輝</t>
  </si>
  <si>
    <t>多機能性複合材料概論</t>
  </si>
  <si>
    <t>NA20024</t>
  </si>
  <si>
    <t>中尾航</t>
  </si>
  <si>
    <t>波浪と船体運動</t>
  </si>
  <si>
    <t>NA30014</t>
  </si>
  <si>
    <t>平川嘉昭</t>
  </si>
  <si>
    <t>海洋資源エネルギー工学入門</t>
  </si>
  <si>
    <t>NA30024</t>
  </si>
  <si>
    <t>西佳樹</t>
  </si>
  <si>
    <t>分子統計力学</t>
  </si>
  <si>
    <t>NB10014</t>
  </si>
  <si>
    <t>迫村勝</t>
  </si>
  <si>
    <t>偶数年度は開講しない</t>
  </si>
  <si>
    <t>量子反応論</t>
  </si>
  <si>
    <t>NB10021</t>
  </si>
  <si>
    <t>佐藤浩太</t>
  </si>
  <si>
    <t>触媒化学</t>
  </si>
  <si>
    <t>NB10031</t>
  </si>
  <si>
    <t>窪田好浩</t>
  </si>
  <si>
    <t>高分子設計学</t>
  </si>
  <si>
    <t>NB10044</t>
  </si>
  <si>
    <t>大山俊幸</t>
  </si>
  <si>
    <t>微生物応用学</t>
  </si>
  <si>
    <t>NB10064</t>
  </si>
  <si>
    <t>菊池慶実</t>
  </si>
  <si>
    <t>先端機器分析特論</t>
  </si>
  <si>
    <t>NB10074</t>
  </si>
  <si>
    <t>谷村誠</t>
  </si>
  <si>
    <t>固体化学</t>
  </si>
  <si>
    <t>NB10254</t>
  </si>
  <si>
    <t>藪内直明</t>
  </si>
  <si>
    <t>プロセス計測学</t>
  </si>
  <si>
    <t>NB20011</t>
  </si>
  <si>
    <t>岡崎慎司</t>
  </si>
  <si>
    <t>伝熱工学特論</t>
  </si>
  <si>
    <t>NB20024</t>
  </si>
  <si>
    <t>奥山邦人</t>
  </si>
  <si>
    <t>移動現象特論</t>
  </si>
  <si>
    <t>NB20031</t>
  </si>
  <si>
    <t>相原雅彦</t>
  </si>
  <si>
    <t>先端燃料電池技術</t>
  </si>
  <si>
    <t>NB20043</t>
  </si>
  <si>
    <t>光島重徳 、他</t>
  </si>
  <si>
    <t>第３ターム</t>
  </si>
  <si>
    <t>数理科学 代数</t>
  </si>
  <si>
    <t>NC10014</t>
  </si>
  <si>
    <t>梶原健</t>
  </si>
  <si>
    <t>数理科学 幾何</t>
  </si>
  <si>
    <t>NC10021</t>
  </si>
  <si>
    <t>本田淳史</t>
  </si>
  <si>
    <t>数理科学 解析</t>
  </si>
  <si>
    <t>NC10031</t>
  </si>
  <si>
    <t>塩路直樹</t>
  </si>
  <si>
    <t>数理科学 確率・統計</t>
  </si>
  <si>
    <t>NC10044</t>
  </si>
  <si>
    <t>竹居正登</t>
  </si>
  <si>
    <t>数理科学 データ・サイエンス</t>
  </si>
  <si>
    <t>NC10051</t>
  </si>
  <si>
    <t>黒木学</t>
  </si>
  <si>
    <t>量子統計力学</t>
  </si>
  <si>
    <t>NC20011</t>
  </si>
  <si>
    <t>蔵本哲治</t>
  </si>
  <si>
    <t>ナノ物性物理科学</t>
  </si>
  <si>
    <t>NC20021</t>
  </si>
  <si>
    <t>一柳優子 、他</t>
  </si>
  <si>
    <t>磁気科学概論</t>
  </si>
  <si>
    <t>NC20031</t>
  </si>
  <si>
    <t>上原政智 、他</t>
  </si>
  <si>
    <t>低温物理学</t>
  </si>
  <si>
    <t>NC20044</t>
  </si>
  <si>
    <t>島津佳弘</t>
  </si>
  <si>
    <t>宇宙素粒子物理学概論</t>
  </si>
  <si>
    <t>NC20051</t>
  </si>
  <si>
    <t>中村正吾</t>
  </si>
  <si>
    <t>プラズマ物理</t>
  </si>
  <si>
    <t>NC20064</t>
  </si>
  <si>
    <t>津嶋晴</t>
  </si>
  <si>
    <t>エネルギーシステム論</t>
  </si>
  <si>
    <t>NC30014</t>
  </si>
  <si>
    <t>藤井康正 、他</t>
  </si>
  <si>
    <t>信号理論</t>
  </si>
  <si>
    <t>NC30024</t>
  </si>
  <si>
    <t>庄木裕樹</t>
  </si>
  <si>
    <t>アドバンストディジタル通信</t>
  </si>
  <si>
    <t>NC30034</t>
  </si>
  <si>
    <t>河野隆二</t>
  </si>
  <si>
    <t>VLSIシステム設計</t>
  </si>
  <si>
    <t>NC30041</t>
  </si>
  <si>
    <t>吉川信行</t>
  </si>
  <si>
    <t>先端エレクトロニクス製品アーキテクチャ講座</t>
  </si>
  <si>
    <t>NC30054</t>
  </si>
  <si>
    <t>知能システム論</t>
  </si>
  <si>
    <t>NC30064</t>
  </si>
  <si>
    <t>濱上知樹</t>
  </si>
  <si>
    <t>マテリアルインテグレーション</t>
  </si>
  <si>
    <t>NC30071</t>
  </si>
  <si>
    <t>松木武雄</t>
  </si>
  <si>
    <t>強度設計特論</t>
  </si>
  <si>
    <t>NA10031</t>
  </si>
  <si>
    <t>于強</t>
  </si>
  <si>
    <t>システムモデリングと制御</t>
  </si>
  <si>
    <t>NA10054</t>
  </si>
  <si>
    <t>眞田一志</t>
  </si>
  <si>
    <t>反応性気体力学</t>
  </si>
  <si>
    <t>NA10064</t>
  </si>
  <si>
    <t>石井一洋</t>
  </si>
  <si>
    <t>宇宙推進工学</t>
  </si>
  <si>
    <t>NA10074</t>
  </si>
  <si>
    <t>鷹尾祥典</t>
  </si>
  <si>
    <t>結晶の変形・破壊幾何学</t>
  </si>
  <si>
    <t>NA20031</t>
  </si>
  <si>
    <t>梅澤修</t>
  </si>
  <si>
    <t>第１ターム</t>
  </si>
  <si>
    <t>1・2</t>
  </si>
  <si>
    <t>成形加工学</t>
  </si>
  <si>
    <t>NA20041</t>
  </si>
  <si>
    <t>前野智美</t>
  </si>
  <si>
    <t>数値流体解析演習</t>
  </si>
  <si>
    <t>NA30034</t>
  </si>
  <si>
    <t>日野孝則</t>
  </si>
  <si>
    <t>数値構造解析演習</t>
  </si>
  <si>
    <t>NA30041</t>
  </si>
  <si>
    <t>川村恭己</t>
  </si>
  <si>
    <t>乱流工学概論</t>
  </si>
  <si>
    <t>NA30051</t>
  </si>
  <si>
    <t>髙木洋平</t>
  </si>
  <si>
    <t>航空宇宙利用工学</t>
  </si>
  <si>
    <t>NA30061</t>
  </si>
  <si>
    <t>樋口丈浩</t>
  </si>
  <si>
    <t>メカトロニクスデザイン</t>
  </si>
  <si>
    <t>NA10084</t>
  </si>
  <si>
    <t>佐藤恭一</t>
  </si>
  <si>
    <t>高速機械加工論</t>
  </si>
  <si>
    <t>NA10091</t>
  </si>
  <si>
    <t>篠塚淳</t>
  </si>
  <si>
    <t>破壊強度学</t>
  </si>
  <si>
    <t>NA10104</t>
  </si>
  <si>
    <t>秋庭義明</t>
  </si>
  <si>
    <t>希薄気体力学</t>
  </si>
  <si>
    <t>NA10111</t>
  </si>
  <si>
    <t>松本裕昭</t>
  </si>
  <si>
    <t>アドバンスト ロボティクス</t>
  </si>
  <si>
    <t>NA10121</t>
  </si>
  <si>
    <t>杉内肇</t>
  </si>
  <si>
    <t>知能ロボットエージェント</t>
  </si>
  <si>
    <t>NA10131</t>
  </si>
  <si>
    <t>前田雄介</t>
  </si>
  <si>
    <t>連続体力学</t>
  </si>
  <si>
    <t>NA10144</t>
  </si>
  <si>
    <t>尾崎伸吾</t>
  </si>
  <si>
    <t>応用流体力学</t>
  </si>
  <si>
    <t>NA10154</t>
  </si>
  <si>
    <t>百武徹</t>
  </si>
  <si>
    <t>アクチュエータ設計論</t>
  </si>
  <si>
    <t>NA10164</t>
  </si>
  <si>
    <t>渕脇大海</t>
  </si>
  <si>
    <t>マイクロマシン工学</t>
  </si>
  <si>
    <t>NA10174</t>
  </si>
  <si>
    <t>丸尾昭二</t>
  </si>
  <si>
    <t>複合伝熱論</t>
  </si>
  <si>
    <t>NA10184</t>
  </si>
  <si>
    <t>酒井清吾</t>
  </si>
  <si>
    <t>応用熱流体工学</t>
  </si>
  <si>
    <t>NA10194</t>
  </si>
  <si>
    <t>荒木拓人</t>
  </si>
  <si>
    <t>サイバーロボティクス</t>
  </si>
  <si>
    <t>NA10204</t>
  </si>
  <si>
    <t>加藤龍</t>
  </si>
  <si>
    <t>センシング工学</t>
  </si>
  <si>
    <t>NA10214</t>
  </si>
  <si>
    <t>太田裕貴</t>
  </si>
  <si>
    <t>圧縮性流体力学</t>
  </si>
  <si>
    <t>NA10221</t>
  </si>
  <si>
    <t>北村圭一</t>
  </si>
  <si>
    <t>エネルギー機械システム設計</t>
  </si>
  <si>
    <t>NA10231</t>
  </si>
  <si>
    <t>加幡安雄 、他</t>
  </si>
  <si>
    <t>機械工学演習A</t>
  </si>
  <si>
    <t>（春）NA11101</t>
  </si>
  <si>
    <t>機械工学教育分野各担当教員</t>
  </si>
  <si>
    <t>（秋）NA11104</t>
  </si>
  <si>
    <t>機械工学演習B</t>
  </si>
  <si>
    <t>（春）NA11201</t>
  </si>
  <si>
    <t>（秋）NA11204</t>
  </si>
  <si>
    <t>機械工学演習C</t>
  </si>
  <si>
    <t>（春）NA11301</t>
  </si>
  <si>
    <t>（秋）NA11304</t>
  </si>
  <si>
    <t>機械工学演習D</t>
  </si>
  <si>
    <t>（春）NA11401</t>
  </si>
  <si>
    <t>（秋）NA11404</t>
  </si>
  <si>
    <t>機械工学インターンシップL</t>
  </si>
  <si>
    <t>（春）NA19811</t>
  </si>
  <si>
    <t>（秋）NA19814</t>
  </si>
  <si>
    <t>機械工学インターンシップM</t>
  </si>
  <si>
    <t>（春）NA19821</t>
  </si>
  <si>
    <t>（秋）NA19824</t>
  </si>
  <si>
    <t>機械工学インターンシップS</t>
  </si>
  <si>
    <t>（春）NA19831</t>
  </si>
  <si>
    <t>（秋）NA19834</t>
  </si>
  <si>
    <t>拡散変態特論</t>
  </si>
  <si>
    <t>NA20051</t>
  </si>
  <si>
    <t>廣澤渉一</t>
  </si>
  <si>
    <t>固体物性学</t>
  </si>
  <si>
    <t>NA20064</t>
  </si>
  <si>
    <t>中津川博</t>
  </si>
  <si>
    <t>先端材料工学特論</t>
  </si>
  <si>
    <t>NA20074</t>
  </si>
  <si>
    <t>梅澤修 、他</t>
  </si>
  <si>
    <t>高温構造材料設計工学</t>
  </si>
  <si>
    <t>NA20084</t>
  </si>
  <si>
    <t>戸田佳明</t>
  </si>
  <si>
    <t>材料組織計算学</t>
  </si>
  <si>
    <t>NA20094</t>
  </si>
  <si>
    <t>下野昌人</t>
  </si>
  <si>
    <t>材料強度・破壊力学特論</t>
  </si>
  <si>
    <t>NA20111</t>
  </si>
  <si>
    <t>長谷川誠</t>
  </si>
  <si>
    <t>ナノ材料工学概論</t>
  </si>
  <si>
    <t>NA20124</t>
  </si>
  <si>
    <t>大竹充</t>
  </si>
  <si>
    <t>構造材料特論</t>
  </si>
  <si>
    <t>NA20134</t>
  </si>
  <si>
    <t>後藤聡太 、他</t>
  </si>
  <si>
    <t>材料工学演習A</t>
  </si>
  <si>
    <t>（春）NA21101</t>
  </si>
  <si>
    <t>（秋）NA21104</t>
  </si>
  <si>
    <t>材料工学演習B</t>
  </si>
  <si>
    <t>（春）NA21201</t>
  </si>
  <si>
    <t>（秋）NA21204</t>
  </si>
  <si>
    <t>材料工学演習C</t>
  </si>
  <si>
    <t>（春）NA21301</t>
  </si>
  <si>
    <t>（秋）NA21304</t>
  </si>
  <si>
    <t>材料工学演習D</t>
  </si>
  <si>
    <t>（春）NA21401</t>
  </si>
  <si>
    <t>（秋）NA21404</t>
  </si>
  <si>
    <t>材料工学インターンシップL</t>
  </si>
  <si>
    <t>（春）NA29811</t>
  </si>
  <si>
    <t>（秋）NA29814</t>
  </si>
  <si>
    <t>材料工学インターンシップM</t>
  </si>
  <si>
    <t>（春）NA29821</t>
  </si>
  <si>
    <t>（秋）NA29824</t>
  </si>
  <si>
    <t>材料工学インターンシップS</t>
  </si>
  <si>
    <t>（春）NA29831</t>
  </si>
  <si>
    <t>（秋）NA29834</t>
  </si>
  <si>
    <t>船舶海洋構造設計学</t>
  </si>
  <si>
    <t>NA30071</t>
  </si>
  <si>
    <t>岡田哲男</t>
  </si>
  <si>
    <t>浮体運動工学</t>
  </si>
  <si>
    <t>NA30084</t>
  </si>
  <si>
    <t>村井基彦</t>
  </si>
  <si>
    <t>海洋開発工学</t>
  </si>
  <si>
    <t>NA30091</t>
  </si>
  <si>
    <t>加藤俊司 、他</t>
  </si>
  <si>
    <t>海上交通安全工学</t>
  </si>
  <si>
    <t>NA30101</t>
  </si>
  <si>
    <t>伊藤博子</t>
  </si>
  <si>
    <t>リスクベースによる規則制定手法</t>
  </si>
  <si>
    <t>NA30114</t>
  </si>
  <si>
    <t>吉田公一 、他</t>
  </si>
  <si>
    <t>海洋産業特論</t>
  </si>
  <si>
    <t>NA30121</t>
  </si>
  <si>
    <t>高品純志</t>
  </si>
  <si>
    <t>Special Lecture on Ocean and Space Engineering A</t>
  </si>
  <si>
    <t>（春）NA30131</t>
  </si>
  <si>
    <t>上野誠也 、他</t>
  </si>
  <si>
    <t>-</t>
  </si>
  <si>
    <t>（秋）NA30134</t>
  </si>
  <si>
    <t>Special Lecture on Ocean and Space Engineering B</t>
  </si>
  <si>
    <t>（春）NA30141</t>
  </si>
  <si>
    <t>（秋）NA30144</t>
  </si>
  <si>
    <t>Special Lecture on Ocean and Space Engineering C</t>
  </si>
  <si>
    <t>（春）NA30151</t>
  </si>
  <si>
    <t>（秋）NA30154</t>
  </si>
  <si>
    <t>Special Lecture on Ocean and Space Engineering D</t>
  </si>
  <si>
    <t>（春）NA30161</t>
  </si>
  <si>
    <t>（秋）NA30164</t>
  </si>
  <si>
    <t>日伯特別講義A</t>
  </si>
  <si>
    <t>NA30171</t>
  </si>
  <si>
    <t>村井基彦 、他</t>
  </si>
  <si>
    <t>日伯特別講義B</t>
  </si>
  <si>
    <t>NA30181</t>
  </si>
  <si>
    <t>日伯特別講義C</t>
  </si>
  <si>
    <t>NA30194</t>
  </si>
  <si>
    <t>日伯特別講義D</t>
  </si>
  <si>
    <t>NA30204</t>
  </si>
  <si>
    <t>宇宙航行体軌道論</t>
  </si>
  <si>
    <t>NA30214</t>
  </si>
  <si>
    <t>上野誠也</t>
  </si>
  <si>
    <t>航空機空力設計論</t>
  </si>
  <si>
    <t>NA30224</t>
  </si>
  <si>
    <t>宮路幸二</t>
  </si>
  <si>
    <t>宇宙環境利用科学</t>
  </si>
  <si>
    <t>NA30231</t>
  </si>
  <si>
    <t>夏井坂誠</t>
  </si>
  <si>
    <t>宇宙機システム学特論</t>
  </si>
  <si>
    <t>NA30241</t>
  </si>
  <si>
    <t>伊東康之</t>
  </si>
  <si>
    <t>船舶設計システム工学論</t>
  </si>
  <si>
    <t>NA30254</t>
  </si>
  <si>
    <t>満行泰河</t>
  </si>
  <si>
    <t>海洋宇宙システム工学演習A</t>
  </si>
  <si>
    <t>（春）NA31101</t>
  </si>
  <si>
    <t>海洋空間教育分野各担当教員 、他</t>
  </si>
  <si>
    <t>（秋）NA31104</t>
  </si>
  <si>
    <t>海洋宇宙システム工学演習B</t>
  </si>
  <si>
    <t>（春）NA31201</t>
  </si>
  <si>
    <t>（秋）NA31204</t>
  </si>
  <si>
    <t>海洋空間システムデザイン演習C</t>
  </si>
  <si>
    <t>（春）NA31301</t>
  </si>
  <si>
    <t>海洋空間教育分野各担当教員</t>
  </si>
  <si>
    <t>（秋）NA31304</t>
  </si>
  <si>
    <t>海洋空間システムデザイン演習D</t>
  </si>
  <si>
    <t>（春）NA31401</t>
  </si>
  <si>
    <t>（秋）NA31404</t>
  </si>
  <si>
    <t>海洋宇宙システム工学学外演習</t>
  </si>
  <si>
    <t>（春）NA31501</t>
  </si>
  <si>
    <t>（秋）NA31504</t>
  </si>
  <si>
    <t>海洋宇宙システム工学海外特別研修</t>
  </si>
  <si>
    <t>（春）NA31601</t>
  </si>
  <si>
    <t>（秋）NA31604</t>
  </si>
  <si>
    <t>海洋空間実践演習</t>
  </si>
  <si>
    <t>（春）NA31701</t>
  </si>
  <si>
    <t>（秋）NA31704</t>
  </si>
  <si>
    <t>海洋宇宙システム工学実践演習</t>
  </si>
  <si>
    <t>（春）NA31801</t>
  </si>
  <si>
    <t>（秋）NA31804</t>
  </si>
  <si>
    <t>海洋宇宙システム工学インターンシップL</t>
  </si>
  <si>
    <t>（春）NA39811</t>
  </si>
  <si>
    <t>（秋）NA39814</t>
  </si>
  <si>
    <t>海洋宇宙システム工学インターンシップM</t>
  </si>
  <si>
    <t>（春）NA39821</t>
  </si>
  <si>
    <t>（秋）NA39824</t>
  </si>
  <si>
    <t>海洋宇宙システム工学インターンシップS</t>
  </si>
  <si>
    <t>（春）NA39831</t>
  </si>
  <si>
    <t>（秋）NA39834</t>
  </si>
  <si>
    <t>航空宇宙工学演習C</t>
  </si>
  <si>
    <t>（春）NA41101</t>
  </si>
  <si>
    <t>航空宇宙工学教育分野各担当教員</t>
  </si>
  <si>
    <t>（秋）NA41104</t>
  </si>
  <si>
    <t>航空宇宙工学演習D</t>
  </si>
  <si>
    <t>（春）NA41201</t>
  </si>
  <si>
    <t>（秋）NA41204</t>
  </si>
  <si>
    <t>光物理化学</t>
  </si>
  <si>
    <t>NB10081</t>
  </si>
  <si>
    <t>菊地あづさ</t>
  </si>
  <si>
    <t>生物物理化学</t>
  </si>
  <si>
    <t>NB10091</t>
  </si>
  <si>
    <t>川村出</t>
  </si>
  <si>
    <t>金属錯体化学</t>
  </si>
  <si>
    <t>NB10104</t>
  </si>
  <si>
    <t>山口佳隆</t>
  </si>
  <si>
    <t>PSDキャリアデザイン特論</t>
  </si>
  <si>
    <t>NB10111</t>
  </si>
  <si>
    <t>半沢宏之 、他</t>
  </si>
  <si>
    <t>電子移動の化学</t>
  </si>
  <si>
    <t>NB10124</t>
  </si>
  <si>
    <t>獨古薫 、他</t>
  </si>
  <si>
    <t>電気化学特論</t>
  </si>
  <si>
    <t>NB10134</t>
  </si>
  <si>
    <t>獨古薫</t>
  </si>
  <si>
    <t>触媒反応工学</t>
  </si>
  <si>
    <t>NB10141</t>
  </si>
  <si>
    <t>稲垣怜史</t>
  </si>
  <si>
    <t>エネルギー化学概論</t>
  </si>
  <si>
    <t>NB20051</t>
  </si>
  <si>
    <t>エネルギー変換材料</t>
  </si>
  <si>
    <t>NB20064</t>
  </si>
  <si>
    <t>松澤幸一</t>
  </si>
  <si>
    <t>遺伝情報機能科学</t>
  </si>
  <si>
    <t>NB20071</t>
  </si>
  <si>
    <t>栗原靖之</t>
  </si>
  <si>
    <t>力学機能材料学</t>
  </si>
  <si>
    <t>NB20084</t>
  </si>
  <si>
    <t>高橋宏治</t>
  </si>
  <si>
    <t>環境分離工学</t>
  </si>
  <si>
    <t>NB20104</t>
  </si>
  <si>
    <t>中村一穂 、他</t>
  </si>
  <si>
    <t>エネルギーバリューチェーンシステム概論</t>
  </si>
  <si>
    <t>NB20114</t>
  </si>
  <si>
    <t>麦倉良啓</t>
  </si>
  <si>
    <t>燃料電池工学</t>
  </si>
  <si>
    <t>NB20124</t>
  </si>
  <si>
    <t>森田寛</t>
  </si>
  <si>
    <t>セラミックスエネルギー工学</t>
  </si>
  <si>
    <t>NB20131</t>
  </si>
  <si>
    <t>山本融</t>
  </si>
  <si>
    <t>調整中</t>
  </si>
  <si>
    <t>発生工学</t>
  </si>
  <si>
    <t>NB20141</t>
  </si>
  <si>
    <t>鈴木敦</t>
  </si>
  <si>
    <t>有機電気化学特論</t>
  </si>
  <si>
    <t>NB10151</t>
  </si>
  <si>
    <t>跡部真人</t>
  </si>
  <si>
    <t>インターエレメント結合の化学</t>
  </si>
  <si>
    <t>NB10161</t>
  </si>
  <si>
    <t>湊盟</t>
  </si>
  <si>
    <t>光材料化学</t>
  </si>
  <si>
    <t>NB10171</t>
  </si>
  <si>
    <t>生方俊</t>
  </si>
  <si>
    <t>セラミックス材料工学</t>
  </si>
  <si>
    <t>NB10184</t>
  </si>
  <si>
    <t>多々見純一</t>
  </si>
  <si>
    <t>粉体材料プロセス工学</t>
  </si>
  <si>
    <t>NB10194</t>
  </si>
  <si>
    <t>飯島志行</t>
  </si>
  <si>
    <t>物理有機化学特論</t>
  </si>
  <si>
    <t>NB10201</t>
  </si>
  <si>
    <t>五東弘昭</t>
  </si>
  <si>
    <t>構造生物学</t>
  </si>
  <si>
    <t>NB10214</t>
  </si>
  <si>
    <t>児嶋長次郎</t>
  </si>
  <si>
    <t>生物宇宙地球化学</t>
  </si>
  <si>
    <t>NB10221</t>
  </si>
  <si>
    <t>癸生川陽子</t>
  </si>
  <si>
    <t>化学反応動力学</t>
  </si>
  <si>
    <t>NB10231</t>
  </si>
  <si>
    <t>關金一</t>
  </si>
  <si>
    <t>精密有機合成化学</t>
  </si>
  <si>
    <t>NB10241</t>
  </si>
  <si>
    <t>伊藤傑</t>
  </si>
  <si>
    <t>化学演習S</t>
  </si>
  <si>
    <t>NB11101</t>
  </si>
  <si>
    <t>化学教育分野各担当教員</t>
  </si>
  <si>
    <t>化学演習F</t>
  </si>
  <si>
    <t>NB11204</t>
  </si>
  <si>
    <t>化学PSD演習S</t>
  </si>
  <si>
    <t>NB11301</t>
  </si>
  <si>
    <t>化学PSD演習F</t>
  </si>
  <si>
    <t>NB11404</t>
  </si>
  <si>
    <t>化学PSD特別実験</t>
  </si>
  <si>
    <t>NB11504</t>
  </si>
  <si>
    <t>化学PSD学外実習</t>
  </si>
  <si>
    <t>NB11601</t>
  </si>
  <si>
    <t>NB11604</t>
  </si>
  <si>
    <t>化学PSDプレゼンテーション実習</t>
  </si>
  <si>
    <t>NB11701</t>
  </si>
  <si>
    <t>化学TED演習S</t>
  </si>
  <si>
    <t>NB11801</t>
  </si>
  <si>
    <t>応用化学教育分野各担当教員</t>
  </si>
  <si>
    <t>化学TED演習F</t>
  </si>
  <si>
    <t>NB11904</t>
  </si>
  <si>
    <t>化学TED特別実験</t>
  </si>
  <si>
    <t>NB12004</t>
  </si>
  <si>
    <t>化学TED学外実習</t>
  </si>
  <si>
    <t>NB12101</t>
  </si>
  <si>
    <t>NB12104</t>
  </si>
  <si>
    <t>化学TEDプレゼンテーション実習</t>
  </si>
  <si>
    <t>NB12201</t>
  </si>
  <si>
    <t>エネルギー化学演習BS</t>
  </si>
  <si>
    <t>NB12301</t>
  </si>
  <si>
    <t>跡部真人 、他</t>
  </si>
  <si>
    <t>エネルギー化学演習BF</t>
  </si>
  <si>
    <t>NB12404</t>
  </si>
  <si>
    <t>化学インターンシップL</t>
  </si>
  <si>
    <t>（春）NB19811</t>
  </si>
  <si>
    <t>（秋）NB19814</t>
  </si>
  <si>
    <t>化学インターンシップM</t>
  </si>
  <si>
    <t>（春）NB19821</t>
  </si>
  <si>
    <t>（秋）NB19824</t>
  </si>
  <si>
    <t>化学インターンシップS</t>
  </si>
  <si>
    <t>（春）NB19831</t>
  </si>
  <si>
    <t>（秋）NB19834</t>
  </si>
  <si>
    <t>化学海外インターンシップL</t>
  </si>
  <si>
    <t>（春）NB19841</t>
  </si>
  <si>
    <t>（秋）NB19844</t>
  </si>
  <si>
    <t>化学海外インターンシップM</t>
  </si>
  <si>
    <t>（春）NB19851</t>
  </si>
  <si>
    <t>（秋）NB19854</t>
  </si>
  <si>
    <t>化学海外インターンシップS</t>
  </si>
  <si>
    <t>（春）NB19861</t>
  </si>
  <si>
    <t>（秋）NB19864</t>
  </si>
  <si>
    <t>リスク分析論</t>
  </si>
  <si>
    <t>NB20151</t>
  </si>
  <si>
    <t>陶山貢市 、他</t>
  </si>
  <si>
    <t>技術者リカレント教育論</t>
  </si>
  <si>
    <t>NB20164</t>
  </si>
  <si>
    <t>ミキシング化学工学</t>
  </si>
  <si>
    <t>NB20284</t>
  </si>
  <si>
    <t>三角隆太</t>
  </si>
  <si>
    <t>素材生産工学</t>
  </si>
  <si>
    <t>NB20181</t>
  </si>
  <si>
    <t>羽深等</t>
  </si>
  <si>
    <t>微生物バイオテクノロジー</t>
  </si>
  <si>
    <t>NB20191</t>
  </si>
  <si>
    <t>武田穣</t>
  </si>
  <si>
    <t>医工学</t>
  </si>
  <si>
    <t>NB20204</t>
  </si>
  <si>
    <t>福田淳二 、他</t>
  </si>
  <si>
    <t>技術開発と社会</t>
  </si>
  <si>
    <t>NB20214</t>
  </si>
  <si>
    <t>環境物理化学</t>
  </si>
  <si>
    <t>NB20221</t>
  </si>
  <si>
    <t>吉武英昭</t>
  </si>
  <si>
    <t>化学応用・バイオPBL</t>
  </si>
  <si>
    <t>NB20231</t>
  </si>
  <si>
    <t>化学応用・バイオ教育分野各担当教員 、他</t>
  </si>
  <si>
    <t>化学プロセス・シミュレーション</t>
  </si>
  <si>
    <t>NB20241</t>
  </si>
  <si>
    <t>山本博志</t>
  </si>
  <si>
    <t>機能性材料学</t>
  </si>
  <si>
    <t>NB20254</t>
  </si>
  <si>
    <t>金井俊光</t>
  </si>
  <si>
    <t>細胞組織工学</t>
  </si>
  <si>
    <t>NB20261</t>
  </si>
  <si>
    <t>福田淳二</t>
  </si>
  <si>
    <t>機械装置材料工学</t>
  </si>
  <si>
    <t>NB20271</t>
  </si>
  <si>
    <t>化学応用・バイオ演習A</t>
  </si>
  <si>
    <t>NB21101</t>
  </si>
  <si>
    <t>化学応用・バイオ演習B</t>
  </si>
  <si>
    <t>NB21204</t>
  </si>
  <si>
    <t>化学応用・バイオ演習C</t>
  </si>
  <si>
    <t>NB21301</t>
  </si>
  <si>
    <t>奥山邦人 、他</t>
  </si>
  <si>
    <t>化学応用・バイオ演習D</t>
  </si>
  <si>
    <t>NB21404</t>
  </si>
  <si>
    <t>化学応用・バイオ特別実験</t>
  </si>
  <si>
    <t>NB21504</t>
  </si>
  <si>
    <t>化学応用・バイオ学外実習</t>
  </si>
  <si>
    <t>NB21601</t>
  </si>
  <si>
    <t>エネルギー化学演習AS</t>
  </si>
  <si>
    <t>NB21701</t>
  </si>
  <si>
    <t>岡崎慎司 、他</t>
  </si>
  <si>
    <t>エネルギー化学演習AF</t>
  </si>
  <si>
    <t>NB21804</t>
  </si>
  <si>
    <t>化学応用・バイオインターンシップL</t>
  </si>
  <si>
    <t>（春）NB29811</t>
  </si>
  <si>
    <t>（秋）NB29814</t>
  </si>
  <si>
    <t>化学応用・バイオインターンシップM</t>
  </si>
  <si>
    <t>（春）NB29821</t>
  </si>
  <si>
    <t>（秋）NB29824</t>
  </si>
  <si>
    <t>化学応用・バイオインターンシップS</t>
  </si>
  <si>
    <t>（春）NB29831</t>
  </si>
  <si>
    <t>（秋）NB29834</t>
  </si>
  <si>
    <t>先進数理科学 代数</t>
  </si>
  <si>
    <t>NC10064</t>
  </si>
  <si>
    <t>先進数理科学 幾何</t>
  </si>
  <si>
    <t>NC10071</t>
  </si>
  <si>
    <t>先進数理科学 解析</t>
  </si>
  <si>
    <t>NC10081</t>
  </si>
  <si>
    <t>先進数理科学 確率A</t>
  </si>
  <si>
    <t>NC10091</t>
  </si>
  <si>
    <t>今野紀雄</t>
  </si>
  <si>
    <t>先進数理科学 確率B</t>
  </si>
  <si>
    <t>NC10104</t>
  </si>
  <si>
    <t>先進数理科学 統計</t>
  </si>
  <si>
    <t>NC10114</t>
  </si>
  <si>
    <t>量子情報物理学概論</t>
  </si>
  <si>
    <t>NC20071</t>
  </si>
  <si>
    <t>小坂英男 、他</t>
  </si>
  <si>
    <t>先端レーザー分光学概論</t>
  </si>
  <si>
    <t>NC20084</t>
  </si>
  <si>
    <t>武田淳 、他</t>
  </si>
  <si>
    <t>精密レーザー分光概論</t>
  </si>
  <si>
    <t>NC20091</t>
  </si>
  <si>
    <t>洪鋒雷</t>
  </si>
  <si>
    <t>多体電子論</t>
  </si>
  <si>
    <t>NC20101</t>
  </si>
  <si>
    <t>大野かおる 、他</t>
  </si>
  <si>
    <t>ニュートリノ物理学概論</t>
  </si>
  <si>
    <t>NC20114</t>
  </si>
  <si>
    <t>南野彰宏</t>
  </si>
  <si>
    <t>物性物理概論</t>
  </si>
  <si>
    <t>NC20214</t>
  </si>
  <si>
    <t>那須譲治</t>
  </si>
  <si>
    <t>物理学輪講</t>
  </si>
  <si>
    <t>（春）NC21101</t>
  </si>
  <si>
    <t>（秋）NC21104</t>
  </si>
  <si>
    <t>物理学演習</t>
  </si>
  <si>
    <t>（春）NC21201</t>
  </si>
  <si>
    <t>（秋）NC21204</t>
  </si>
  <si>
    <t>符号理論</t>
  </si>
  <si>
    <t>NC30084</t>
  </si>
  <si>
    <t>落合秀樹</t>
  </si>
  <si>
    <t>ディジタル回路論</t>
  </si>
  <si>
    <t>NC30091</t>
  </si>
  <si>
    <t>ナノフォトニクス</t>
  </si>
  <si>
    <t>NC30101</t>
  </si>
  <si>
    <t>西島喜明</t>
  </si>
  <si>
    <t>離散システム特論</t>
  </si>
  <si>
    <t>NC30114</t>
  </si>
  <si>
    <t>藤本康孝</t>
  </si>
  <si>
    <t>半導体光エレクトロニクス</t>
  </si>
  <si>
    <t>NC30164</t>
  </si>
  <si>
    <t>荒川太郎</t>
  </si>
  <si>
    <t>電子デバイス特論</t>
  </si>
  <si>
    <t>NC30121</t>
  </si>
  <si>
    <t>馬場俊彦</t>
  </si>
  <si>
    <t>数理科学輪講A</t>
  </si>
  <si>
    <t>NC11101</t>
  </si>
  <si>
    <t>梶原健 、他</t>
  </si>
  <si>
    <t>不定期</t>
  </si>
  <si>
    <t>数理科学輪講B</t>
  </si>
  <si>
    <t>NC11204</t>
  </si>
  <si>
    <t>数理科学輪講C</t>
  </si>
  <si>
    <t>NC11301</t>
  </si>
  <si>
    <t>数理科学輪講D</t>
  </si>
  <si>
    <t>NC11404</t>
  </si>
  <si>
    <t>数理科学演習A</t>
  </si>
  <si>
    <t>NC11501</t>
  </si>
  <si>
    <t>数理科学演習B</t>
  </si>
  <si>
    <t>NC11604</t>
  </si>
  <si>
    <t>数理科学演習C</t>
  </si>
  <si>
    <t>NC11701</t>
  </si>
  <si>
    <t>数理科学演習D</t>
  </si>
  <si>
    <t>NC11804</t>
  </si>
  <si>
    <t>数理科学学外研修</t>
  </si>
  <si>
    <t>（春）NC11901</t>
  </si>
  <si>
    <t>（秋）NC11904</t>
  </si>
  <si>
    <t>代数学演習</t>
  </si>
  <si>
    <t>NC12001</t>
  </si>
  <si>
    <t>幾何学演習</t>
  </si>
  <si>
    <t>NC12104</t>
  </si>
  <si>
    <t>解析学演習</t>
  </si>
  <si>
    <t>NC12204</t>
  </si>
  <si>
    <t>確率論演習</t>
  </si>
  <si>
    <t>NC12301</t>
  </si>
  <si>
    <t>統計学演習</t>
  </si>
  <si>
    <t>NC12404</t>
  </si>
  <si>
    <t>計算機数学演習</t>
  </si>
  <si>
    <t>NC12501</t>
  </si>
  <si>
    <t>重い電子系の物理</t>
  </si>
  <si>
    <t>NC20124</t>
  </si>
  <si>
    <t>梅原出</t>
  </si>
  <si>
    <t>表面科学</t>
  </si>
  <si>
    <t>NC20134</t>
  </si>
  <si>
    <t>首藤健一 、他</t>
  </si>
  <si>
    <t>結晶の対称性と群論</t>
  </si>
  <si>
    <t>NC20144</t>
  </si>
  <si>
    <t>関谷隆夫</t>
  </si>
  <si>
    <t>高エネルギー物理学概論</t>
  </si>
  <si>
    <t>NC20151</t>
  </si>
  <si>
    <t>片寄祐作</t>
  </si>
  <si>
    <t>非線形科学</t>
  </si>
  <si>
    <t>NC20161</t>
  </si>
  <si>
    <t>石渡信吾</t>
  </si>
  <si>
    <t>先端物理学</t>
  </si>
  <si>
    <t>NC20173</t>
  </si>
  <si>
    <t>大石一城</t>
  </si>
  <si>
    <t>現代物理学</t>
  </si>
  <si>
    <t>NC20183</t>
  </si>
  <si>
    <t>速水賢</t>
  </si>
  <si>
    <t>物理工学キャリアデザイン</t>
  </si>
  <si>
    <t>NC20194</t>
  </si>
  <si>
    <t>梅原出 、他</t>
  </si>
  <si>
    <t>通年</t>
  </si>
  <si>
    <t>履修登録は春学期に行うこと</t>
  </si>
  <si>
    <t>発展物理科学</t>
  </si>
  <si>
    <t>NC20201</t>
  </si>
  <si>
    <t>長谷川雅也</t>
  </si>
  <si>
    <t>物理工学演習A</t>
  </si>
  <si>
    <t>NC21301</t>
  </si>
  <si>
    <t>物理工学教育分野各担当教員</t>
  </si>
  <si>
    <t>物理工学演習B</t>
  </si>
  <si>
    <t>NC21404</t>
  </si>
  <si>
    <t>物理工学演習C</t>
  </si>
  <si>
    <t>NC21501</t>
  </si>
  <si>
    <t>物理工学演習D</t>
  </si>
  <si>
    <t>NC21604</t>
  </si>
  <si>
    <t>物理PSD演習A</t>
  </si>
  <si>
    <t>NC21701</t>
  </si>
  <si>
    <t>物理PSD演習B</t>
  </si>
  <si>
    <t>NC21804</t>
  </si>
  <si>
    <t>物理工学プレゼンテーション実習</t>
  </si>
  <si>
    <t>NC21904</t>
  </si>
  <si>
    <t>物理工学インターンシップL</t>
  </si>
  <si>
    <t>（春）NC29811</t>
  </si>
  <si>
    <t>（秋）NC29814</t>
  </si>
  <si>
    <t>物理工学インターンシップM</t>
  </si>
  <si>
    <t>（春）NC29821</t>
  </si>
  <si>
    <t>（秋）NC29824</t>
  </si>
  <si>
    <t>物理工学インターンシップS</t>
  </si>
  <si>
    <t>（春）NC29831</t>
  </si>
  <si>
    <t>（秋）NC29834</t>
  </si>
  <si>
    <t>フォトニクス理論</t>
  </si>
  <si>
    <t>電力システム計画論</t>
  </si>
  <si>
    <t>NC30131</t>
  </si>
  <si>
    <t>大山力</t>
  </si>
  <si>
    <t>半導体工学特論</t>
  </si>
  <si>
    <t>NC30141</t>
  </si>
  <si>
    <t>羽路伸夫 、他</t>
  </si>
  <si>
    <t>情報通信インフラストラクチャ</t>
  </si>
  <si>
    <t>NC30171</t>
  </si>
  <si>
    <t>渡邊聡一</t>
  </si>
  <si>
    <t>マルチメディア移動通信</t>
  </si>
  <si>
    <t>NC30184</t>
  </si>
  <si>
    <t>辻宏之</t>
  </si>
  <si>
    <t>マイクロ波工学</t>
  </si>
  <si>
    <t>NC30191</t>
  </si>
  <si>
    <t>久我宣裕</t>
  </si>
  <si>
    <t>フォールトトレラントシステム論</t>
  </si>
  <si>
    <t>NC30204</t>
  </si>
  <si>
    <t>田中宏和</t>
  </si>
  <si>
    <t>電磁気学特論</t>
  </si>
  <si>
    <t>NC30211</t>
  </si>
  <si>
    <t>熊田亜紀子</t>
  </si>
  <si>
    <t>アナログCMOS集積回路</t>
  </si>
  <si>
    <t>NC30234</t>
  </si>
  <si>
    <t>小川敦</t>
  </si>
  <si>
    <t>集積ナノデバイス工学</t>
  </si>
  <si>
    <t>NC30241</t>
  </si>
  <si>
    <t>大矢剛嗣</t>
  </si>
  <si>
    <t>情報通信による医工融合コロキウム</t>
  </si>
  <si>
    <t>NC30261</t>
  </si>
  <si>
    <t>下野誠通 、他</t>
  </si>
  <si>
    <t>スマートグリッド論</t>
  </si>
  <si>
    <t>NC30271</t>
  </si>
  <si>
    <t>辻隆男</t>
  </si>
  <si>
    <t>超伝導エレクトロニクス</t>
  </si>
  <si>
    <t>NC30281</t>
  </si>
  <si>
    <t>山梨裕希</t>
  </si>
  <si>
    <t>モバイルアンテナシステム測定</t>
  </si>
  <si>
    <t>NC30294</t>
  </si>
  <si>
    <t>新井宏之</t>
  </si>
  <si>
    <t>モーションコントロールシステム</t>
  </si>
  <si>
    <t>NC30301</t>
  </si>
  <si>
    <t>下野誠通</t>
  </si>
  <si>
    <t>人間システム工学</t>
  </si>
  <si>
    <t>NC30314</t>
  </si>
  <si>
    <t>島圭介</t>
  </si>
  <si>
    <t>応用物理コロキウムⅠ</t>
  </si>
  <si>
    <t>NC30324</t>
  </si>
  <si>
    <t>辻隆男 、他</t>
  </si>
  <si>
    <t>応用物理コロキウムⅡ</t>
  </si>
  <si>
    <t>NC30334</t>
  </si>
  <si>
    <t>情報システムコロキウムⅠ</t>
  </si>
  <si>
    <t>NC30344</t>
  </si>
  <si>
    <t>情報システムコロキウムⅡ</t>
  </si>
  <si>
    <t>NC30354</t>
  </si>
  <si>
    <t>電気電子ネットワークコロキウムⅠ</t>
  </si>
  <si>
    <t>NC30364</t>
  </si>
  <si>
    <t>電気電子ネットワークコロキウムⅡ</t>
  </si>
  <si>
    <t>NC30374</t>
  </si>
  <si>
    <t>マルチメディア無線通信ネットワーク</t>
  </si>
  <si>
    <t>NC30381</t>
  </si>
  <si>
    <t>李還幇</t>
  </si>
  <si>
    <t>スピントロニクス</t>
  </si>
  <si>
    <t>NC30391</t>
  </si>
  <si>
    <t>関口康爾</t>
  </si>
  <si>
    <t>ヒューマンセンシング工学</t>
  </si>
  <si>
    <t>NC30404</t>
  </si>
  <si>
    <t>杉本千佳</t>
  </si>
  <si>
    <t>電気機械エネルギー変換工学</t>
  </si>
  <si>
    <t>NC30411</t>
  </si>
  <si>
    <t>赤津観</t>
  </si>
  <si>
    <t>メタヒューリスティクス</t>
  </si>
  <si>
    <t>NC30421</t>
  </si>
  <si>
    <t>中田雅也</t>
  </si>
  <si>
    <t>応用物理学外研修</t>
  </si>
  <si>
    <t>NC31101</t>
  </si>
  <si>
    <t>応用物理教育分野各担当教員 、他</t>
  </si>
  <si>
    <t>情報システム学外研修</t>
  </si>
  <si>
    <t>NC31201</t>
  </si>
  <si>
    <t>情報システム教育分野各担当教員 、他</t>
  </si>
  <si>
    <t>電気電子ネットワーク学外研修</t>
  </si>
  <si>
    <t>NC31301</t>
  </si>
  <si>
    <t>電気電子ﾈｯﾄﾜｰｸ教育分野各担当教員 、他</t>
  </si>
  <si>
    <t>応用物理演習A</t>
  </si>
  <si>
    <t>NC31401</t>
  </si>
  <si>
    <t>応用物理教育分野各担当教員</t>
  </si>
  <si>
    <t>応用物理演習B</t>
  </si>
  <si>
    <t>NC31504</t>
  </si>
  <si>
    <t>応用物理演習C</t>
  </si>
  <si>
    <t>NC31601</t>
  </si>
  <si>
    <t>応用物理演習D</t>
  </si>
  <si>
    <t>NC31704</t>
  </si>
  <si>
    <t>情報システム演習A</t>
  </si>
  <si>
    <t>NC31801</t>
  </si>
  <si>
    <t>情報システム教育分野各担当教員</t>
  </si>
  <si>
    <t>情報システム演習B</t>
  </si>
  <si>
    <t>NC31904</t>
  </si>
  <si>
    <t>情報システム演習C</t>
  </si>
  <si>
    <t>NC32001</t>
  </si>
  <si>
    <t>情報システム演習D</t>
  </si>
  <si>
    <t>NC32104</t>
  </si>
  <si>
    <t>電気電子ネットワーク演習A</t>
  </si>
  <si>
    <t>NC32201</t>
  </si>
  <si>
    <t>電気電子ﾈｯﾄﾜｰｸ教育分野各担当教員</t>
  </si>
  <si>
    <t>電気電子ネットワーク演習B</t>
  </si>
  <si>
    <t>NC32304</t>
  </si>
  <si>
    <t>電気電子ネットワーク演習C</t>
  </si>
  <si>
    <t>NC32401</t>
  </si>
  <si>
    <t>電気電子ネットワーク演習D</t>
  </si>
  <si>
    <t>NC32504</t>
  </si>
  <si>
    <t>応用物理海外インターンシップL</t>
  </si>
  <si>
    <t>（春）NC39811</t>
  </si>
  <si>
    <t>（秋）NC39814</t>
  </si>
  <si>
    <t>応用物理海外インターンシップM</t>
  </si>
  <si>
    <t>（春）NC39821</t>
  </si>
  <si>
    <t>（秋）NC39824</t>
  </si>
  <si>
    <t>応用物理海外インターンシップS</t>
  </si>
  <si>
    <t>（春）NC39831</t>
  </si>
  <si>
    <t>（秋）NC39834</t>
  </si>
  <si>
    <t>情報システム海外インターンシップL</t>
  </si>
  <si>
    <t>（春）NC39841</t>
  </si>
  <si>
    <t>（秋）NC39844</t>
  </si>
  <si>
    <t>情報システム海外インターンシップM</t>
  </si>
  <si>
    <t>（春）NC39851</t>
  </si>
  <si>
    <t>（秋）NC39854</t>
  </si>
  <si>
    <t>情報システム海外インターンシップS</t>
  </si>
  <si>
    <t>（春）NC39861</t>
  </si>
  <si>
    <t>（秋）NC39864</t>
  </si>
  <si>
    <t>電気電子ネットワーク海外インターンシップL</t>
  </si>
  <si>
    <t>（春）NC39871</t>
  </si>
  <si>
    <t>（秋）NC39874</t>
  </si>
  <si>
    <t>電気電子ネットワーク海外インターンシップM</t>
  </si>
  <si>
    <t>（春）NC39881</t>
  </si>
  <si>
    <t>（秋）NC39884</t>
  </si>
  <si>
    <t>電気電子ネットワーク海外インターンシップS</t>
  </si>
  <si>
    <t>（春）NC39891</t>
  </si>
  <si>
    <t>（秋）NC39894</t>
  </si>
  <si>
    <t>非ライブ</t>
  </si>
  <si>
    <t>代数幾何学特論Ⅰ</t>
  </si>
  <si>
    <t>H420261</t>
  </si>
  <si>
    <t>野間淳,原下秀士</t>
  </si>
  <si>
    <t>言語情報処理基礎論Ⅰ</t>
  </si>
  <si>
    <t>H420151</t>
  </si>
  <si>
    <t>田村直良,森辰則</t>
  </si>
  <si>
    <t>人工知能特論Ⅰ</t>
  </si>
  <si>
    <t>H420161</t>
  </si>
  <si>
    <t>白川真一,長尾智晴</t>
  </si>
  <si>
    <t>社会における数理科学特論Ⅰ</t>
  </si>
  <si>
    <t>H420031</t>
  </si>
  <si>
    <t>額田順二</t>
  </si>
  <si>
    <t>情報数学特論Ⅰ</t>
  </si>
  <si>
    <t>H420011</t>
  </si>
  <si>
    <t>中本敦浩,小関健太</t>
  </si>
  <si>
    <t>セキュリティ情報学Ⅰ</t>
  </si>
  <si>
    <t>H420171</t>
  </si>
  <si>
    <t>四方順司,他</t>
  </si>
  <si>
    <t>グラフ理論特論Ⅰ</t>
  </si>
  <si>
    <t>H420251</t>
  </si>
  <si>
    <t>根上生也,中本敦浩</t>
  </si>
  <si>
    <t>物理モデリングの数理</t>
  </si>
  <si>
    <t>H420051</t>
  </si>
  <si>
    <t>山田貴博,松井和己</t>
  </si>
  <si>
    <t>トポロジー特論Ⅰ</t>
  </si>
  <si>
    <t>H420271</t>
  </si>
  <si>
    <t>西村尚史,根上生也</t>
  </si>
  <si>
    <t>数理物理シミュレーション特論Ⅰ</t>
  </si>
  <si>
    <t>H420021</t>
  </si>
  <si>
    <t>白崎実</t>
  </si>
  <si>
    <t>理論言語学基盤論Ⅰ</t>
  </si>
  <si>
    <t>H420451</t>
  </si>
  <si>
    <t>藤井友比呂</t>
  </si>
  <si>
    <t>情報環境概論Ⅰ</t>
  </si>
  <si>
    <t>H410011</t>
  </si>
  <si>
    <t>岡嶋克典,他</t>
  </si>
  <si>
    <t>情報数学特論Ⅱ</t>
  </si>
  <si>
    <t>H420042</t>
  </si>
  <si>
    <t>代数幾何学特論Ⅱ</t>
  </si>
  <si>
    <t>H420392</t>
  </si>
  <si>
    <t>言語情報処理基礎論Ⅱ</t>
  </si>
  <si>
    <t>H420192</t>
  </si>
  <si>
    <t>森辰則,田村直良</t>
  </si>
  <si>
    <t>社会における数理科学特論Ⅱ</t>
  </si>
  <si>
    <t>H420072</t>
  </si>
  <si>
    <t>セキュリティ情報学応用</t>
  </si>
  <si>
    <t>H420342</t>
  </si>
  <si>
    <t>松本勉,他</t>
  </si>
  <si>
    <t>グラフ理論特論Ⅱ</t>
  </si>
  <si>
    <t>H420382</t>
  </si>
  <si>
    <t>中本敦浩,根上生也</t>
  </si>
  <si>
    <t>人工知能特論Ⅱ</t>
  </si>
  <si>
    <t>H420332</t>
  </si>
  <si>
    <t>数理物理シミュレーション特論Ⅱ</t>
  </si>
  <si>
    <t>H420062</t>
  </si>
  <si>
    <t>数値シミュレーションの数理</t>
  </si>
  <si>
    <t>H420082</t>
  </si>
  <si>
    <t>トポロジー特論Ⅱ</t>
  </si>
  <si>
    <t>H420402</t>
  </si>
  <si>
    <t>理論言語学基盤論Ⅱ</t>
  </si>
  <si>
    <t>H420462</t>
  </si>
  <si>
    <t>情報環境概論Ⅱ</t>
  </si>
  <si>
    <t>H410022</t>
  </si>
  <si>
    <t>中本敦浩,他</t>
  </si>
  <si>
    <t>-</t>
    <phoneticPr fontId="5"/>
  </si>
  <si>
    <r>
      <rPr>
        <sz val="6"/>
        <rFont val="ＭＳ Ｐゴシック"/>
        <family val="3"/>
      </rPr>
      <t>1･3</t>
    </r>
    <r>
      <rPr>
        <sz val="11"/>
        <color theme="1"/>
        <rFont val="游ゴシック"/>
        <family val="2"/>
        <charset val="128"/>
        <scheme val="minor"/>
      </rPr>
      <t/>
    </r>
  </si>
  <si>
    <t>人工知能特論Ⅰ</t>
    <rPh sb="0" eb="2">
      <t>ジンコウ</t>
    </rPh>
    <rPh sb="2" eb="4">
      <t>チノウ</t>
    </rPh>
    <rPh sb="4" eb="6">
      <t>トクロン</t>
    </rPh>
    <phoneticPr fontId="5"/>
  </si>
  <si>
    <t>開催しない</t>
    <rPh sb="0" eb="2">
      <t>カイサイ</t>
    </rPh>
    <phoneticPr fontId="5"/>
  </si>
  <si>
    <t>データベースシート（非表示）</t>
    <rPh sb="10" eb="13">
      <t>ヒヒョウジ</t>
    </rPh>
    <phoneticPr fontId="5"/>
  </si>
  <si>
    <t>第２ターム</t>
  </si>
  <si>
    <t>判定</t>
    <rPh sb="0" eb="2">
      <t>ハンテイ</t>
    </rPh>
    <phoneticPr fontId="5"/>
  </si>
  <si>
    <t>第１ターム</t>
    <rPh sb="0" eb="1">
      <t>ダイ</t>
    </rPh>
    <phoneticPr fontId="5"/>
  </si>
  <si>
    <t>第２ターム</t>
    <rPh sb="0" eb="1">
      <t>ダイ</t>
    </rPh>
    <phoneticPr fontId="5"/>
  </si>
  <si>
    <t>第４ターム</t>
    <rPh sb="0" eb="1">
      <t>ダイ</t>
    </rPh>
    <phoneticPr fontId="5"/>
  </si>
  <si>
    <t>第５ターム</t>
    <rPh sb="0" eb="1">
      <t>ダイ</t>
    </rPh>
    <phoneticPr fontId="5"/>
  </si>
  <si>
    <t>開講期判定</t>
    <rPh sb="0" eb="2">
      <t>カイコウ</t>
    </rPh>
    <rPh sb="2" eb="3">
      <t>キ</t>
    </rPh>
    <rPh sb="3" eb="5">
      <t>ハンテイ</t>
    </rPh>
    <phoneticPr fontId="5"/>
  </si>
  <si>
    <t>参照列番号</t>
    <rPh sb="0" eb="2">
      <t>サンショウ</t>
    </rPh>
    <rPh sb="2" eb="5">
      <t>レツバンゴウ</t>
    </rPh>
    <phoneticPr fontId="5"/>
  </si>
  <si>
    <t>重複</t>
    <rPh sb="0" eb="2">
      <t>チョウフク</t>
    </rPh>
    <phoneticPr fontId="5"/>
  </si>
  <si>
    <t>最適化と探索Ⅰ</t>
    <rPh sb="0" eb="3">
      <t>サイテキカ</t>
    </rPh>
    <rPh sb="4" eb="6">
      <t>タンサク</t>
    </rPh>
    <phoneticPr fontId="5"/>
  </si>
  <si>
    <t>最適化と探索Ⅱ</t>
    <rPh sb="0" eb="3">
      <t>サイテキカ</t>
    </rPh>
    <rPh sb="4" eb="6">
      <t>タンサク</t>
    </rPh>
    <phoneticPr fontId="5"/>
  </si>
  <si>
    <t>人工知能特論Ⅱ</t>
    <rPh sb="0" eb="2">
      <t>ジンコウ</t>
    </rPh>
    <rPh sb="2" eb="4">
      <t>チノウ</t>
    </rPh>
    <rPh sb="4" eb="6">
      <t>トクロン</t>
    </rPh>
    <phoneticPr fontId="5"/>
  </si>
  <si>
    <t>H420224</t>
    <phoneticPr fontId="5"/>
  </si>
  <si>
    <t>H420366</t>
    <phoneticPr fontId="5"/>
  </si>
  <si>
    <t>H420161</t>
    <phoneticPr fontId="5"/>
  </si>
  <si>
    <t>H420333</t>
    <phoneticPr fontId="5"/>
  </si>
  <si>
    <t>演習</t>
    <rPh sb="0" eb="2">
      <t>エンシュウ</t>
    </rPh>
    <phoneticPr fontId="5"/>
  </si>
  <si>
    <t>$M$42</t>
  </si>
  <si>
    <t>$AF$39</t>
  </si>
  <si>
    <t>$AF$40</t>
  </si>
  <si>
    <t>$G$42</t>
  </si>
  <si>
    <t>$H$42</t>
  </si>
  <si>
    <t>$N$42</t>
  </si>
  <si>
    <t>外部セル参照</t>
    <rPh sb="0" eb="2">
      <t>ガイブ</t>
    </rPh>
    <rPh sb="4" eb="6">
      <t>サンショウ</t>
    </rPh>
    <phoneticPr fontId="5"/>
  </si>
  <si>
    <t>科目区分Ⅰ</t>
  </si>
  <si>
    <t>外部セル参照
（単位表から反映）</t>
    <rPh sb="0" eb="2">
      <t>ガイブ</t>
    </rPh>
    <rPh sb="4" eb="6">
      <t>サンショウ</t>
    </rPh>
    <rPh sb="8" eb="10">
      <t>タンイ</t>
    </rPh>
    <rPh sb="10" eb="11">
      <t>ヒョウ</t>
    </rPh>
    <rPh sb="13" eb="15">
      <t>ハンエイ</t>
    </rPh>
    <phoneticPr fontId="5"/>
  </si>
  <si>
    <t>$O$42</t>
    <phoneticPr fontId="5"/>
  </si>
  <si>
    <r>
      <t>・使用者情報を入力してください（</t>
    </r>
    <r>
      <rPr>
        <sz val="11"/>
        <color rgb="FFFF7C80"/>
        <rFont val="游ゴシック"/>
        <family val="3"/>
        <charset val="128"/>
        <scheme val="minor"/>
      </rPr>
      <t>■</t>
    </r>
    <r>
      <rPr>
        <sz val="11"/>
        <color theme="1"/>
        <rFont val="游ゴシック"/>
        <family val="2"/>
        <charset val="128"/>
        <scheme val="minor"/>
      </rPr>
      <t>は必須項目）</t>
    </r>
    <rPh sb="1" eb="4">
      <t>シヨウシャ</t>
    </rPh>
    <rPh sb="4" eb="6">
      <t>ジョウホウ</t>
    </rPh>
    <rPh sb="7" eb="9">
      <t>ニュウリョク</t>
    </rPh>
    <rPh sb="18" eb="20">
      <t>ヒッス</t>
    </rPh>
    <rPh sb="20" eb="22">
      <t>コウモク</t>
    </rPh>
    <phoneticPr fontId="5"/>
  </si>
  <si>
    <t>ユーザー入力シート</t>
    <rPh sb="4" eb="6">
      <t>ニュウリョク</t>
    </rPh>
    <phoneticPr fontId="5"/>
  </si>
  <si>
    <t>統計情報出力シート</t>
    <rPh sb="0" eb="2">
      <t>トウケイ</t>
    </rPh>
    <rPh sb="2" eb="4">
      <t>ジョウホウ</t>
    </rPh>
    <rPh sb="4" eb="6">
      <t>シュツリョク</t>
    </rPh>
    <phoneticPr fontId="5"/>
  </si>
  <si>
    <t>開発者</t>
    <rPh sb="0" eb="3">
      <t>カイハツシャ</t>
    </rPh>
    <phoneticPr fontId="5"/>
  </si>
  <si>
    <t>Yoshikawa Taichi</t>
    <phoneticPr fontId="5"/>
  </si>
  <si>
    <t>シート保護PW</t>
    <rPh sb="3" eb="5">
      <t>ホゴ</t>
    </rPh>
    <phoneticPr fontId="5"/>
  </si>
  <si>
    <t>unlock</t>
    <phoneticPr fontId="5"/>
  </si>
  <si>
    <t>開発者向け</t>
    <rPh sb="0" eb="2">
      <t>カイハツ</t>
    </rPh>
    <rPh sb="2" eb="3">
      <t>シャ</t>
    </rPh>
    <rPh sb="3" eb="4">
      <t>ム</t>
    </rPh>
    <phoneticPr fontId="5"/>
  </si>
  <si>
    <t>ユーザーサポートシート</t>
    <phoneticPr fontId="5"/>
  </si>
  <si>
    <t>【対象】　サポートマニュアル　成績管理表</t>
    <rPh sb="1" eb="3">
      <t>タイショウ</t>
    </rPh>
    <rPh sb="15" eb="19">
      <t>セイセキカンリ</t>
    </rPh>
    <rPh sb="19" eb="20">
      <t>ヒョウ</t>
    </rPh>
    <phoneticPr fontId="5"/>
  </si>
  <si>
    <t>サポートマニュアル</t>
    <phoneticPr fontId="5"/>
  </si>
  <si>
    <t>　使用方法【初期設定編】</t>
    <rPh sb="1" eb="3">
      <t>シヨウ</t>
    </rPh>
    <rPh sb="3" eb="5">
      <t>ホウホウ</t>
    </rPh>
    <rPh sb="6" eb="8">
      <t>ショキ</t>
    </rPh>
    <rPh sb="8" eb="10">
      <t>セッテイ</t>
    </rPh>
    <rPh sb="10" eb="11">
      <t>ヘン</t>
    </rPh>
    <phoneticPr fontId="5"/>
  </si>
  <si>
    <t>　使用方法【履修登録編】</t>
    <rPh sb="1" eb="3">
      <t>シヨウ</t>
    </rPh>
    <rPh sb="3" eb="5">
      <t>ホウホウ</t>
    </rPh>
    <rPh sb="6" eb="8">
      <t>リシュウ</t>
    </rPh>
    <rPh sb="8" eb="10">
      <t>トウロク</t>
    </rPh>
    <rPh sb="10" eb="11">
      <t>ヘン</t>
    </rPh>
    <phoneticPr fontId="5"/>
  </si>
  <si>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2"/>
        <charset val="128"/>
        <scheme val="minor"/>
      </rPr>
      <t>（</t>
    </r>
    <r>
      <rPr>
        <b/>
        <sz val="11"/>
        <color theme="8"/>
        <rFont val="游ゴシック"/>
        <family val="3"/>
        <charset val="128"/>
        <scheme val="minor"/>
      </rPr>
      <t>【先取履修】【１年春】【１年秋】【２年春】【２年秋】</t>
    </r>
    <r>
      <rPr>
        <sz val="11"/>
        <color theme="1"/>
        <rFont val="游ゴシック"/>
        <family val="2"/>
        <charset val="128"/>
        <scheme val="minor"/>
      </rPr>
      <t>）</t>
    </r>
    <r>
      <rPr>
        <sz val="11"/>
        <color theme="1"/>
        <rFont val="游ゴシック"/>
        <family val="3"/>
        <charset val="128"/>
        <scheme val="minor"/>
      </rPr>
      <t>にて</t>
    </r>
    <rPh sb="4" eb="6">
      <t>ニュウリョク</t>
    </rPh>
    <rPh sb="11" eb="13">
      <t>サキドリ</t>
    </rPh>
    <rPh sb="13" eb="15">
      <t>リシュウ</t>
    </rPh>
    <rPh sb="18" eb="19">
      <t>ネン</t>
    </rPh>
    <rPh sb="19" eb="20">
      <t>ハル</t>
    </rPh>
    <rPh sb="23" eb="24">
      <t>ネン</t>
    </rPh>
    <rPh sb="24" eb="25">
      <t>アキ</t>
    </rPh>
    <rPh sb="28" eb="29">
      <t>ネン</t>
    </rPh>
    <rPh sb="29" eb="30">
      <t>ハル</t>
    </rPh>
    <rPh sb="33" eb="34">
      <t>ネン</t>
    </rPh>
    <rPh sb="34" eb="35">
      <t>アキ</t>
    </rPh>
    <phoneticPr fontId="5"/>
  </si>
  <si>
    <r>
      <t>【成績管理表】</t>
    </r>
    <r>
      <rPr>
        <sz val="11"/>
        <rFont val="游ゴシック"/>
        <family val="3"/>
        <charset val="128"/>
        <scheme val="minor"/>
      </rPr>
      <t>にて</t>
    </r>
    <rPh sb="1" eb="3">
      <t>セイセキ</t>
    </rPh>
    <rPh sb="3" eb="5">
      <t>カンリ</t>
    </rPh>
    <rPh sb="5" eb="6">
      <t>ヒョウ</t>
    </rPh>
    <phoneticPr fontId="5"/>
  </si>
  <si>
    <t>総合単位表</t>
    <rPh sb="0" eb="2">
      <t>ソウゴウ</t>
    </rPh>
    <rPh sb="2" eb="4">
      <t>タンイ</t>
    </rPh>
    <rPh sb="4" eb="5">
      <t>ヒョウ</t>
    </rPh>
    <phoneticPr fontId="5"/>
  </si>
  <si>
    <t>【対象】　総合単位表　成績表　GPT・GPAグラフ</t>
    <rPh sb="1" eb="3">
      <t>タイショウ</t>
    </rPh>
    <rPh sb="5" eb="7">
      <t>ソウゴウ</t>
    </rPh>
    <rPh sb="7" eb="9">
      <t>タンイ</t>
    </rPh>
    <rPh sb="9" eb="10">
      <t>ヒョウ</t>
    </rPh>
    <rPh sb="11" eb="14">
      <t>セイセキヒョウ</t>
    </rPh>
    <phoneticPr fontId="5"/>
  </si>
  <si>
    <r>
      <t>１．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にある</t>
    </r>
    <r>
      <rPr>
        <b/>
        <sz val="11"/>
        <color theme="1"/>
        <rFont val="游ゴシック"/>
        <family val="3"/>
        <charset val="128"/>
        <scheme val="minor"/>
      </rPr>
      <t>科目名</t>
    </r>
    <r>
      <rPr>
        <sz val="11"/>
        <color theme="1"/>
        <rFont val="游ゴシック"/>
        <family val="2"/>
        <charset val="128"/>
        <scheme val="minor"/>
      </rPr>
      <t>を入力する．</t>
    </r>
    <rPh sb="2" eb="4">
      <t>タンイ</t>
    </rPh>
    <rPh sb="4" eb="5">
      <t>ヒョウ</t>
    </rPh>
    <rPh sb="8" eb="11">
      <t>カモクメイ</t>
    </rPh>
    <rPh sb="12" eb="14">
      <t>ニュウリョク</t>
    </rPh>
    <phoneticPr fontId="5"/>
  </si>
  <si>
    <r>
      <t>　　※</t>
    </r>
    <r>
      <rPr>
        <b/>
        <sz val="11"/>
        <color theme="1"/>
        <rFont val="游ゴシック"/>
        <family val="3"/>
        <charset val="128"/>
        <scheme val="minor"/>
      </rPr>
      <t>使用者情報</t>
    </r>
    <r>
      <rPr>
        <sz val="11"/>
        <color theme="1"/>
        <rFont val="游ゴシック"/>
        <family val="2"/>
        <charset val="128"/>
        <scheme val="minor"/>
      </rPr>
      <t>は履修案内の参照・履修基準の取得のためのみに使用されます．</t>
    </r>
    <rPh sb="3" eb="6">
      <t>シヨウシャ</t>
    </rPh>
    <rPh sb="6" eb="8">
      <t>ジョウホウ</t>
    </rPh>
    <rPh sb="9" eb="11">
      <t>リシュウ</t>
    </rPh>
    <rPh sb="11" eb="13">
      <t>アンナイ</t>
    </rPh>
    <rPh sb="14" eb="16">
      <t>サンショウ</t>
    </rPh>
    <rPh sb="17" eb="19">
      <t>リシュウ</t>
    </rPh>
    <rPh sb="19" eb="21">
      <t>キジュン</t>
    </rPh>
    <rPh sb="22" eb="24">
      <t>シュトク</t>
    </rPh>
    <rPh sb="30" eb="32">
      <t>シヨウ</t>
    </rPh>
    <phoneticPr fontId="5"/>
  </si>
  <si>
    <r>
      <t>　　</t>
    </r>
    <r>
      <rPr>
        <b/>
        <sz val="11"/>
        <color theme="1"/>
        <rFont val="游ゴシック"/>
        <family val="3"/>
        <charset val="128"/>
        <scheme val="minor"/>
      </rPr>
      <t>科目名</t>
    </r>
    <r>
      <rPr>
        <sz val="11"/>
        <color theme="1"/>
        <rFont val="游ゴシック"/>
        <family val="2"/>
        <charset val="128"/>
        <scheme val="minor"/>
      </rPr>
      <t>に応じて，講義内容・講義時間割が出力され，時間割表に科目が反映されます．</t>
    </r>
    <rPh sb="2" eb="5">
      <t>カモクメイ</t>
    </rPh>
    <rPh sb="6" eb="7">
      <t>オウ</t>
    </rPh>
    <rPh sb="10" eb="12">
      <t>コウギ</t>
    </rPh>
    <rPh sb="12" eb="14">
      <t>ナイヨウ</t>
    </rPh>
    <rPh sb="15" eb="17">
      <t>コウギ</t>
    </rPh>
    <rPh sb="17" eb="20">
      <t>ジカンワリ</t>
    </rPh>
    <rPh sb="21" eb="23">
      <t>シュツリョク</t>
    </rPh>
    <rPh sb="26" eb="30">
      <t>ジカンワリヒョウ</t>
    </rPh>
    <rPh sb="31" eb="33">
      <t>カモク</t>
    </rPh>
    <rPh sb="34" eb="36">
      <t>ハンエイ</t>
    </rPh>
    <phoneticPr fontId="5"/>
  </si>
  <si>
    <r>
      <t>　　※シラバスの表示言語はデフォルトでは，講義の</t>
    </r>
    <r>
      <rPr>
        <sz val="11"/>
        <color theme="1"/>
        <rFont val="游ゴシック"/>
        <family val="3"/>
        <charset val="128"/>
        <scheme val="minor"/>
      </rPr>
      <t>使用言語</t>
    </r>
    <r>
      <rPr>
        <sz val="11"/>
        <color theme="1"/>
        <rFont val="游ゴシック"/>
        <family val="2"/>
        <charset val="128"/>
        <scheme val="minor"/>
      </rPr>
      <t>に基づいて表示されています．</t>
    </r>
    <rPh sb="8" eb="10">
      <t>ヒョウジ</t>
    </rPh>
    <rPh sb="10" eb="12">
      <t>ゲンゴ</t>
    </rPh>
    <rPh sb="21" eb="23">
      <t>コウギ</t>
    </rPh>
    <rPh sb="24" eb="26">
      <t>シヨウ</t>
    </rPh>
    <rPh sb="26" eb="28">
      <t>ゲンゴ</t>
    </rPh>
    <rPh sb="29" eb="30">
      <t>モト</t>
    </rPh>
    <rPh sb="33" eb="35">
      <t>ヒョウジ</t>
    </rPh>
    <phoneticPr fontId="5"/>
  </si>
  <si>
    <r>
      <t>　　※シラバスの表示言語の変更は</t>
    </r>
    <r>
      <rPr>
        <b/>
        <sz val="11"/>
        <color rgb="FFFF7C80"/>
        <rFont val="游ゴシック"/>
        <family val="3"/>
        <charset val="128"/>
        <scheme val="minor"/>
      </rPr>
      <t>【成績管理表】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管理情報</t>
    </r>
    <r>
      <rPr>
        <sz val="11"/>
        <color theme="1"/>
        <rFont val="游ゴシック"/>
        <family val="2"/>
        <charset val="128"/>
        <scheme val="minor"/>
      </rPr>
      <t>から選択できます．</t>
    </r>
    <rPh sb="8" eb="10">
      <t>ヒョウジ</t>
    </rPh>
    <rPh sb="10" eb="12">
      <t>ゲンゴ</t>
    </rPh>
    <rPh sb="13" eb="15">
      <t>ヘンコウ</t>
    </rPh>
    <rPh sb="17" eb="22">
      <t>セイセキカンリヒョウ</t>
    </rPh>
    <rPh sb="24" eb="26">
      <t>カンリ</t>
    </rPh>
    <rPh sb="26" eb="28">
      <t>ジョウホウ</t>
    </rPh>
    <rPh sb="30" eb="32">
      <t>センタク</t>
    </rPh>
    <phoneticPr fontId="5"/>
  </si>
  <si>
    <t>　§　成績管理表の使用には，簡単な使用者の情報の登録が必要です．</t>
    <rPh sb="3" eb="8">
      <t>セイセキカンリヒョウ</t>
    </rPh>
    <rPh sb="9" eb="11">
      <t>シヨウ</t>
    </rPh>
    <rPh sb="14" eb="16">
      <t>カンタン</t>
    </rPh>
    <rPh sb="17" eb="20">
      <t>シヨウシャ</t>
    </rPh>
    <rPh sb="21" eb="23">
      <t>ジョウホウ</t>
    </rPh>
    <rPh sb="24" eb="26">
      <t>トウロク</t>
    </rPh>
    <rPh sb="27" eb="29">
      <t>ヒツヨウ</t>
    </rPh>
    <phoneticPr fontId="5"/>
  </si>
  <si>
    <t>　§　履修する科目を決めるサポートをし，履修情報を管理できます．</t>
    <rPh sb="3" eb="5">
      <t>リシュウ</t>
    </rPh>
    <rPh sb="7" eb="9">
      <t>カモク</t>
    </rPh>
    <rPh sb="10" eb="11">
      <t>キ</t>
    </rPh>
    <rPh sb="20" eb="22">
      <t>リシュウ</t>
    </rPh>
    <rPh sb="22" eb="24">
      <t>ジョウホウ</t>
    </rPh>
    <rPh sb="25" eb="27">
      <t>カンリ</t>
    </rPh>
    <phoneticPr fontId="5"/>
  </si>
  <si>
    <r>
      <t>２．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時間割コード</t>
    </r>
    <r>
      <rPr>
        <sz val="11"/>
        <color theme="1"/>
        <rFont val="游ゴシック"/>
        <family val="2"/>
        <charset val="128"/>
        <scheme val="minor"/>
      </rPr>
      <t>をクリックすると，</t>
    </r>
    <r>
      <rPr>
        <b/>
        <sz val="11"/>
        <color theme="1"/>
        <rFont val="游ゴシック"/>
        <family val="3"/>
        <charset val="128"/>
        <scheme val="minor"/>
      </rPr>
      <t>シラバスを参照</t>
    </r>
    <r>
      <rPr>
        <sz val="11"/>
        <color theme="1"/>
        <rFont val="游ゴシック"/>
        <family val="2"/>
        <charset val="128"/>
        <scheme val="minor"/>
      </rPr>
      <t>できます．</t>
    </r>
    <rPh sb="2" eb="4">
      <t>タンイ</t>
    </rPh>
    <rPh sb="4" eb="5">
      <t>ヒョウ</t>
    </rPh>
    <rPh sb="6" eb="9">
      <t>ジカンワリ</t>
    </rPh>
    <rPh sb="26" eb="28">
      <t>サンショウ</t>
    </rPh>
    <phoneticPr fontId="5"/>
  </si>
  <si>
    <r>
      <t>１．</t>
    </r>
    <r>
      <rPr>
        <b/>
        <sz val="11"/>
        <color theme="1"/>
        <rFont val="游ゴシック"/>
        <family val="3"/>
        <charset val="128"/>
        <scheme val="minor"/>
      </rPr>
      <t>使用者情報</t>
    </r>
    <r>
      <rPr>
        <sz val="11"/>
        <color theme="1"/>
        <rFont val="游ゴシック"/>
        <family val="3"/>
        <charset val="128"/>
        <scheme val="minor"/>
      </rPr>
      <t>を入力する．</t>
    </r>
    <rPh sb="2" eb="5">
      <t>シヨウシャ</t>
    </rPh>
    <rPh sb="5" eb="7">
      <t>ジョウホウ</t>
    </rPh>
    <rPh sb="8" eb="10">
      <t>ニュウリョク</t>
    </rPh>
    <phoneticPr fontId="5"/>
  </si>
  <si>
    <r>
      <t>４．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履修単位数</t>
    </r>
    <r>
      <rPr>
        <sz val="11"/>
        <color theme="1"/>
        <rFont val="游ゴシック"/>
        <family val="2"/>
        <charset val="128"/>
        <scheme val="minor"/>
      </rPr>
      <t>や，</t>
    </r>
    <r>
      <rPr>
        <sz val="11"/>
        <color theme="9"/>
        <rFont val="游ゴシック"/>
        <family val="3"/>
        <charset val="128"/>
        <scheme val="minor"/>
      </rPr>
      <t>【</t>
    </r>
    <r>
      <rPr>
        <b/>
        <sz val="11"/>
        <color theme="9"/>
        <rFont val="游ゴシック"/>
        <family val="3"/>
        <charset val="128"/>
        <scheme val="minor"/>
      </rPr>
      <t>総合単位表】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履修基準・単位数・状態</t>
    </r>
    <r>
      <rPr>
        <sz val="11"/>
        <color theme="1"/>
        <rFont val="游ゴシック"/>
        <family val="2"/>
        <charset val="128"/>
        <scheme val="minor"/>
      </rPr>
      <t>を確認します．</t>
    </r>
    <rPh sb="2" eb="5">
      <t>ジカンワリ</t>
    </rPh>
    <rPh sb="5" eb="6">
      <t>ヒョウ</t>
    </rPh>
    <rPh sb="7" eb="9">
      <t>リシュウ</t>
    </rPh>
    <rPh sb="9" eb="11">
      <t>タンイ</t>
    </rPh>
    <rPh sb="11" eb="12">
      <t>スウ</t>
    </rPh>
    <rPh sb="15" eb="17">
      <t>ソウゴウ</t>
    </rPh>
    <rPh sb="17" eb="19">
      <t>タンイ</t>
    </rPh>
    <rPh sb="19" eb="20">
      <t>ヒョウ</t>
    </rPh>
    <rPh sb="22" eb="24">
      <t>リシュウ</t>
    </rPh>
    <rPh sb="24" eb="26">
      <t>キジュン</t>
    </rPh>
    <rPh sb="27" eb="30">
      <t>タンイスウ</t>
    </rPh>
    <rPh sb="31" eb="33">
      <t>ジョウタイ</t>
    </rPh>
    <rPh sb="34" eb="36">
      <t>カクニン</t>
    </rPh>
    <phoneticPr fontId="5"/>
  </si>
  <si>
    <t>　使用方法【成績反映編】</t>
    <rPh sb="1" eb="3">
      <t>シヨウ</t>
    </rPh>
    <rPh sb="3" eb="5">
      <t>ホウホウ</t>
    </rPh>
    <rPh sb="6" eb="8">
      <t>セイセキ</t>
    </rPh>
    <rPh sb="8" eb="10">
      <t>ハンエイ</t>
    </rPh>
    <rPh sb="10" eb="11">
      <t>ヘン</t>
    </rPh>
    <phoneticPr fontId="5"/>
  </si>
  <si>
    <t>　§　履修登録した単位に成績を反映することで，成績を管理できます．</t>
    <rPh sb="3" eb="5">
      <t>リシュウ</t>
    </rPh>
    <rPh sb="5" eb="7">
      <t>トウロク</t>
    </rPh>
    <rPh sb="9" eb="11">
      <t>タンイ</t>
    </rPh>
    <rPh sb="12" eb="14">
      <t>セイセキ</t>
    </rPh>
    <rPh sb="15" eb="17">
      <t>ハンエイ</t>
    </rPh>
    <rPh sb="23" eb="25">
      <t>セイセキ</t>
    </rPh>
    <rPh sb="26" eb="28">
      <t>カンリ</t>
    </rPh>
    <phoneticPr fontId="5"/>
  </si>
  <si>
    <t>１．単位表にある成績をクリックし，プルダウンリストから成績を入力する．</t>
    <rPh sb="2" eb="4">
      <t>タンイ</t>
    </rPh>
    <rPh sb="4" eb="5">
      <t>ヒョウ</t>
    </rPh>
    <rPh sb="8" eb="10">
      <t>セイセキ</t>
    </rPh>
    <rPh sb="27" eb="29">
      <t>セイセキ</t>
    </rPh>
    <rPh sb="30" eb="32">
      <t>ニュウリョク</t>
    </rPh>
    <phoneticPr fontId="5"/>
  </si>
  <si>
    <r>
      <t>５．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をPDFや紙などで保管したい場合でも，PDF出力や印刷が可能です．</t>
    </r>
    <rPh sb="2" eb="5">
      <t>ジカンワリ</t>
    </rPh>
    <rPh sb="5" eb="6">
      <t>ヒョウ</t>
    </rPh>
    <rPh sb="11" eb="12">
      <t>カミ</t>
    </rPh>
    <rPh sb="15" eb="17">
      <t>ホカン</t>
    </rPh>
    <rPh sb="20" eb="22">
      <t>バアイ</t>
    </rPh>
    <rPh sb="28" eb="30">
      <t>シュツリョク</t>
    </rPh>
    <rPh sb="31" eb="33">
      <t>インサツ</t>
    </rPh>
    <rPh sb="34" eb="36">
      <t>カノウ</t>
    </rPh>
    <phoneticPr fontId="5"/>
  </si>
  <si>
    <r>
      <t>　　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・</t>
    </r>
    <r>
      <rPr>
        <b/>
        <sz val="11"/>
        <color theme="9"/>
        <rFont val="游ゴシック"/>
        <family val="3"/>
        <charset val="128"/>
        <scheme val="minor"/>
      </rPr>
      <t>【GPT・GPAグラフ】</t>
    </r>
    <r>
      <rPr>
        <sz val="11"/>
        <color theme="1"/>
        <rFont val="游ゴシック"/>
        <family val="2"/>
        <charset val="128"/>
        <scheme val="minor"/>
      </rPr>
      <t>に，成績が反映されます．</t>
    </r>
    <rPh sb="3" eb="5">
      <t>セイセキ</t>
    </rPh>
    <rPh sb="5" eb="6">
      <t>ヒョウ</t>
    </rPh>
    <rPh sb="22" eb="24">
      <t>セイセキ</t>
    </rPh>
    <rPh sb="25" eb="27">
      <t>ハンエイ</t>
    </rPh>
    <phoneticPr fontId="5"/>
  </si>
  <si>
    <r>
      <t>　　※成績が不可・不認定の場合には，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取得単位数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に単位は反映されません．</t>
    </r>
    <rPh sb="3" eb="5">
      <t>セイセキ</t>
    </rPh>
    <rPh sb="6" eb="8">
      <t>フカ</t>
    </rPh>
    <rPh sb="9" eb="10">
      <t>フ</t>
    </rPh>
    <rPh sb="10" eb="12">
      <t>ニンテイ</t>
    </rPh>
    <rPh sb="13" eb="15">
      <t>バアイ</t>
    </rPh>
    <rPh sb="18" eb="22">
      <t>ジカンワリヒョウ</t>
    </rPh>
    <rPh sb="23" eb="25">
      <t>シュトク</t>
    </rPh>
    <rPh sb="25" eb="28">
      <t>タンイスウ</t>
    </rPh>
    <rPh sb="30" eb="32">
      <t>ソウゴウ</t>
    </rPh>
    <rPh sb="32" eb="34">
      <t>タンイ</t>
    </rPh>
    <rPh sb="34" eb="35">
      <t>ヒョウ</t>
    </rPh>
    <rPh sb="37" eb="39">
      <t>タンイ</t>
    </rPh>
    <rPh sb="40" eb="42">
      <t>ハンエイ</t>
    </rPh>
    <phoneticPr fontId="5"/>
  </si>
  <si>
    <r>
      <t>２．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b/>
        <sz val="11"/>
        <rFont val="游ゴシック"/>
        <family val="3"/>
        <charset val="128"/>
        <scheme val="minor"/>
      </rPr>
      <t>・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をPDFや紙などで保管したい場合でも，PDF出力や印刷が可能です．</t>
    </r>
    <rPh sb="3" eb="5">
      <t>ソウゴウ</t>
    </rPh>
    <rPh sb="5" eb="7">
      <t>タンイ</t>
    </rPh>
    <rPh sb="7" eb="8">
      <t>ヒョウ</t>
    </rPh>
    <rPh sb="11" eb="13">
      <t>セイセキ</t>
    </rPh>
    <rPh sb="13" eb="14">
      <t>ヒョウ</t>
    </rPh>
    <rPh sb="20" eb="21">
      <t>カミ</t>
    </rPh>
    <rPh sb="24" eb="26">
      <t>ホカン</t>
    </rPh>
    <rPh sb="29" eb="31">
      <t>バアイ</t>
    </rPh>
    <rPh sb="37" eb="39">
      <t>シュツリョク</t>
    </rPh>
    <rPh sb="40" eb="42">
      <t>インサツ</t>
    </rPh>
    <rPh sb="43" eb="45">
      <t>カノウ</t>
    </rPh>
    <phoneticPr fontId="5"/>
  </si>
  <si>
    <t>　　　されなくなる点に留意してください．</t>
    <rPh sb="9" eb="10">
      <t>テン</t>
    </rPh>
    <rPh sb="11" eb="13">
      <t>リュウイ</t>
    </rPh>
    <phoneticPr fontId="5"/>
  </si>
  <si>
    <t>　　　通算GPAが下がってしまいます．</t>
    <rPh sb="3" eb="5">
      <t>ツウサン</t>
    </rPh>
    <rPh sb="9" eb="10">
      <t>サ</t>
    </rPh>
    <phoneticPr fontId="5"/>
  </si>
  <si>
    <t>　Q&amp;A / Tips</t>
    <phoneticPr fontId="5"/>
  </si>
  <si>
    <t>　　　はありません．</t>
    <phoneticPr fontId="5"/>
  </si>
  <si>
    <t>　　　表示したい場合には，任意のシートを右クリックし，[再表示]を選択すると，非表示になっている</t>
    <rPh sb="3" eb="5">
      <t>ヒョウジ</t>
    </rPh>
    <rPh sb="8" eb="10">
      <t>バアイ</t>
    </rPh>
    <rPh sb="13" eb="15">
      <t>ニンイ</t>
    </rPh>
    <rPh sb="20" eb="21">
      <t>ミギ</t>
    </rPh>
    <rPh sb="28" eb="31">
      <t>サイヒョウジ</t>
    </rPh>
    <rPh sb="33" eb="35">
      <t>センタク</t>
    </rPh>
    <rPh sb="39" eb="42">
      <t>ヒヒョウジ</t>
    </rPh>
    <phoneticPr fontId="5"/>
  </si>
  <si>
    <t>　　　シート一覧が現れ，再表示することができます．</t>
    <rPh sb="6" eb="8">
      <t>イチラン</t>
    </rPh>
    <rPh sb="9" eb="10">
      <t>アラワ</t>
    </rPh>
    <rPh sb="12" eb="15">
      <t>サイヒョウジ</t>
    </rPh>
    <phoneticPr fontId="5"/>
  </si>
  <si>
    <t>　　　ると，他のシートからも正しく参照されるようになります．</t>
    <rPh sb="6" eb="7">
      <t>ホカ</t>
    </rPh>
    <rPh sb="14" eb="15">
      <t>タダ</t>
    </rPh>
    <rPh sb="17" eb="19">
      <t>サンショウ</t>
    </rPh>
    <phoneticPr fontId="5"/>
  </si>
  <si>
    <r>
      <t>　　※講義時間割の参照年度を変更したい場合には，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受講年度</t>
    </r>
    <r>
      <rPr>
        <sz val="11"/>
        <color theme="1"/>
        <rFont val="游ゴシック"/>
        <family val="2"/>
        <charset val="128"/>
        <scheme val="minor"/>
      </rPr>
      <t>を変更してください．</t>
    </r>
    <rPh sb="3" eb="5">
      <t>コウギ</t>
    </rPh>
    <rPh sb="5" eb="8">
      <t>ジカンワリ</t>
    </rPh>
    <rPh sb="9" eb="13">
      <t>サンショウネンド</t>
    </rPh>
    <rPh sb="14" eb="16">
      <t>ヘンコウ</t>
    </rPh>
    <rPh sb="19" eb="21">
      <t>バアイ</t>
    </rPh>
    <rPh sb="24" eb="27">
      <t>タンイヒョウ</t>
    </rPh>
    <rPh sb="28" eb="30">
      <t>ジュコウ</t>
    </rPh>
    <rPh sb="30" eb="32">
      <t>ネンド</t>
    </rPh>
    <rPh sb="33" eb="35">
      <t>ヘンコウ</t>
    </rPh>
    <phoneticPr fontId="5"/>
  </si>
  <si>
    <r>
      <t>　　※シラバスの参照年度を変更したい場合には，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受講年度</t>
    </r>
    <r>
      <rPr>
        <sz val="11"/>
        <color theme="1"/>
        <rFont val="游ゴシック"/>
        <family val="2"/>
        <charset val="128"/>
        <scheme val="minor"/>
      </rPr>
      <t>を変更してください．</t>
    </r>
    <rPh sb="8" eb="10">
      <t>サンショウ</t>
    </rPh>
    <rPh sb="10" eb="12">
      <t>ネンド</t>
    </rPh>
    <rPh sb="13" eb="15">
      <t>ヘンコウ</t>
    </rPh>
    <rPh sb="18" eb="20">
      <t>バアイ</t>
    </rPh>
    <rPh sb="23" eb="25">
      <t>タンイ</t>
    </rPh>
    <rPh sb="25" eb="26">
      <t>ヒョウ</t>
    </rPh>
    <rPh sb="27" eb="29">
      <t>ジュコウ</t>
    </rPh>
    <rPh sb="29" eb="31">
      <t>ネンド</t>
    </rPh>
    <rPh sb="32" eb="34">
      <t>ヘンコウ</t>
    </rPh>
    <phoneticPr fontId="5"/>
  </si>
  <si>
    <t>　　　また，受講年度と学期は適宜入力しなおしてください．</t>
    <rPh sb="6" eb="8">
      <t>ジュコウ</t>
    </rPh>
    <rPh sb="8" eb="10">
      <t>ネンド</t>
    </rPh>
    <rPh sb="11" eb="13">
      <t>ガッキ</t>
    </rPh>
    <rPh sb="14" eb="16">
      <t>テキギ</t>
    </rPh>
    <rPh sb="16" eb="18">
      <t>ニュウリョク</t>
    </rPh>
    <phoneticPr fontId="5"/>
  </si>
  <si>
    <t>　　　シートを消してしまった場合には，再度テンプレからコピーし，シートを移動させてください．</t>
    <rPh sb="7" eb="8">
      <t>ケ</t>
    </rPh>
    <rPh sb="14" eb="16">
      <t>バアイ</t>
    </rPh>
    <rPh sb="19" eb="21">
      <t>サイド</t>
    </rPh>
    <rPh sb="36" eb="38">
      <t>イドウ</t>
    </rPh>
    <phoneticPr fontId="5"/>
  </si>
  <si>
    <t>Ａ４．デフォルトではこれらは非表示となっております．</t>
    <rPh sb="14" eb="17">
      <t>ヒヒョウジ</t>
    </rPh>
    <phoneticPr fontId="5"/>
  </si>
  <si>
    <t>Ｑ６．自分用にシートを再開発したいです．</t>
    <rPh sb="3" eb="6">
      <t>ジブンヨウ</t>
    </rPh>
    <rPh sb="11" eb="14">
      <t>サイカイハツ</t>
    </rPh>
    <phoneticPr fontId="5"/>
  </si>
  <si>
    <t>Ａ６．開発者に問い合わせてください．シートの保護PWをお教えします．</t>
    <rPh sb="3" eb="6">
      <t>カイハツシャ</t>
    </rPh>
    <rPh sb="7" eb="8">
      <t>ト</t>
    </rPh>
    <rPh sb="9" eb="10">
      <t>ア</t>
    </rPh>
    <rPh sb="22" eb="24">
      <t>ホゴ</t>
    </rPh>
    <rPh sb="28" eb="29">
      <t>オシ</t>
    </rPh>
    <phoneticPr fontId="5"/>
  </si>
  <si>
    <t>Ａ１．Excelブック(.xlsx)として保存してください．Excelテンプレート(.xltx)では反映されません．</t>
    <rPh sb="21" eb="23">
      <t>ホゾン</t>
    </rPh>
    <rPh sb="50" eb="52">
      <t>ハンエイ</t>
    </rPh>
    <phoneticPr fontId="5"/>
  </si>
  <si>
    <r>
      <t>Ｑ１．</t>
    </r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3"/>
        <charset val="128"/>
        <scheme val="minor"/>
      </rPr>
      <t>のタイトルが「#VALUE!」になっています．</t>
    </r>
    <rPh sb="7" eb="9">
      <t>ニュウリョク</t>
    </rPh>
    <phoneticPr fontId="5"/>
  </si>
  <si>
    <r>
      <t>Ｑ２．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3"/>
        <charset val="128"/>
        <scheme val="minor"/>
      </rPr>
      <t>に，ある科目を反映させたくありません．</t>
    </r>
    <rPh sb="3" eb="6">
      <t>ジカンワリ</t>
    </rPh>
    <rPh sb="6" eb="7">
      <t>ヒョウ</t>
    </rPh>
    <rPh sb="11" eb="13">
      <t>カモク</t>
    </rPh>
    <rPh sb="14" eb="16">
      <t>ハンエイ</t>
    </rPh>
    <phoneticPr fontId="5"/>
  </si>
  <si>
    <r>
      <t>　　　しかし，これはデータベースと照合しなくなっているだけなので，</t>
    </r>
    <r>
      <rPr>
        <b/>
        <sz val="11"/>
        <color theme="1"/>
        <rFont val="游ゴシック"/>
        <family val="3"/>
        <charset val="128"/>
        <scheme val="minor"/>
      </rPr>
      <t>講義内容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1"/>
        <rFont val="游ゴシック"/>
        <family val="3"/>
        <charset val="128"/>
        <scheme val="minor"/>
      </rPr>
      <t>講義時間割</t>
    </r>
    <r>
      <rPr>
        <sz val="11"/>
        <color theme="1"/>
        <rFont val="游ゴシック"/>
        <family val="2"/>
        <charset val="128"/>
        <scheme val="minor"/>
      </rPr>
      <t>も反映</t>
    </r>
    <rPh sb="17" eb="19">
      <t>ショウゴウ</t>
    </rPh>
    <phoneticPr fontId="5"/>
  </si>
  <si>
    <r>
      <t>Ａ２．</t>
    </r>
    <r>
      <rPr>
        <b/>
        <sz val="11"/>
        <color theme="1"/>
        <rFont val="游ゴシック"/>
        <family val="3"/>
        <charset val="128"/>
        <scheme val="minor"/>
      </rPr>
      <t>反映させたくない科目の前に「#」などをつける</t>
    </r>
    <r>
      <rPr>
        <sz val="11"/>
        <color theme="1"/>
        <rFont val="游ゴシック"/>
        <family val="2"/>
        <charset val="128"/>
        <scheme val="minor"/>
      </rPr>
      <t>と，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に反映させなくなります．</t>
    </r>
    <rPh sb="3" eb="5">
      <t>ハンエイ</t>
    </rPh>
    <rPh sb="11" eb="13">
      <t>カモク</t>
    </rPh>
    <rPh sb="14" eb="15">
      <t>マエ</t>
    </rPh>
    <rPh sb="27" eb="31">
      <t>ジカンワリヒョウ</t>
    </rPh>
    <rPh sb="32" eb="34">
      <t>ハンエイ</t>
    </rPh>
    <phoneticPr fontId="5"/>
  </si>
  <si>
    <r>
      <t>Ｑ３．</t>
    </r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2"/>
        <charset val="128"/>
        <scheme val="minor"/>
      </rPr>
      <t>の履修登録のみ行ったのですが，単位数が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に反映されてしまうため，</t>
    </r>
    <rPh sb="7" eb="9">
      <t>ニュウリョク</t>
    </rPh>
    <rPh sb="13" eb="15">
      <t>リシュウ</t>
    </rPh>
    <rPh sb="15" eb="17">
      <t>トウロク</t>
    </rPh>
    <rPh sb="19" eb="20">
      <t>オコナ</t>
    </rPh>
    <rPh sb="27" eb="30">
      <t>タンイスウ</t>
    </rPh>
    <rPh sb="32" eb="35">
      <t>セイセキヒョウ</t>
    </rPh>
    <rPh sb="37" eb="39">
      <t>ハンエイ</t>
    </rPh>
    <phoneticPr fontId="5"/>
  </si>
  <si>
    <r>
      <t>Ａ３．システムの性質上，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と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の単位数は同期しております．</t>
    </r>
    <rPh sb="8" eb="11">
      <t>セイシツジョウ</t>
    </rPh>
    <rPh sb="13" eb="15">
      <t>ソウゴウ</t>
    </rPh>
    <rPh sb="15" eb="17">
      <t>タンイ</t>
    </rPh>
    <rPh sb="17" eb="18">
      <t>ヒョウ</t>
    </rPh>
    <rPh sb="21" eb="23">
      <t>セイセキ</t>
    </rPh>
    <rPh sb="23" eb="24">
      <t>ヒョウ</t>
    </rPh>
    <rPh sb="26" eb="29">
      <t>タンイスウ</t>
    </rPh>
    <rPh sb="30" eb="32">
      <t>ドウキ</t>
    </rPh>
    <phoneticPr fontId="5"/>
  </si>
  <si>
    <r>
      <t>　　　そのため，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のみ単位数を反映しないという処理はできません．</t>
    </r>
    <rPh sb="17" eb="18">
      <t>スウ</t>
    </rPh>
    <rPh sb="19" eb="21">
      <t>ハンエイ</t>
    </rPh>
    <rPh sb="27" eb="29">
      <t>ショリ</t>
    </rPh>
    <phoneticPr fontId="5"/>
  </si>
  <si>
    <t>　　　あれば，そのシート名の前に「#」などをつけることで参照が外れ，反映されなくなります．</t>
    <rPh sb="12" eb="13">
      <t>メイ</t>
    </rPh>
    <rPh sb="14" eb="15">
      <t>マエ</t>
    </rPh>
    <rPh sb="28" eb="30">
      <t>サンショウ</t>
    </rPh>
    <rPh sb="31" eb="32">
      <t>ハズ</t>
    </rPh>
    <rPh sb="34" eb="36">
      <t>ハンエイ</t>
    </rPh>
    <phoneticPr fontId="5"/>
  </si>
  <si>
    <r>
      <t>　　　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rFont val="游ゴシック"/>
        <family val="3"/>
        <charset val="128"/>
        <scheme val="minor"/>
      </rPr>
      <t>と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rFont val="游ゴシック"/>
        <family val="3"/>
        <charset val="128"/>
        <scheme val="minor"/>
      </rPr>
      <t>の両方</t>
    </r>
    <r>
      <rPr>
        <sz val="11"/>
        <color theme="1"/>
        <rFont val="游ゴシック"/>
        <family val="2"/>
        <charset val="128"/>
        <scheme val="minor"/>
      </rPr>
      <t>に，ある学期（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など）の単位数を反映したくないので</t>
    </r>
    <rPh sb="4" eb="6">
      <t>ソウゴウ</t>
    </rPh>
    <rPh sb="6" eb="8">
      <t>タンイ</t>
    </rPh>
    <rPh sb="8" eb="9">
      <t>ヒョウ</t>
    </rPh>
    <rPh sb="12" eb="14">
      <t>セイセキ</t>
    </rPh>
    <rPh sb="14" eb="15">
      <t>ヒョウ</t>
    </rPh>
    <rPh sb="17" eb="19">
      <t>リョウホウ</t>
    </rPh>
    <rPh sb="23" eb="25">
      <t>ガッキ</t>
    </rPh>
    <rPh sb="28" eb="29">
      <t>ネン</t>
    </rPh>
    <rPh sb="29" eb="30">
      <t>アキ</t>
    </rPh>
    <rPh sb="35" eb="38">
      <t>タンイスウ</t>
    </rPh>
    <rPh sb="39" eb="41">
      <t>ハンエイ</t>
    </rPh>
    <phoneticPr fontId="5"/>
  </si>
  <si>
    <r>
      <t>　　　その際，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にはシート×という状態表示がされますが，通算GPAに影響</t>
    </r>
    <rPh sb="5" eb="6">
      <t>サイ</t>
    </rPh>
    <rPh sb="8" eb="13">
      <t>ソウゴウタンイヒョウ</t>
    </rPh>
    <rPh sb="16" eb="18">
      <t>セイセキ</t>
    </rPh>
    <rPh sb="18" eb="19">
      <t>ヒョウ</t>
    </rPh>
    <rPh sb="29" eb="31">
      <t>ジョウタイ</t>
    </rPh>
    <rPh sb="31" eb="33">
      <t>ヒョウジ</t>
    </rPh>
    <rPh sb="40" eb="42">
      <t>ツウサン</t>
    </rPh>
    <rPh sb="46" eb="48">
      <t>エイキョウ</t>
    </rPh>
    <phoneticPr fontId="5"/>
  </si>
  <si>
    <r>
      <t>Ｑ４．</t>
    </r>
    <r>
      <rPr>
        <b/>
        <sz val="11"/>
        <color theme="5"/>
        <rFont val="游ゴシック"/>
        <family val="3"/>
        <charset val="128"/>
        <scheme val="minor"/>
      </rPr>
      <t>【科目一覧】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5"/>
        <rFont val="游ゴシック"/>
        <family val="3"/>
        <charset val="128"/>
        <scheme val="minor"/>
      </rPr>
      <t>【時間割表】</t>
    </r>
    <r>
      <rPr>
        <sz val="11"/>
        <color theme="1"/>
        <rFont val="游ゴシック"/>
        <family val="2"/>
        <charset val="128"/>
        <scheme val="minor"/>
      </rPr>
      <t>がシートに表示されません．</t>
    </r>
    <rPh sb="4" eb="6">
      <t>カモク</t>
    </rPh>
    <rPh sb="6" eb="8">
      <t>イチラン</t>
    </rPh>
    <rPh sb="11" eb="14">
      <t>ジカンワリ</t>
    </rPh>
    <rPh sb="14" eb="15">
      <t>ヒョウ</t>
    </rPh>
    <rPh sb="21" eb="23">
      <t>ヒョウジ</t>
    </rPh>
    <phoneticPr fontId="5"/>
  </si>
  <si>
    <r>
      <t>Ｑ５．間違って，ある学期（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など）のシートを消してしまいました．</t>
    </r>
    <rPh sb="3" eb="5">
      <t>マチガ</t>
    </rPh>
    <rPh sb="10" eb="12">
      <t>ガッキ</t>
    </rPh>
    <rPh sb="26" eb="27">
      <t>ケ</t>
    </rPh>
    <phoneticPr fontId="5"/>
  </si>
  <si>
    <r>
      <t>Ａ５．他の学期のシート（</t>
    </r>
    <r>
      <rPr>
        <b/>
        <sz val="11"/>
        <color theme="8"/>
        <rFont val="游ゴシック"/>
        <family val="3"/>
        <charset val="128"/>
        <scheme val="minor"/>
      </rPr>
      <t>【１年春】</t>
    </r>
    <r>
      <rPr>
        <sz val="11"/>
        <color theme="1"/>
        <rFont val="游ゴシック"/>
        <family val="2"/>
        <charset val="128"/>
        <scheme val="minor"/>
      </rPr>
      <t>など）をコピーし，シート名を全角で「１年秋」（全角）に変更す</t>
    </r>
    <rPh sb="3" eb="4">
      <t>ホカ</t>
    </rPh>
    <rPh sb="5" eb="7">
      <t>ガッキ</t>
    </rPh>
    <rPh sb="15" eb="16">
      <t>ハル</t>
    </rPh>
    <rPh sb="29" eb="30">
      <t>メイ</t>
    </rPh>
    <rPh sb="31" eb="33">
      <t>ゼンカク</t>
    </rPh>
    <rPh sb="36" eb="37">
      <t>ネン</t>
    </rPh>
    <rPh sb="37" eb="38">
      <t>アキ</t>
    </rPh>
    <rPh sb="40" eb="42">
      <t>ゼンカク</t>
    </rPh>
    <rPh sb="44" eb="46">
      <t>ヘンコウ</t>
    </rPh>
    <phoneticPr fontId="5"/>
  </si>
  <si>
    <r>
      <t>　　　なお，</t>
    </r>
    <r>
      <rPr>
        <b/>
        <sz val="11"/>
        <color theme="8"/>
        <rFont val="游ゴシック"/>
        <family val="3"/>
        <charset val="128"/>
        <scheme val="minor"/>
      </rPr>
      <t>【先取履修】</t>
    </r>
    <r>
      <rPr>
        <sz val="11"/>
        <color theme="1"/>
        <rFont val="游ゴシック"/>
        <family val="2"/>
        <charset val="128"/>
        <scheme val="minor"/>
      </rPr>
      <t>のシートは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などの他のシートと異なりますので，</t>
    </r>
    <r>
      <rPr>
        <b/>
        <sz val="11"/>
        <color theme="8"/>
        <rFont val="游ゴシック"/>
        <family val="3"/>
        <charset val="128"/>
        <scheme val="minor"/>
      </rPr>
      <t>【先取履修】</t>
    </r>
    <r>
      <rPr>
        <sz val="11"/>
        <color theme="1"/>
        <rFont val="游ゴシック"/>
        <family val="2"/>
        <charset val="128"/>
        <scheme val="minor"/>
      </rPr>
      <t>の</t>
    </r>
    <rPh sb="19" eb="20">
      <t>ネン</t>
    </rPh>
    <rPh sb="20" eb="21">
      <t>アキ</t>
    </rPh>
    <rPh sb="25" eb="26">
      <t>ホカ</t>
    </rPh>
    <rPh sb="31" eb="32">
      <t>コト</t>
    </rPh>
    <rPh sb="40" eb="42">
      <t>サキドリ</t>
    </rPh>
    <rPh sb="42" eb="44">
      <t>リシュウ</t>
    </rPh>
    <phoneticPr fontId="5"/>
  </si>
  <si>
    <r>
      <rPr>
        <sz val="6"/>
        <color rgb="FFFFFFFF"/>
        <rFont val="ＭＳ Ｐゴシック"/>
        <family val="3"/>
        <charset val="128"/>
      </rPr>
      <t>理学系</t>
    </r>
  </si>
  <si>
    <t>演習</t>
  </si>
  <si>
    <t>○</t>
  </si>
  <si>
    <t>日本語</t>
  </si>
  <si>
    <t>ESl5021</t>
  </si>
  <si>
    <t>毎年</t>
  </si>
  <si>
    <t>1･2</t>
  </si>
  <si>
    <t>ESl5022</t>
  </si>
  <si>
    <t>実務系</t>
  </si>
  <si>
    <t>実験・実習</t>
  </si>
  <si>
    <t>英語</t>
  </si>
  <si>
    <t>ESl5025</t>
  </si>
  <si>
    <r>
      <rPr>
        <sz val="6"/>
        <rFont val="ＭＳ Ｐゴシック"/>
        <family val="3"/>
        <charset val="128"/>
      </rPr>
      <t>（春）NC29811
（秋）NC29814</t>
    </r>
  </si>
  <si>
    <t>ESl5024</t>
  </si>
  <si>
    <t>春･秋</t>
  </si>
  <si>
    <r>
      <rPr>
        <sz val="6"/>
        <rFont val="ＭＳ Ｐゴシック"/>
        <family val="3"/>
        <charset val="128"/>
      </rPr>
      <t>（春）NC29821
（秋）NC29824</t>
    </r>
  </si>
  <si>
    <r>
      <rPr>
        <sz val="6"/>
        <rFont val="ＭＳ Ｐゴシック"/>
        <family val="3"/>
        <charset val="128"/>
      </rPr>
      <t>（春）NC29831
（秋）NC29834</t>
    </r>
  </si>
  <si>
    <t>【専門科目】  応用物理教育分野/情報システム教育分野/電気電子ネットワーク教育分野</t>
  </si>
  <si>
    <t>講義</t>
  </si>
  <si>
    <t>ESl4444</t>
  </si>
  <si>
    <t>工学系</t>
  </si>
  <si>
    <t>ESl5561</t>
  </si>
  <si>
    <t>羽路伸夫，吉川信行</t>
  </si>
  <si>
    <t>ESl5563</t>
  </si>
  <si>
    <t>奇数</t>
  </si>
  <si>
    <r>
      <rPr>
        <sz val="6"/>
        <color rgb="FFFFFFFF"/>
        <rFont val="ＭＳ Ｐゴシック"/>
        <family val="3"/>
        <charset val="128"/>
      </rPr>
      <t>情報系</t>
    </r>
  </si>
  <si>
    <t>ESl5564</t>
  </si>
  <si>
    <t>偶数</t>
  </si>
  <si>
    <t>ESl5436</t>
  </si>
  <si>
    <t>下野誠通，杉本千佳</t>
  </si>
  <si>
    <t>ESl5131</t>
  </si>
  <si>
    <t>ESl5234</t>
  </si>
  <si>
    <t>辻隆男，大矢剛嗣，水野洋輔，石川直樹</t>
  </si>
  <si>
    <t>ESl5111</t>
  </si>
  <si>
    <t>ESI5441</t>
  </si>
  <si>
    <t>ESl5122</t>
  </si>
  <si>
    <t>ESl4561</t>
  </si>
  <si>
    <t>応用物理教育分野各担当教員，辻宏之</t>
  </si>
  <si>
    <t>ESl5034</t>
  </si>
  <si>
    <t>情報システム教育分野各担当教員，辻宏之</t>
  </si>
  <si>
    <t>ESl5044</t>
  </si>
  <si>
    <t>電気電子ﾈｯﾄﾜｰｸ教育分野各担当教員，辻宏之</t>
  </si>
  <si>
    <t>ESl5054</t>
  </si>
  <si>
    <t>ESl5032</t>
  </si>
  <si>
    <t>ESl5042</t>
  </si>
  <si>
    <t>ESl5052</t>
  </si>
  <si>
    <r>
      <rPr>
        <sz val="6"/>
        <rFont val="ＭＳ Ｐゴシック"/>
        <family val="3"/>
        <charset val="128"/>
      </rPr>
      <t>（春）NC39811
（秋）NC39814</t>
    </r>
  </si>
  <si>
    <r>
      <rPr>
        <sz val="6"/>
        <rFont val="ＭＳ Ｐゴシック"/>
        <family val="3"/>
        <charset val="128"/>
      </rPr>
      <t>（春）NC39821
（秋）NC39824</t>
    </r>
  </si>
  <si>
    <r>
      <rPr>
        <sz val="6"/>
        <rFont val="ＭＳ Ｐゴシック"/>
        <family val="3"/>
        <charset val="128"/>
      </rPr>
      <t>（春）NC39831
（秋）NC39834</t>
    </r>
  </si>
  <si>
    <r>
      <rPr>
        <sz val="6"/>
        <rFont val="ＭＳ Ｐゴシック"/>
        <family val="3"/>
        <charset val="128"/>
      </rPr>
      <t>（春）NC39841
（秋）NC39844</t>
    </r>
  </si>
  <si>
    <r>
      <rPr>
        <sz val="6"/>
        <rFont val="ＭＳ Ｐゴシック"/>
        <family val="3"/>
        <charset val="128"/>
      </rPr>
      <t>（春）NC39851
（秋）NC39854</t>
    </r>
  </si>
  <si>
    <r>
      <rPr>
        <sz val="6"/>
        <rFont val="ＭＳ Ｐゴシック"/>
        <family val="3"/>
        <charset val="128"/>
      </rPr>
      <t>（春）NC39861
（秋）NC39864</t>
    </r>
  </si>
  <si>
    <r>
      <rPr>
        <sz val="6"/>
        <rFont val="ＭＳ Ｐゴシック"/>
        <family val="3"/>
        <charset val="128"/>
      </rPr>
      <t>（春）NC39871
（秋）NC39874</t>
    </r>
  </si>
  <si>
    <r>
      <rPr>
        <sz val="6"/>
        <rFont val="ＭＳ Ｐゴシック"/>
        <family val="3"/>
        <charset val="128"/>
      </rPr>
      <t>（春）NC39881
（秋）NC39884</t>
    </r>
  </si>
  <si>
    <r>
      <rPr>
        <sz val="6"/>
        <rFont val="ＭＳ Ｐゴシック"/>
        <family val="3"/>
        <charset val="128"/>
      </rPr>
      <t>（春）NC39891
（秋）NC39894</t>
    </r>
  </si>
  <si>
    <t>情報数学特論Ⅲ</t>
  </si>
  <si>
    <t>H420094</t>
  </si>
  <si>
    <t>牛越惠理佳,白崎実</t>
  </si>
  <si>
    <r>
      <t>1･2</t>
    </r>
    <r>
      <rPr>
        <sz val="11"/>
        <color theme="1"/>
        <rFont val="游ゴシック"/>
        <family val="2"/>
        <charset val="128"/>
        <scheme val="minor"/>
      </rPr>
      <t/>
    </r>
  </si>
  <si>
    <t>情報数学特論Ⅳ</t>
  </si>
  <si>
    <t>H420115</t>
  </si>
  <si>
    <t>数理アルゴリズム特論</t>
  </si>
  <si>
    <t>H420104</t>
  </si>
  <si>
    <t>四方順司</t>
  </si>
  <si>
    <t>数理解析モデリングⅠ</t>
  </si>
  <si>
    <t>H420124</t>
  </si>
  <si>
    <t>松井和己,山田貴博</t>
  </si>
  <si>
    <t>数理解析モデリングⅡ</t>
  </si>
  <si>
    <t>H420134</t>
  </si>
  <si>
    <t>第１ターム</t>
    <phoneticPr fontId="5"/>
  </si>
  <si>
    <t>セキュリティ解析Ⅰ</t>
  </si>
  <si>
    <t>H420234</t>
  </si>
  <si>
    <t>松本勉,吉岡克成</t>
  </si>
  <si>
    <t>マルチメディア情報学Ⅰ</t>
  </si>
  <si>
    <t>H420214</t>
  </si>
  <si>
    <t>富井尚志,他</t>
  </si>
  <si>
    <t>言語情報応用論Ⅰ</t>
  </si>
  <si>
    <t>H420204</t>
  </si>
  <si>
    <t>言語情報応用論Ⅱ</t>
  </si>
  <si>
    <t>H420245</t>
  </si>
  <si>
    <t>最適化と探索Ⅰ</t>
  </si>
  <si>
    <t>H420224</t>
  </si>
  <si>
    <t>長尾智晴,白川真一</t>
  </si>
  <si>
    <t>人間情報処理Ⅰ</t>
  </si>
  <si>
    <t>H420141</t>
  </si>
  <si>
    <t>人間情報処理Ⅱ</t>
  </si>
  <si>
    <t>H420182</t>
  </si>
  <si>
    <t>解析学特論Ⅰ</t>
  </si>
  <si>
    <t>H420314</t>
  </si>
  <si>
    <t>牛越惠理佳</t>
  </si>
  <si>
    <t>数理情報特論Ⅰ</t>
  </si>
  <si>
    <t>H420294</t>
  </si>
  <si>
    <t>小関健太,中本敦浩</t>
  </si>
  <si>
    <t>代数学特論Ⅰ</t>
  </si>
  <si>
    <t>H420304</t>
  </si>
  <si>
    <t>原下秀士,野間淳</t>
  </si>
  <si>
    <t>離散数学特論Ⅰ</t>
  </si>
  <si>
    <t>H420284</t>
  </si>
  <si>
    <t>セキュリティ解析Ⅱ</t>
  </si>
  <si>
    <t>H420375</t>
  </si>
  <si>
    <t>セキュリティ情報学Ⅱ</t>
  </si>
  <si>
    <t>H420321</t>
  </si>
  <si>
    <t>吉岡克成,他</t>
  </si>
  <si>
    <t>マルチメディア情報学Ⅱ</t>
  </si>
  <si>
    <t>H420355</t>
  </si>
  <si>
    <t>最適化と探索Ⅱ</t>
  </si>
  <si>
    <t>H420365</t>
  </si>
  <si>
    <t>解析学特論Ⅱ</t>
  </si>
  <si>
    <t>H420445</t>
  </si>
  <si>
    <t>数理情報特論Ⅱ</t>
  </si>
  <si>
    <t>H420425</t>
  </si>
  <si>
    <t>代数学特論Ⅱ</t>
  </si>
  <si>
    <t>H420435</t>
  </si>
  <si>
    <t>離散数学特論Ⅱ</t>
  </si>
  <si>
    <t>H420415</t>
  </si>
  <si>
    <t>理論言語学特論Ⅰ</t>
  </si>
  <si>
    <t>H420474</t>
  </si>
  <si>
    <t>理論言語学特論Ⅱ</t>
  </si>
  <si>
    <t>H420485</t>
  </si>
  <si>
    <t>科目名</t>
  </si>
  <si>
    <t>時間割コード</t>
  </si>
  <si>
    <t>担当教員</t>
  </si>
  <si>
    <r>
      <rPr>
        <sz val="6"/>
        <rFont val="游ゴシック"/>
        <family val="3"/>
        <charset val="128"/>
        <scheme val="minor"/>
      </rPr>
      <t>開講学期
/ターム</t>
    </r>
  </si>
  <si>
    <t>時限</t>
  </si>
  <si>
    <t>教室</t>
  </si>
  <si>
    <t>備考</t>
  </si>
  <si>
    <t>曜日</t>
  </si>
  <si>
    <t>高田一 、他</t>
  </si>
  <si>
    <t>実施場所はMPBL担当教員へ問い合わせること</t>
  </si>
  <si>
    <t>理工C - 101</t>
  </si>
  <si>
    <r>
      <rPr>
        <sz val="6"/>
        <rFont val="游ゴシック"/>
        <family val="3"/>
        <charset val="128"/>
        <scheme val="minor"/>
      </rPr>
      <t>a クラス</t>
    </r>
  </si>
  <si>
    <r>
      <rPr>
        <sz val="6"/>
        <rFont val="游ゴシック"/>
        <family val="3"/>
        <charset val="128"/>
        <scheme val="minor"/>
      </rPr>
      <t>b クラス</t>
    </r>
  </si>
  <si>
    <r>
      <rPr>
        <sz val="6"/>
        <rFont val="游ゴシック"/>
        <family val="3"/>
        <charset val="128"/>
        <scheme val="minor"/>
      </rPr>
      <t>c クラス</t>
    </r>
  </si>
  <si>
    <r>
      <rPr>
        <sz val="6"/>
        <rFont val="游ゴシック"/>
        <family val="3"/>
        <charset val="128"/>
        <scheme val="minor"/>
      </rPr>
      <t>d クラス</t>
    </r>
  </si>
  <si>
    <r>
      <rPr>
        <sz val="6"/>
        <rFont val="游ゴシック"/>
        <family val="3"/>
        <charset val="128"/>
        <scheme val="minor"/>
      </rPr>
      <t>e クラス</t>
    </r>
  </si>
  <si>
    <r>
      <rPr>
        <sz val="6"/>
        <rFont val="游ゴシック"/>
        <family val="3"/>
        <charset val="128"/>
        <scheme val="minor"/>
      </rPr>
      <t>f クラス</t>
    </r>
  </si>
  <si>
    <t>Presentation English S, Basic Level</t>
  </si>
  <si>
    <t>N00003A</t>
  </si>
  <si>
    <t>基礎棟 - 201</t>
  </si>
  <si>
    <t>N00003B</t>
  </si>
  <si>
    <t>N00003C</t>
  </si>
  <si>
    <t>N00003D</t>
  </si>
  <si>
    <t>Presentation English F, Basic Level</t>
  </si>
  <si>
    <t>N00004B</t>
  </si>
  <si>
    <t>院棟 - 605</t>
  </si>
  <si>
    <t>N000051</t>
  </si>
  <si>
    <t>理工A - 107</t>
  </si>
  <si>
    <t>―</t>
  </si>
  <si>
    <t>隔週開講 （初回講義日：4月12日）</t>
  </si>
  <si>
    <t>プロフェッショナルエンジニアⅠ</t>
  </si>
  <si>
    <t>N000091</t>
  </si>
  <si>
    <t>岩熊眞起 、他</t>
  </si>
  <si>
    <t>プロフェッショナルエンジニアⅡ</t>
  </si>
  <si>
    <t>N000104</t>
  </si>
  <si>
    <t>隔週開講 （初回講義日：4月10日）</t>
  </si>
  <si>
    <t>隔週開講 （初回講義日：4月26日）</t>
  </si>
  <si>
    <t>理工C - 102</t>
  </si>
  <si>
    <t>経営2 - 203</t>
  </si>
  <si>
    <t>理工A - 304</t>
  </si>
  <si>
    <t>理工A - 203</t>
  </si>
  <si>
    <t>理工A - 301</t>
  </si>
  <si>
    <t>機材 - 421</t>
  </si>
  <si>
    <t>理工A - 109</t>
  </si>
  <si>
    <t>理工A - 307</t>
  </si>
  <si>
    <t>理工A - 108</t>
  </si>
  <si>
    <t>奇数年度は開講しない</t>
  </si>
  <si>
    <t>有機光化学</t>
  </si>
  <si>
    <t>NB10054</t>
  </si>
  <si>
    <t>村田滋</t>
  </si>
  <si>
    <t>理工B - 201</t>
  </si>
  <si>
    <t>理工A - 106</t>
  </si>
  <si>
    <t>環情1 - 302</t>
  </si>
  <si>
    <t>化工 - 313</t>
  </si>
  <si>
    <t>理工B - 202</t>
  </si>
  <si>
    <t>理工A - 110</t>
  </si>
  <si>
    <t>総研W - 701</t>
  </si>
  <si>
    <t>総研W - 702</t>
  </si>
  <si>
    <t>電情 - 演Ⅰ</t>
  </si>
  <si>
    <t>理工A - 207</t>
  </si>
  <si>
    <t>理工C - 301</t>
  </si>
  <si>
    <t>電情 - 演Ⅱ</t>
  </si>
  <si>
    <t>【専攻共通科目】</t>
  </si>
  <si>
    <t>マシンダイナミクス</t>
  </si>
  <si>
    <t>NA10044</t>
  </si>
  <si>
    <t>高田一</t>
  </si>
  <si>
    <t>機材 - 601</t>
  </si>
  <si>
    <t>理工A - 302</t>
  </si>
  <si>
    <t>理工A - 208</t>
  </si>
  <si>
    <t>海洋 - 302</t>
  </si>
  <si>
    <t>理工A - 305</t>
  </si>
  <si>
    <t>情報ｾﾝ - PC-B</t>
  </si>
  <si>
    <t>【専門科目】</t>
  </si>
  <si>
    <t>理工A - 303</t>
  </si>
  <si>
    <t>材料組織設計学特論</t>
  </si>
  <si>
    <t>NA20104</t>
  </si>
  <si>
    <t>御手洗容子</t>
  </si>
  <si>
    <t>海洋 - 212</t>
  </si>
  <si>
    <t>環情1 - 811</t>
  </si>
  <si>
    <t>福戸淳司 、他</t>
  </si>
  <si>
    <t>理工A - 306</t>
  </si>
  <si>
    <t>別途周知</t>
  </si>
  <si>
    <t>環情1 - 310</t>
  </si>
  <si>
    <t>環情1 - 306</t>
  </si>
  <si>
    <t>藤原佑太 、他</t>
  </si>
  <si>
    <t>渡邉正義</t>
  </si>
  <si>
    <t>エネ - 501</t>
  </si>
  <si>
    <t>エネ - 502</t>
  </si>
  <si>
    <t>流体化学工学</t>
  </si>
  <si>
    <t>NB20094</t>
  </si>
  <si>
    <t>上ノ山周</t>
  </si>
  <si>
    <t>化工 - 214</t>
  </si>
  <si>
    <t>中村一穂</t>
  </si>
  <si>
    <t>化学 - 211</t>
  </si>
  <si>
    <t>環情1 - 315</t>
  </si>
  <si>
    <t>総研W - 204</t>
  </si>
  <si>
    <t>環情1 - 515</t>
  </si>
  <si>
    <t>小林憲正 、他</t>
  </si>
  <si>
    <t>化学 - 711</t>
  </si>
  <si>
    <t>院棟 - 205</t>
  </si>
  <si>
    <t>NB20174</t>
  </si>
  <si>
    <t>化工 - 111</t>
  </si>
  <si>
    <t>町田雅志 、他</t>
  </si>
  <si>
    <t>5/20（3-5限）、5/27,6/3,6/10（3-6限）</t>
  </si>
  <si>
    <t>山本博志 、他</t>
  </si>
  <si>
    <t>電情 - ゼミⅡ</t>
  </si>
  <si>
    <t>【専門科目】  数学教育分野</t>
  </si>
  <si>
    <t>【専門科目】  物理工学教育分野</t>
  </si>
  <si>
    <t>合田義弘</t>
  </si>
  <si>
    <t>香取哲平</t>
  </si>
  <si>
    <t>羽路伸夫</t>
  </si>
  <si>
    <t>NC30151</t>
  </si>
  <si>
    <t>高橋琢二</t>
  </si>
  <si>
    <t>水曜日3-5限（5/8-6/26）</t>
  </si>
  <si>
    <t>電情 - ゼミⅠ</t>
  </si>
  <si>
    <t>7/29,30,31, 8/1,2  （3-5限）</t>
  </si>
  <si>
    <t>日高邦彦</t>
  </si>
  <si>
    <t>数理プログラミング論</t>
  </si>
  <si>
    <t>NC30221</t>
  </si>
  <si>
    <t>- 教員室</t>
  </si>
  <si>
    <t>NC30254</t>
  </si>
  <si>
    <t>竹村泰司</t>
  </si>
  <si>
    <t>7月17日(水)</t>
  </si>
  <si>
    <t>大矢剛嗣 、他</t>
  </si>
  <si>
    <t>島圭介 、他</t>
  </si>
  <si>
    <t>4・5</t>
    <phoneticPr fontId="5"/>
  </si>
  <si>
    <t>重複判定</t>
    <rPh sb="0" eb="2">
      <t>チョウフク</t>
    </rPh>
    <rPh sb="2" eb="4">
      <t>ハンテイ</t>
    </rPh>
    <phoneticPr fontId="5"/>
  </si>
  <si>
    <t>Version 7.0 (2020/05/02)</t>
    <phoneticPr fontId="5"/>
  </si>
  <si>
    <t>version 7.0 (2020/05/02)</t>
    <phoneticPr fontId="5"/>
  </si>
  <si>
    <t>Web</t>
    <phoneticPr fontId="5"/>
  </si>
  <si>
    <t>NC30254</t>
    <phoneticPr fontId="5"/>
  </si>
  <si>
    <t>竹村泰司</t>
    <phoneticPr fontId="5"/>
  </si>
  <si>
    <r>
      <t>３．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に</t>
    </r>
    <r>
      <rPr>
        <b/>
        <sz val="11"/>
        <color rgb="FFFF7C80"/>
        <rFont val="游ゴシック"/>
        <family val="3"/>
        <charset val="128"/>
        <scheme val="minor"/>
      </rPr>
      <t>赤色のセル■（時限重複エラー/開講期エラー）</t>
    </r>
    <r>
      <rPr>
        <sz val="11"/>
        <color theme="1"/>
        <rFont val="游ゴシック"/>
        <family val="2"/>
        <charset val="128"/>
        <scheme val="minor"/>
      </rPr>
      <t>がないことを確認します．</t>
    </r>
    <rPh sb="2" eb="6">
      <t>ジカンワリヒョウ</t>
    </rPh>
    <rPh sb="7" eb="9">
      <t>タンイ</t>
    </rPh>
    <rPh sb="9" eb="10">
      <t>ヒョウ</t>
    </rPh>
    <rPh sb="11" eb="13">
      <t>アカイロ</t>
    </rPh>
    <rPh sb="18" eb="20">
      <t>ジゲン</t>
    </rPh>
    <rPh sb="20" eb="22">
      <t>チョウフク</t>
    </rPh>
    <rPh sb="26" eb="28">
      <t>カイコウ</t>
    </rPh>
    <rPh sb="28" eb="29">
      <t>キ</t>
    </rPh>
    <rPh sb="39" eb="41">
      <t>カクニン</t>
    </rPh>
    <phoneticPr fontId="5"/>
  </si>
  <si>
    <t>木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</si>
</sst>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yyyy/m/d\ h:mm;@"/>
    <numFmt numFmtId="178" formatCode="0_ "/>
    <numFmt numFmtId="179" formatCode="#"/>
    <numFmt numFmtId="180" formatCode="0.0_ "/>
  </numFmts>
  <fonts count="5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/>
      <name val="游ゴシック"/>
      <family val="3"/>
      <charset val="128"/>
      <scheme val="minor"/>
    </font>
    <font>
      <b/>
      <sz val="11"/>
      <color rgb="FF7030A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FF7C8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color rgb="FFFFFFFF"/>
      <name val="ＭＳ Ｐゴシック"/>
      <family val="3"/>
    </font>
    <font>
      <b/>
      <sz val="8.5"/>
      <name val="ＭＳ Ｐゴシック"/>
      <family val="3"/>
      <charset val="128"/>
    </font>
    <font>
      <sz val="6"/>
      <name val="ＭＳ Ｐゴシック"/>
      <family val="3"/>
    </font>
    <font>
      <sz val="6"/>
      <color rgb="FF000000"/>
      <name val="ＭＳ Ｐゴシック"/>
      <family val="2"/>
    </font>
    <font>
      <sz val="6"/>
      <color theme="1"/>
      <name val="游ゴシック"/>
      <family val="2"/>
      <charset val="128"/>
      <scheme val="minor"/>
    </font>
    <font>
      <b/>
      <sz val="12"/>
      <name val="游ゴシック"/>
      <family val="3"/>
      <charset val="128"/>
      <scheme val="minor"/>
    </font>
    <font>
      <b/>
      <sz val="18"/>
      <name val="游ゴシック"/>
      <family val="3"/>
      <charset val="128"/>
      <scheme val="minor"/>
    </font>
    <font>
      <sz val="18"/>
      <name val="游ゴシック"/>
      <family val="3"/>
      <charset val="128"/>
      <scheme val="minor"/>
    </font>
    <font>
      <b/>
      <sz val="6"/>
      <name val="ＭＳ Ｐゴシック"/>
      <family val="3"/>
      <charset val="128"/>
    </font>
    <font>
      <b/>
      <sz val="6"/>
      <name val="ＭＳ Ｐゴシック"/>
      <family val="3"/>
    </font>
    <font>
      <u/>
      <sz val="11"/>
      <color theme="10"/>
      <name val="游ゴシック"/>
      <family val="3"/>
      <charset val="128"/>
      <scheme val="minor"/>
    </font>
    <font>
      <u/>
      <sz val="10"/>
      <color theme="10"/>
      <name val="游ゴシック"/>
      <family val="3"/>
      <charset val="128"/>
      <scheme val="minor"/>
    </font>
    <font>
      <sz val="11"/>
      <color theme="6" tint="-0.249977111117893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b/>
      <sz val="11"/>
      <color theme="8"/>
      <name val="游ゴシック"/>
      <family val="3"/>
      <charset val="128"/>
      <scheme val="minor"/>
    </font>
    <font>
      <b/>
      <sz val="11"/>
      <color theme="9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6"/>
      <color theme="1"/>
      <name val="ＭＳ Ｐゴシック"/>
      <family val="3"/>
      <charset val="128"/>
    </font>
    <font>
      <sz val="6"/>
      <color rgb="FF000000"/>
      <name val="ＭＳ Ｐゴシック"/>
      <family val="3"/>
      <charset val="128"/>
    </font>
    <font>
      <sz val="12"/>
      <name val="游ゴシック"/>
      <family val="3"/>
      <charset val="128"/>
      <scheme val="minor"/>
    </font>
    <font>
      <b/>
      <sz val="11"/>
      <color rgb="FFFF9999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FF7C80"/>
      <name val="游ゴシック"/>
      <family val="3"/>
      <charset val="128"/>
      <scheme val="minor"/>
    </font>
    <font>
      <sz val="11"/>
      <color theme="9"/>
      <name val="游ゴシック"/>
      <family val="3"/>
      <charset val="128"/>
      <scheme val="minor"/>
    </font>
    <font>
      <sz val="6"/>
      <color rgb="FFFFFFFF"/>
      <name val="ＭＳ Ｐゴシック"/>
      <family val="3"/>
      <charset val="128"/>
    </font>
    <font>
      <sz val="6"/>
      <color rgb="FF262626"/>
      <name val="ＭＳ Ｐゴシック"/>
      <family val="3"/>
      <charset val="128"/>
    </font>
    <font>
      <b/>
      <sz val="8.5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sz val="6"/>
      <color rgb="FF000000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DEBF7"/>
      </patternFill>
    </fill>
    <fill>
      <patternFill patternType="solid">
        <fgColor rgb="FFD0CECE"/>
      </patternFill>
    </fill>
    <fill>
      <patternFill patternType="solid">
        <fgColor rgb="FF585858"/>
      </patternFill>
    </fill>
    <fill>
      <patternFill patternType="solid">
        <fgColor rgb="FF000000"/>
      </patternFill>
    </fill>
    <fill>
      <patternFill patternType="solid">
        <fgColor rgb="FF3F3F3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gradientFill degree="180">
        <stop position="0">
          <color theme="0"/>
        </stop>
        <stop position="1">
          <color theme="8" tint="0.40000610370189521"/>
        </stop>
      </gradientFill>
    </fill>
    <fill>
      <gradientFill degree="180">
        <stop position="0">
          <color theme="0"/>
        </stop>
        <stop position="1">
          <color theme="9" tint="0.40000610370189521"/>
        </stop>
      </gradientFill>
    </fill>
    <fill>
      <patternFill patternType="solid">
        <fgColor rgb="FFE8E8E8"/>
      </patternFill>
    </fill>
    <fill>
      <patternFill patternType="solid">
        <fgColor rgb="FFCECECE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gradientFill>
        <stop position="0">
          <color rgb="FF74C5CE"/>
        </stop>
        <stop position="1">
          <color theme="0"/>
        </stop>
      </gradientFill>
    </fill>
    <fill>
      <patternFill patternType="solid">
        <fgColor rgb="FFFFFFFF"/>
        <bgColor indexed="64"/>
      </patternFill>
    </fill>
    <fill>
      <gradientFill degree="180">
        <stop position="0">
          <color theme="0"/>
        </stop>
        <stop position="1">
          <color rgb="FFFF9966"/>
        </stop>
      </gradientFill>
    </fill>
  </fills>
  <borders count="95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 diagonalDown="1"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 style="medium">
        <color indexed="64"/>
      </top>
      <bottom style="thin">
        <color auto="1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thin">
        <color auto="1"/>
      </left>
      <right style="double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 diagonalDown="1">
      <left style="medium">
        <color indexed="64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 style="medium">
        <color indexed="64"/>
      </left>
      <right style="thin">
        <color auto="1"/>
      </right>
      <top/>
      <bottom style="thin">
        <color auto="1"/>
      </bottom>
      <diagonal style="thin">
        <color auto="1"/>
      </diagonal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A0A0A0"/>
      </left>
      <right style="medium">
        <color rgb="FFA0A0A0"/>
      </right>
      <top style="medium">
        <color rgb="FFA0A0A0"/>
      </top>
      <bottom style="medium">
        <color rgb="FFA0A0A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660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6" fillId="0" borderId="0" xfId="12" applyAlignment="1">
      <alignment horizontal="center" vertical="center" wrapText="1"/>
    </xf>
    <xf numFmtId="0" fontId="28" fillId="0" borderId="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7" fillId="13" borderId="7" xfId="0" applyFont="1" applyFill="1" applyBorder="1" applyAlignment="1" applyProtection="1">
      <alignment horizontal="left" vertical="center"/>
    </xf>
    <xf numFmtId="0" fontId="7" fillId="13" borderId="12" xfId="0" applyFont="1" applyFill="1" applyBorder="1" applyAlignment="1" applyProtection="1">
      <alignment horizontal="center" vertical="center"/>
    </xf>
    <xf numFmtId="0" fontId="7" fillId="13" borderId="3" xfId="7" applyFont="1" applyFill="1" applyBorder="1" applyAlignment="1" applyProtection="1">
      <alignment horizontal="left" vertical="center"/>
    </xf>
    <xf numFmtId="0" fontId="7" fillId="13" borderId="3" xfId="0" applyFont="1" applyFill="1" applyBorder="1" applyAlignment="1" applyProtection="1">
      <alignment horizontal="left" vertical="center"/>
    </xf>
    <xf numFmtId="0" fontId="7" fillId="13" borderId="9" xfId="7" applyFont="1" applyFill="1" applyBorder="1" applyAlignment="1" applyProtection="1">
      <alignment horizontal="left" vertical="center"/>
    </xf>
    <xf numFmtId="0" fontId="7" fillId="13" borderId="55" xfId="0" applyFont="1" applyFill="1" applyBorder="1" applyAlignment="1" applyProtection="1">
      <alignment horizontal="center" vertical="center"/>
    </xf>
    <xf numFmtId="0" fontId="23" fillId="21" borderId="2" xfId="0" applyFont="1" applyFill="1" applyBorder="1" applyAlignment="1">
      <alignment horizontal="center" vertical="center" wrapText="1"/>
    </xf>
    <xf numFmtId="0" fontId="23" fillId="22" borderId="2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1" fontId="27" fillId="0" borderId="2" xfId="0" applyNumberFormat="1" applyFont="1" applyBorder="1" applyAlignment="1">
      <alignment horizontal="center" vertical="center" shrinkToFit="1"/>
    </xf>
    <xf numFmtId="0" fontId="28" fillId="0" borderId="2" xfId="0" applyFont="1" applyBorder="1" applyAlignment="1">
      <alignment horizontal="center" vertical="center" wrapText="1"/>
    </xf>
    <xf numFmtId="0" fontId="23" fillId="23" borderId="2" xfId="0" applyFont="1" applyFill="1" applyBorder="1" applyAlignment="1">
      <alignment horizontal="center" vertical="center" wrapText="1"/>
    </xf>
    <xf numFmtId="0" fontId="23" fillId="24" borderId="2" xfId="0" applyFont="1" applyFill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 wrapText="1"/>
    </xf>
    <xf numFmtId="0" fontId="23" fillId="13" borderId="2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26" fillId="21" borderId="2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7" fillId="19" borderId="0" xfId="0" applyFont="1" applyFill="1" applyBorder="1" applyAlignment="1">
      <alignment horizontal="left" vertical="center"/>
    </xf>
    <xf numFmtId="0" fontId="7" fillId="19" borderId="49" xfId="0" applyFont="1" applyFill="1" applyBorder="1" applyAlignment="1">
      <alignment horizontal="left" vertical="center"/>
    </xf>
    <xf numFmtId="0" fontId="7" fillId="19" borderId="35" xfId="0" applyFont="1" applyFill="1" applyBorder="1" applyAlignment="1">
      <alignment horizontal="left" vertical="center"/>
    </xf>
    <xf numFmtId="0" fontId="7" fillId="19" borderId="36" xfId="0" applyFont="1" applyFill="1" applyBorder="1" applyAlignment="1">
      <alignment horizontal="left" vertical="center"/>
    </xf>
    <xf numFmtId="0" fontId="7" fillId="19" borderId="48" xfId="0" applyFont="1" applyFill="1" applyBorder="1" applyAlignment="1">
      <alignment horizontal="left" vertical="center"/>
    </xf>
    <xf numFmtId="0" fontId="7" fillId="19" borderId="62" xfId="0" applyFont="1" applyFill="1" applyBorder="1" applyAlignment="1">
      <alignment horizontal="left" vertical="center"/>
    </xf>
    <xf numFmtId="0" fontId="34" fillId="19" borderId="60" xfId="12" applyFont="1" applyFill="1" applyBorder="1" applyAlignment="1">
      <alignment vertical="center" wrapText="1"/>
    </xf>
    <xf numFmtId="0" fontId="34" fillId="19" borderId="61" xfId="12" applyFont="1" applyFill="1" applyBorder="1" applyAlignment="1">
      <alignment vertical="center" wrapText="1"/>
    </xf>
    <xf numFmtId="0" fontId="34" fillId="19" borderId="59" xfId="12" applyFont="1" applyFill="1" applyBorder="1" applyAlignment="1">
      <alignment vertical="center"/>
    </xf>
    <xf numFmtId="0" fontId="9" fillId="19" borderId="35" xfId="0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28" fillId="19" borderId="60" xfId="0" applyFont="1" applyFill="1" applyBorder="1" applyAlignment="1">
      <alignment horizontal="center" vertical="center"/>
    </xf>
    <xf numFmtId="0" fontId="28" fillId="19" borderId="61" xfId="0" applyFont="1" applyFill="1" applyBorder="1" applyAlignment="1">
      <alignment horizontal="center" vertical="center"/>
    </xf>
    <xf numFmtId="0" fontId="10" fillId="19" borderId="62" xfId="0" applyFont="1" applyFill="1" applyBorder="1" applyAlignment="1">
      <alignment horizontal="center" vertical="center" wrapText="1"/>
    </xf>
    <xf numFmtId="0" fontId="16" fillId="19" borderId="62" xfId="12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9" fillId="14" borderId="0" xfId="0" applyFont="1" applyFill="1" applyAlignment="1">
      <alignment vertical="center"/>
    </xf>
    <xf numFmtId="0" fontId="9" fillId="16" borderId="0" xfId="0" applyFont="1" applyFill="1" applyAlignment="1">
      <alignment vertical="center"/>
    </xf>
    <xf numFmtId="0" fontId="28" fillId="16" borderId="0" xfId="0" applyFont="1" applyFill="1" applyAlignment="1">
      <alignment horizontal="center" vertical="center"/>
    </xf>
    <xf numFmtId="0" fontId="11" fillId="34" borderId="49" xfId="0" applyFont="1" applyFill="1" applyBorder="1" applyAlignment="1">
      <alignment horizontal="left" vertical="center"/>
    </xf>
    <xf numFmtId="0" fontId="9" fillId="34" borderId="35" xfId="0" applyFont="1" applyFill="1" applyBorder="1" applyAlignment="1">
      <alignment horizontal="center" vertical="center"/>
    </xf>
    <xf numFmtId="0" fontId="11" fillId="34" borderId="48" xfId="0" applyFont="1" applyFill="1" applyBorder="1" applyAlignment="1">
      <alignment horizontal="left" vertical="center"/>
    </xf>
    <xf numFmtId="0" fontId="35" fillId="34" borderId="59" xfId="12" applyFont="1" applyFill="1" applyBorder="1" applyAlignment="1">
      <alignment horizontal="left" vertical="center"/>
    </xf>
    <xf numFmtId="0" fontId="28" fillId="34" borderId="60" xfId="0" applyFont="1" applyFill="1" applyBorder="1" applyAlignment="1">
      <alignment horizontal="center" vertical="center"/>
    </xf>
    <xf numFmtId="0" fontId="28" fillId="34" borderId="35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7" fillId="19" borderId="35" xfId="0" applyFont="1" applyFill="1" applyBorder="1" applyAlignment="1">
      <alignment horizontal="center" vertical="center"/>
    </xf>
    <xf numFmtId="0" fontId="7" fillId="19" borderId="0" xfId="0" applyFont="1" applyFill="1" applyBorder="1" applyAlignment="1">
      <alignment horizontal="center" vertical="center"/>
    </xf>
    <xf numFmtId="0" fontId="7" fillId="19" borderId="60" xfId="0" applyFont="1" applyFill="1" applyBorder="1" applyAlignment="1">
      <alignment horizontal="center" vertical="center"/>
    </xf>
    <xf numFmtId="0" fontId="26" fillId="1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179" fontId="7" fillId="13" borderId="27" xfId="7" applyNumberFormat="1" applyFont="1" applyFill="1" applyBorder="1" applyAlignment="1" applyProtection="1">
      <alignment horizontal="right" vertical="center"/>
    </xf>
    <xf numFmtId="179" fontId="7" fillId="13" borderId="60" xfId="7" applyNumberFormat="1" applyFont="1" applyFill="1" applyBorder="1" applyAlignment="1" applyProtection="1">
      <alignment horizontal="right" vertical="center"/>
    </xf>
    <xf numFmtId="179" fontId="7" fillId="13" borderId="69" xfId="7" applyNumberFormat="1" applyFont="1" applyFill="1" applyBorder="1" applyAlignment="1" applyProtection="1">
      <alignment horizontal="right" vertical="center"/>
    </xf>
    <xf numFmtId="0" fontId="7" fillId="13" borderId="32" xfId="0" applyFont="1" applyFill="1" applyBorder="1" applyAlignment="1" applyProtection="1">
      <alignment horizontal="left" vertical="center"/>
    </xf>
    <xf numFmtId="0" fontId="7" fillId="13" borderId="23" xfId="0" applyFont="1" applyFill="1" applyBorder="1" applyAlignment="1" applyProtection="1">
      <alignment horizontal="center" vertical="center"/>
    </xf>
    <xf numFmtId="0" fontId="7" fillId="13" borderId="76" xfId="0" applyFont="1" applyFill="1" applyBorder="1" applyAlignment="1" applyProtection="1">
      <alignment horizontal="center" vertical="center"/>
    </xf>
    <xf numFmtId="0" fontId="7" fillId="13" borderId="75" xfId="0" applyFont="1" applyFill="1" applyBorder="1" applyAlignment="1" applyProtection="1">
      <alignment horizontal="center" vertical="center"/>
    </xf>
    <xf numFmtId="0" fontId="7" fillId="13" borderId="77" xfId="0" applyFont="1" applyFill="1" applyBorder="1" applyAlignment="1" applyProtection="1">
      <alignment horizontal="center" vertical="center"/>
    </xf>
    <xf numFmtId="0" fontId="6" fillId="13" borderId="69" xfId="0" applyFont="1" applyFill="1" applyBorder="1" applyAlignment="1" applyProtection="1">
      <alignment horizontal="center" vertical="center"/>
    </xf>
    <xf numFmtId="0" fontId="6" fillId="13" borderId="27" xfId="0" applyFont="1" applyFill="1" applyBorder="1" applyAlignment="1" applyProtection="1">
      <alignment horizontal="center" vertical="center"/>
    </xf>
    <xf numFmtId="0" fontId="6" fillId="13" borderId="60" xfId="0" applyFont="1" applyFill="1" applyBorder="1" applyAlignment="1" applyProtection="1">
      <alignment horizontal="center" vertical="center"/>
    </xf>
    <xf numFmtId="0" fontId="7" fillId="13" borderId="0" xfId="0" applyFont="1" applyFill="1" applyProtection="1">
      <alignment vertical="center"/>
    </xf>
    <xf numFmtId="0" fontId="7" fillId="13" borderId="0" xfId="0" applyFont="1" applyFill="1" applyBorder="1" applyProtection="1">
      <alignment vertical="center"/>
    </xf>
    <xf numFmtId="0" fontId="7" fillId="13" borderId="0" xfId="0" applyFont="1" applyFill="1" applyAlignment="1" applyProtection="1">
      <alignment horizontal="center" vertical="center"/>
    </xf>
    <xf numFmtId="0" fontId="7" fillId="0" borderId="0" xfId="0" applyFont="1" applyProtection="1">
      <alignment vertical="center"/>
    </xf>
    <xf numFmtId="0" fontId="14" fillId="13" borderId="0" xfId="0" applyFont="1" applyFill="1" applyProtection="1">
      <alignment vertical="center"/>
    </xf>
    <xf numFmtId="0" fontId="31" fillId="13" borderId="0" xfId="1" applyFont="1" applyFill="1" applyAlignment="1" applyProtection="1">
      <alignment vertical="center"/>
    </xf>
    <xf numFmtId="0" fontId="31" fillId="0" borderId="0" xfId="1" applyFont="1" applyAlignment="1" applyProtection="1">
      <alignment vertical="center"/>
    </xf>
    <xf numFmtId="0" fontId="14" fillId="0" borderId="0" xfId="0" applyFont="1" applyProtection="1">
      <alignment vertical="center"/>
    </xf>
    <xf numFmtId="0" fontId="14" fillId="13" borderId="0" xfId="0" applyFont="1" applyFill="1" applyBorder="1" applyProtection="1">
      <alignment vertical="center"/>
    </xf>
    <xf numFmtId="0" fontId="14" fillId="13" borderId="0" xfId="0" applyFont="1" applyFill="1" applyAlignment="1" applyProtection="1">
      <alignment horizontal="center" vertical="center"/>
    </xf>
    <xf numFmtId="0" fontId="7" fillId="13" borderId="22" xfId="0" applyFont="1" applyFill="1" applyBorder="1" applyAlignment="1" applyProtection="1">
      <alignment horizontal="center" vertical="center"/>
    </xf>
    <xf numFmtId="0" fontId="7" fillId="13" borderId="41" xfId="0" applyFont="1" applyFill="1" applyBorder="1" applyAlignment="1" applyProtection="1">
      <alignment horizontal="center" vertical="center"/>
    </xf>
    <xf numFmtId="0" fontId="7" fillId="13" borderId="78" xfId="0" applyFont="1" applyFill="1" applyBorder="1" applyAlignment="1" applyProtection="1">
      <alignment horizontal="center" vertical="center"/>
    </xf>
    <xf numFmtId="0" fontId="7" fillId="13" borderId="18" xfId="0" applyFont="1" applyFill="1" applyBorder="1" applyAlignment="1" applyProtection="1">
      <alignment horizontal="center" vertical="center"/>
    </xf>
    <xf numFmtId="0" fontId="7" fillId="13" borderId="2" xfId="0" applyFont="1" applyFill="1" applyBorder="1" applyAlignment="1" applyProtection="1">
      <alignment horizontal="center" vertical="center"/>
    </xf>
    <xf numFmtId="0" fontId="7" fillId="13" borderId="79" xfId="0" applyFont="1" applyFill="1" applyBorder="1" applyAlignment="1" applyProtection="1">
      <alignment horizontal="center" vertical="center"/>
    </xf>
    <xf numFmtId="0" fontId="6" fillId="13" borderId="24" xfId="9" applyFont="1" applyFill="1" applyBorder="1" applyAlignment="1" applyProtection="1">
      <alignment horizontal="center" vertical="center"/>
    </xf>
    <xf numFmtId="0" fontId="6" fillId="13" borderId="5" xfId="9" applyFont="1" applyFill="1" applyBorder="1" applyAlignment="1" applyProtection="1">
      <alignment horizontal="center" vertical="center"/>
    </xf>
    <xf numFmtId="0" fontId="6" fillId="13" borderId="80" xfId="9" applyFont="1" applyFill="1" applyBorder="1" applyAlignment="1" applyProtection="1">
      <alignment horizontal="center" vertical="center"/>
    </xf>
    <xf numFmtId="0" fontId="7" fillId="0" borderId="0" xfId="0" applyFont="1" applyFill="1" applyBorder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6" fillId="14" borderId="17" xfId="0" applyFont="1" applyFill="1" applyBorder="1" applyAlignment="1" applyProtection="1">
      <alignment horizontal="center" vertical="center"/>
    </xf>
    <xf numFmtId="0" fontId="6" fillId="14" borderId="18" xfId="0" applyFont="1" applyFill="1" applyBorder="1" applyAlignment="1" applyProtection="1">
      <alignment horizontal="center" vertical="center"/>
    </xf>
    <xf numFmtId="0" fontId="6" fillId="14" borderId="2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6" fillId="13" borderId="28" xfId="0" applyFont="1" applyFill="1" applyBorder="1" applyAlignment="1" applyProtection="1">
      <alignment horizontal="center" vertical="center"/>
    </xf>
    <xf numFmtId="0" fontId="0" fillId="13" borderId="12" xfId="0" applyFill="1" applyBorder="1" applyAlignment="1" applyProtection="1">
      <alignment horizontal="left" vertical="center"/>
    </xf>
    <xf numFmtId="0" fontId="6" fillId="13" borderId="4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13" borderId="55" xfId="0" applyFill="1" applyBorder="1" applyAlignment="1" applyProtection="1">
      <alignment horizontal="left" vertical="center"/>
    </xf>
    <xf numFmtId="0" fontId="6" fillId="13" borderId="6" xfId="0" applyFont="1" applyFill="1" applyBorder="1" applyAlignment="1" applyProtection="1">
      <alignment horizontal="center" vertical="center"/>
      <protection locked="0"/>
    </xf>
    <xf numFmtId="0" fontId="6" fillId="13" borderId="43" xfId="0" applyFont="1" applyFill="1" applyBorder="1" applyAlignment="1" applyProtection="1">
      <alignment horizontal="center" vertical="center"/>
      <protection locked="0"/>
    </xf>
    <xf numFmtId="0" fontId="7" fillId="37" borderId="0" xfId="0" applyFont="1" applyFill="1" applyProtection="1">
      <alignment vertical="center"/>
    </xf>
    <xf numFmtId="0" fontId="14" fillId="37" borderId="0" xfId="0" applyFont="1" applyFill="1" applyProtection="1">
      <alignment vertical="center"/>
    </xf>
    <xf numFmtId="0" fontId="36" fillId="13" borderId="0" xfId="0" applyFont="1" applyFill="1" applyProtection="1">
      <alignment vertical="center"/>
    </xf>
    <xf numFmtId="0" fontId="36" fillId="37" borderId="0" xfId="0" applyFont="1" applyFill="1" applyProtection="1">
      <alignment vertical="center"/>
    </xf>
    <xf numFmtId="0" fontId="14" fillId="32" borderId="44" xfId="0" applyFont="1" applyFill="1" applyBorder="1" applyAlignment="1" applyProtection="1">
      <alignment horizontal="center" vertical="center"/>
    </xf>
    <xf numFmtId="0" fontId="14" fillId="30" borderId="15" xfId="0" applyFont="1" applyFill="1" applyBorder="1" applyAlignment="1" applyProtection="1">
      <alignment horizontal="center" vertical="center"/>
    </xf>
    <xf numFmtId="0" fontId="14" fillId="13" borderId="0" xfId="0" applyFont="1" applyFill="1" applyBorder="1" applyAlignment="1" applyProtection="1">
      <alignment horizontal="center" vertical="center"/>
    </xf>
    <xf numFmtId="0" fontId="7" fillId="37" borderId="0" xfId="0" applyFont="1" applyFill="1" applyAlignment="1" applyProtection="1">
      <alignment horizontal="center" vertical="center"/>
    </xf>
    <xf numFmtId="178" fontId="0" fillId="13" borderId="0" xfId="0" applyNumberFormat="1" applyFill="1" applyAlignment="1" applyProtection="1">
      <alignment horizontal="center" vertical="center"/>
    </xf>
    <xf numFmtId="0" fontId="0" fillId="37" borderId="0" xfId="0" applyFill="1" applyAlignment="1" applyProtection="1">
      <alignment horizontal="center" vertical="center"/>
    </xf>
    <xf numFmtId="0" fontId="7" fillId="15" borderId="23" xfId="0" applyFont="1" applyFill="1" applyBorder="1" applyAlignment="1" applyProtection="1">
      <alignment horizontal="center" vertical="center"/>
    </xf>
    <xf numFmtId="0" fontId="0" fillId="17" borderId="44" xfId="0" applyFill="1" applyBorder="1" applyAlignment="1" applyProtection="1">
      <alignment horizontal="center" vertical="center"/>
    </xf>
    <xf numFmtId="0" fontId="7" fillId="15" borderId="19" xfId="0" applyFont="1" applyFill="1" applyBorder="1" applyAlignment="1" applyProtection="1">
      <alignment horizontal="center" vertical="center"/>
    </xf>
    <xf numFmtId="0" fontId="14" fillId="15" borderId="74" xfId="0" applyFont="1" applyFill="1" applyBorder="1" applyAlignment="1" applyProtection="1">
      <alignment horizontal="center" vertical="center"/>
    </xf>
    <xf numFmtId="0" fontId="14" fillId="15" borderId="40" xfId="0" applyFont="1" applyFill="1" applyBorder="1" applyAlignment="1" applyProtection="1">
      <alignment horizontal="center" vertical="center"/>
    </xf>
    <xf numFmtId="0" fontId="14" fillId="13" borderId="0" xfId="0" applyFont="1" applyFill="1" applyBorder="1" applyAlignment="1" applyProtection="1">
      <alignment vertical="center"/>
    </xf>
    <xf numFmtId="0" fontId="0" fillId="17" borderId="52" xfId="0" applyFill="1" applyBorder="1" applyAlignment="1" applyProtection="1">
      <alignment horizontal="center" vertical="center"/>
    </xf>
    <xf numFmtId="178" fontId="6" fillId="13" borderId="6" xfId="0" applyNumberFormat="1" applyFont="1" applyFill="1" applyBorder="1" applyAlignment="1" applyProtection="1">
      <alignment horizontal="center" vertical="center"/>
    </xf>
    <xf numFmtId="0" fontId="0" fillId="13" borderId="17" xfId="0" applyFill="1" applyBorder="1" applyAlignment="1" applyProtection="1">
      <alignment horizontal="center" vertical="center"/>
    </xf>
    <xf numFmtId="0" fontId="0" fillId="13" borderId="12" xfId="0" applyFill="1" applyBorder="1" applyAlignment="1" applyProtection="1">
      <alignment horizontal="center" vertical="center"/>
    </xf>
    <xf numFmtId="0" fontId="0" fillId="13" borderId="0" xfId="0" applyNumberFormat="1" applyFill="1" applyAlignment="1" applyProtection="1">
      <alignment horizontal="center" vertical="center"/>
    </xf>
    <xf numFmtId="178" fontId="6" fillId="13" borderId="43" xfId="0" applyNumberFormat="1" applyFont="1" applyFill="1" applyBorder="1" applyAlignment="1" applyProtection="1">
      <alignment horizontal="center" vertical="center"/>
    </xf>
    <xf numFmtId="0" fontId="0" fillId="13" borderId="42" xfId="0" applyFill="1" applyBorder="1" applyAlignment="1" applyProtection="1">
      <alignment horizontal="center" vertical="center"/>
    </xf>
    <xf numFmtId="0" fontId="14" fillId="13" borderId="0" xfId="1" applyFont="1" applyFill="1" applyAlignment="1" applyProtection="1">
      <alignment horizontal="center" vertical="center"/>
    </xf>
    <xf numFmtId="0" fontId="14" fillId="13" borderId="0" xfId="1" applyFont="1" applyFill="1" applyAlignment="1" applyProtection="1">
      <alignment vertical="center"/>
    </xf>
    <xf numFmtId="0" fontId="18" fillId="6" borderId="71" xfId="6" applyFont="1" applyBorder="1" applyAlignment="1" applyProtection="1">
      <alignment horizontal="center" vertical="center"/>
    </xf>
    <xf numFmtId="0" fontId="8" fillId="0" borderId="0" xfId="6" applyFont="1" applyFill="1" applyBorder="1" applyAlignment="1" applyProtection="1">
      <alignment horizontal="center" vertical="center"/>
    </xf>
    <xf numFmtId="0" fontId="8" fillId="6" borderId="68" xfId="6" applyFont="1" applyBorder="1" applyAlignment="1" applyProtection="1">
      <alignment horizontal="center" vertical="center"/>
    </xf>
    <xf numFmtId="0" fontId="8" fillId="6" borderId="24" xfId="6" applyFont="1" applyBorder="1" applyAlignment="1" applyProtection="1">
      <alignment horizontal="center" vertical="center"/>
    </xf>
    <xf numFmtId="0" fontId="8" fillId="6" borderId="19" xfId="6" applyFont="1" applyBorder="1" applyAlignment="1" applyProtection="1">
      <alignment horizontal="center" vertical="center"/>
    </xf>
    <xf numFmtId="0" fontId="12" fillId="0" borderId="0" xfId="6" applyFont="1" applyFill="1" applyBorder="1" applyAlignment="1" applyProtection="1">
      <alignment horizontal="center" vertical="center"/>
    </xf>
    <xf numFmtId="0" fontId="7" fillId="13" borderId="71" xfId="0" applyFont="1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right" vertical="center"/>
    </xf>
    <xf numFmtId="0" fontId="7" fillId="13" borderId="67" xfId="0" applyFont="1" applyFill="1" applyBorder="1" applyAlignment="1" applyProtection="1">
      <alignment horizontal="center" vertical="center"/>
    </xf>
    <xf numFmtId="0" fontId="7" fillId="13" borderId="11" xfId="0" applyFont="1" applyFill="1" applyBorder="1" applyAlignment="1" applyProtection="1">
      <alignment horizontal="center" vertical="center"/>
    </xf>
    <xf numFmtId="0" fontId="7" fillId="13" borderId="0" xfId="7" applyFont="1" applyFill="1" applyBorder="1" applyAlignment="1" applyProtection="1">
      <alignment horizontal="right" vertical="center"/>
    </xf>
    <xf numFmtId="176" fontId="13" fillId="13" borderId="72" xfId="7" applyNumberFormat="1" applyFont="1" applyFill="1" applyBorder="1" applyAlignment="1" applyProtection="1">
      <alignment horizontal="center" vertical="center"/>
    </xf>
    <xf numFmtId="176" fontId="6" fillId="13" borderId="11" xfId="7" applyNumberFormat="1" applyFont="1" applyFill="1" applyBorder="1" applyAlignment="1" applyProtection="1">
      <alignment horizontal="center" vertical="center"/>
    </xf>
    <xf numFmtId="0" fontId="6" fillId="13" borderId="0" xfId="7" applyFont="1" applyFill="1" applyBorder="1" applyAlignment="1" applyProtection="1">
      <alignment horizontal="right" vertical="center"/>
    </xf>
    <xf numFmtId="0" fontId="15" fillId="13" borderId="67" xfId="7" applyFont="1" applyFill="1" applyBorder="1" applyAlignment="1" applyProtection="1">
      <alignment horizontal="center" vertical="center"/>
    </xf>
    <xf numFmtId="0" fontId="15" fillId="13" borderId="18" xfId="7" applyFont="1" applyFill="1" applyBorder="1" applyAlignment="1" applyProtection="1">
      <alignment horizontal="center" vertical="center"/>
    </xf>
    <xf numFmtId="0" fontId="15" fillId="13" borderId="11" xfId="7" applyFont="1" applyFill="1" applyBorder="1" applyAlignment="1" applyProtection="1">
      <alignment horizontal="center" vertical="center"/>
    </xf>
    <xf numFmtId="0" fontId="13" fillId="13" borderId="0" xfId="7" applyFont="1" applyFill="1" applyBorder="1" applyProtection="1">
      <alignment vertical="center"/>
    </xf>
    <xf numFmtId="0" fontId="14" fillId="13" borderId="67" xfId="0" applyFont="1" applyFill="1" applyBorder="1" applyAlignment="1" applyProtection="1">
      <alignment horizontal="center" vertical="center"/>
    </xf>
    <xf numFmtId="0" fontId="14" fillId="13" borderId="18" xfId="0" applyFont="1" applyFill="1" applyBorder="1" applyAlignment="1" applyProtection="1">
      <alignment horizontal="center" vertical="center"/>
    </xf>
    <xf numFmtId="176" fontId="15" fillId="13" borderId="72" xfId="0" applyNumberFormat="1" applyFont="1" applyFill="1" applyBorder="1" applyAlignment="1" applyProtection="1">
      <alignment horizontal="center" vertical="center"/>
    </xf>
    <xf numFmtId="176" fontId="15" fillId="13" borderId="11" xfId="0" applyNumberFormat="1" applyFont="1" applyFill="1" applyBorder="1" applyAlignment="1" applyProtection="1">
      <alignment horizontal="center" vertical="center"/>
    </xf>
    <xf numFmtId="0" fontId="6" fillId="13" borderId="0" xfId="0" applyFont="1" applyFill="1" applyBorder="1" applyAlignment="1" applyProtection="1">
      <alignment horizontal="right" vertical="center"/>
    </xf>
    <xf numFmtId="0" fontId="13" fillId="13" borderId="0" xfId="7" applyFont="1" applyFill="1" applyBorder="1" applyAlignment="1" applyProtection="1">
      <alignment horizontal="right" vertical="center"/>
    </xf>
    <xf numFmtId="176" fontId="15" fillId="13" borderId="72" xfId="7" applyNumberFormat="1" applyFont="1" applyFill="1" applyBorder="1" applyAlignment="1" applyProtection="1">
      <alignment horizontal="center" vertical="center"/>
    </xf>
    <xf numFmtId="176" fontId="15" fillId="13" borderId="73" xfId="7" applyNumberFormat="1" applyFont="1" applyFill="1" applyBorder="1" applyAlignment="1" applyProtection="1">
      <alignment horizontal="center" vertical="center"/>
    </xf>
    <xf numFmtId="176" fontId="15" fillId="13" borderId="11" xfId="7" applyNumberFormat="1" applyFont="1" applyFill="1" applyBorder="1" applyAlignment="1" applyProtection="1">
      <alignment horizontal="center" vertical="center"/>
    </xf>
    <xf numFmtId="0" fontId="6" fillId="13" borderId="0" xfId="7" applyFont="1" applyFill="1" applyBorder="1" applyProtection="1">
      <alignment vertical="center"/>
    </xf>
    <xf numFmtId="0" fontId="15" fillId="13" borderId="68" xfId="7" applyFont="1" applyFill="1" applyBorder="1" applyAlignment="1" applyProtection="1">
      <alignment horizontal="center" vertical="center"/>
    </xf>
    <xf numFmtId="0" fontId="15" fillId="13" borderId="24" xfId="7" applyFont="1" applyFill="1" applyBorder="1" applyAlignment="1" applyProtection="1">
      <alignment horizontal="center" vertical="center"/>
    </xf>
    <xf numFmtId="0" fontId="15" fillId="13" borderId="19" xfId="7" applyFont="1" applyFill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6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18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56" xfId="0" applyFont="1" applyFill="1" applyBorder="1" applyAlignment="1" applyProtection="1">
      <alignment horizontal="center" vertical="center"/>
    </xf>
    <xf numFmtId="0" fontId="7" fillId="0" borderId="57" xfId="0" applyFont="1" applyBorder="1" applyAlignment="1" applyProtection="1">
      <alignment horizontal="center" vertical="center"/>
    </xf>
    <xf numFmtId="0" fontId="7" fillId="0" borderId="57" xfId="0" applyFont="1" applyFill="1" applyBorder="1" applyAlignment="1" applyProtection="1">
      <alignment horizontal="center" vertical="center"/>
    </xf>
    <xf numFmtId="0" fontId="7" fillId="0" borderId="42" xfId="0" applyFont="1" applyFill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7" fillId="0" borderId="43" xfId="0" applyFont="1" applyFill="1" applyBorder="1" applyAlignment="1" applyProtection="1">
      <alignment horizontal="center" vertical="center"/>
    </xf>
    <xf numFmtId="0" fontId="7" fillId="0" borderId="55" xfId="0" applyFont="1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0" fontId="7" fillId="13" borderId="0" xfId="0" applyFont="1" applyFill="1" applyAlignment="1" applyProtection="1">
      <alignment horizontal="left"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23" fillId="40" borderId="2" xfId="0" applyFont="1" applyFill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 wrapText="1"/>
    </xf>
    <xf numFmtId="0" fontId="23" fillId="41" borderId="2" xfId="0" applyFont="1" applyFill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0" fillId="14" borderId="54" xfId="0" applyFill="1" applyBorder="1" applyAlignment="1" applyProtection="1">
      <alignment horizontal="center" vertical="center"/>
    </xf>
    <xf numFmtId="178" fontId="6" fillId="13" borderId="12" xfId="0" applyNumberFormat="1" applyFont="1" applyFill="1" applyBorder="1" applyAlignment="1" applyProtection="1">
      <alignment horizontal="center" vertical="center"/>
    </xf>
    <xf numFmtId="178" fontId="6" fillId="13" borderId="55" xfId="0" applyNumberFormat="1" applyFont="1" applyFill="1" applyBorder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6" fillId="18" borderId="44" xfId="0" applyFont="1" applyFill="1" applyBorder="1" applyAlignment="1" applyProtection="1">
      <alignment horizontal="center" vertical="center"/>
    </xf>
    <xf numFmtId="0" fontId="14" fillId="13" borderId="81" xfId="0" applyFont="1" applyFill="1" applyBorder="1" applyAlignment="1" applyProtection="1">
      <alignment horizontal="center" vertical="center"/>
      <protection locked="0"/>
    </xf>
    <xf numFmtId="0" fontId="6" fillId="13" borderId="0" xfId="0" applyFont="1" applyFill="1" applyBorder="1" applyAlignment="1" applyProtection="1">
      <alignment vertical="center"/>
    </xf>
    <xf numFmtId="0" fontId="0" fillId="14" borderId="22" xfId="0" applyFill="1" applyBorder="1" applyAlignment="1" applyProtection="1">
      <alignment horizontal="center" vertical="center"/>
    </xf>
    <xf numFmtId="0" fontId="0" fillId="14" borderId="41" xfId="0" applyFill="1" applyBorder="1" applyAlignment="1" applyProtection="1">
      <alignment horizontal="center" vertical="center"/>
    </xf>
    <xf numFmtId="0" fontId="0" fillId="17" borderId="41" xfId="0" applyFill="1" applyBorder="1" applyAlignment="1" applyProtection="1">
      <alignment horizontal="center" vertical="center"/>
    </xf>
    <xf numFmtId="0" fontId="0" fillId="15" borderId="41" xfId="0" applyFill="1" applyBorder="1" applyAlignment="1" applyProtection="1">
      <alignment horizontal="center" vertical="center"/>
    </xf>
    <xf numFmtId="0" fontId="0" fillId="15" borderId="23" xfId="0" applyFill="1" applyBorder="1" applyAlignment="1" applyProtection="1">
      <alignment horizontal="center" vertical="center"/>
    </xf>
    <xf numFmtId="0" fontId="14" fillId="14" borderId="24" xfId="0" applyFont="1" applyFill="1" applyBorder="1" applyAlignment="1" applyProtection="1">
      <alignment horizontal="center" vertical="center"/>
    </xf>
    <xf numFmtId="0" fontId="14" fillId="14" borderId="5" xfId="0" applyFont="1" applyFill="1" applyBorder="1" applyAlignment="1" applyProtection="1">
      <alignment horizontal="center" vertical="center"/>
    </xf>
    <xf numFmtId="0" fontId="0" fillId="14" borderId="5" xfId="0" applyFill="1" applyBorder="1" applyAlignment="1" applyProtection="1">
      <alignment horizontal="center" vertical="center"/>
    </xf>
    <xf numFmtId="0" fontId="0" fillId="17" borderId="5" xfId="0" applyFill="1" applyBorder="1" applyAlignment="1" applyProtection="1">
      <alignment horizontal="center" vertical="center"/>
    </xf>
    <xf numFmtId="0" fontId="14" fillId="17" borderId="5" xfId="0" applyFont="1" applyFill="1" applyBorder="1" applyAlignment="1" applyProtection="1">
      <alignment horizontal="center" vertical="center"/>
    </xf>
    <xf numFmtId="0" fontId="0" fillId="17" borderId="14" xfId="0" applyFill="1" applyBorder="1" applyAlignment="1" applyProtection="1">
      <alignment horizontal="center" vertical="center"/>
    </xf>
    <xf numFmtId="0" fontId="14" fillId="13" borderId="42" xfId="0" applyFont="1" applyFill="1" applyBorder="1" applyAlignment="1" applyProtection="1">
      <alignment horizontal="center" vertical="center" wrapText="1"/>
    </xf>
    <xf numFmtId="0" fontId="14" fillId="13" borderId="55" xfId="0" applyFont="1" applyFill="1" applyBorder="1" applyAlignment="1" applyProtection="1">
      <alignment horizontal="center" vertical="center" wrapText="1"/>
    </xf>
    <xf numFmtId="0" fontId="14" fillId="13" borderId="65" xfId="0" applyFont="1" applyFill="1" applyBorder="1" applyAlignment="1" applyProtection="1">
      <alignment horizontal="center" vertical="center" wrapText="1"/>
    </xf>
    <xf numFmtId="0" fontId="14" fillId="13" borderId="28" xfId="0" applyFont="1" applyFill="1" applyBorder="1" applyAlignment="1" applyProtection="1">
      <alignment horizontal="center" vertical="center" wrapText="1"/>
    </xf>
    <xf numFmtId="0" fontId="14" fillId="13" borderId="0" xfId="1" applyFont="1" applyFill="1" applyAlignment="1" applyProtection="1">
      <alignment horizontal="right" vertical="center"/>
    </xf>
    <xf numFmtId="0" fontId="8" fillId="33" borderId="44" xfId="0" applyFont="1" applyFill="1" applyBorder="1" applyAlignment="1" applyProtection="1">
      <alignment horizontal="center" vertical="center"/>
    </xf>
    <xf numFmtId="0" fontId="8" fillId="33" borderId="14" xfId="0" applyFont="1" applyFill="1" applyBorder="1" applyAlignment="1" applyProtection="1">
      <alignment horizontal="center" vertical="center"/>
    </xf>
    <xf numFmtId="0" fontId="8" fillId="33" borderId="16" xfId="0" applyFont="1" applyFill="1" applyBorder="1" applyAlignment="1" applyProtection="1">
      <alignment horizontal="center" vertical="center"/>
    </xf>
    <xf numFmtId="0" fontId="31" fillId="13" borderId="0" xfId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14" fillId="0" borderId="60" xfId="0" applyFont="1" applyBorder="1" applyAlignment="1" applyProtection="1">
      <alignment horizontal="center" vertical="center"/>
    </xf>
    <xf numFmtId="0" fontId="18" fillId="6" borderId="37" xfId="6" applyFont="1" applyBorder="1" applyAlignment="1" applyProtection="1">
      <alignment horizontal="center" vertical="center"/>
    </xf>
    <xf numFmtId="0" fontId="18" fillId="6" borderId="14" xfId="6" applyFont="1" applyBorder="1" applyAlignment="1" applyProtection="1">
      <alignment horizontal="center" vertical="center"/>
    </xf>
    <xf numFmtId="0" fontId="18" fillId="6" borderId="84" xfId="6" applyFont="1" applyBorder="1" applyAlignment="1" applyProtection="1">
      <alignment horizontal="center" vertical="center"/>
    </xf>
    <xf numFmtId="0" fontId="8" fillId="6" borderId="85" xfId="6" applyFont="1" applyBorder="1" applyAlignment="1" applyProtection="1">
      <alignment horizontal="center" vertical="center"/>
    </xf>
    <xf numFmtId="0" fontId="8" fillId="6" borderId="26" xfId="6" applyFont="1" applyBorder="1" applyAlignment="1" applyProtection="1">
      <alignment horizontal="center" vertical="center"/>
    </xf>
    <xf numFmtId="0" fontId="8" fillId="6" borderId="16" xfId="6" applyFont="1" applyBorder="1" applyAlignment="1" applyProtection="1">
      <alignment horizontal="center" vertical="center"/>
    </xf>
    <xf numFmtId="0" fontId="14" fillId="13" borderId="5" xfId="0" applyFont="1" applyFill="1" applyBorder="1" applyAlignment="1" applyProtection="1">
      <alignment horizontal="center" vertical="center"/>
    </xf>
    <xf numFmtId="0" fontId="14" fillId="13" borderId="19" xfId="0" applyFont="1" applyFill="1" applyBorder="1" applyAlignment="1" applyProtection="1">
      <alignment horizontal="center" vertical="center"/>
    </xf>
    <xf numFmtId="0" fontId="14" fillId="13" borderId="24" xfId="0" applyFont="1" applyFill="1" applyBorder="1" applyAlignment="1" applyProtection="1">
      <alignment horizontal="center" vertical="center"/>
    </xf>
    <xf numFmtId="0" fontId="14" fillId="13" borderId="34" xfId="0" applyFont="1" applyFill="1" applyBorder="1" applyAlignment="1" applyProtection="1">
      <alignment horizontal="center" vertical="center"/>
    </xf>
    <xf numFmtId="0" fontId="6" fillId="13" borderId="18" xfId="0" applyFont="1" applyFill="1" applyBorder="1" applyAlignment="1" applyProtection="1">
      <alignment horizontal="center" vertical="center"/>
    </xf>
    <xf numFmtId="0" fontId="6" fillId="13" borderId="2" xfId="0" applyFont="1" applyFill="1" applyBorder="1" applyAlignment="1" applyProtection="1">
      <alignment horizontal="center" vertical="center"/>
    </xf>
    <xf numFmtId="0" fontId="6" fillId="13" borderId="75" xfId="0" applyFont="1" applyFill="1" applyBorder="1" applyAlignment="1" applyProtection="1">
      <alignment horizontal="center" vertical="center"/>
    </xf>
    <xf numFmtId="0" fontId="6" fillId="13" borderId="18" xfId="10" applyFont="1" applyFill="1" applyBorder="1" applyAlignment="1" applyProtection="1">
      <alignment horizontal="center" vertical="center"/>
    </xf>
    <xf numFmtId="0" fontId="6" fillId="13" borderId="2" xfId="10" applyFont="1" applyFill="1" applyBorder="1" applyAlignment="1" applyProtection="1">
      <alignment horizontal="center" vertical="center"/>
    </xf>
    <xf numFmtId="0" fontId="6" fillId="13" borderId="79" xfId="0" applyFont="1" applyFill="1" applyBorder="1" applyAlignment="1" applyProtection="1">
      <alignment horizontal="center" vertical="center"/>
    </xf>
    <xf numFmtId="0" fontId="6" fillId="13" borderId="79" xfId="10" applyFont="1" applyFill="1" applyBorder="1" applyAlignment="1" applyProtection="1">
      <alignment horizontal="center" vertical="center"/>
    </xf>
    <xf numFmtId="0" fontId="14" fillId="0" borderId="34" xfId="0" applyFont="1" applyBorder="1" applyAlignment="1" applyProtection="1">
      <alignment horizontal="center" vertical="center"/>
    </xf>
    <xf numFmtId="0" fontId="14" fillId="15" borderId="22" xfId="0" applyFont="1" applyFill="1" applyBorder="1" applyAlignment="1" applyProtection="1">
      <alignment horizontal="center" vertical="center"/>
    </xf>
    <xf numFmtId="0" fontId="14" fillId="15" borderId="41" xfId="0" applyFont="1" applyFill="1" applyBorder="1" applyAlignment="1" applyProtection="1">
      <alignment horizontal="center" vertical="center"/>
    </xf>
    <xf numFmtId="0" fontId="14" fillId="15" borderId="33" xfId="0" applyFont="1" applyFill="1" applyBorder="1" applyAlignment="1" applyProtection="1">
      <alignment horizontal="center" vertical="center"/>
    </xf>
    <xf numFmtId="0" fontId="14" fillId="15" borderId="23" xfId="0" applyFont="1" applyFill="1" applyBorder="1" applyAlignment="1" applyProtection="1">
      <alignment horizontal="center" vertical="center"/>
    </xf>
    <xf numFmtId="0" fontId="7" fillId="13" borderId="87" xfId="0" applyFont="1" applyFill="1" applyBorder="1" applyAlignment="1" applyProtection="1">
      <alignment horizontal="center" vertical="center"/>
    </xf>
    <xf numFmtId="0" fontId="7" fillId="13" borderId="21" xfId="0" applyFont="1" applyFill="1" applyBorder="1" applyAlignment="1" applyProtection="1">
      <alignment horizontal="center" vertical="center"/>
    </xf>
    <xf numFmtId="176" fontId="13" fillId="13" borderId="88" xfId="7" applyNumberFormat="1" applyFont="1" applyFill="1" applyBorder="1" applyAlignment="1" applyProtection="1">
      <alignment horizontal="center" vertical="center"/>
    </xf>
    <xf numFmtId="0" fontId="15" fillId="13" borderId="21" xfId="7" applyFont="1" applyFill="1" applyBorder="1" applyAlignment="1" applyProtection="1">
      <alignment horizontal="center" vertical="center"/>
    </xf>
    <xf numFmtId="0" fontId="14" fillId="13" borderId="21" xfId="0" applyFont="1" applyFill="1" applyBorder="1" applyAlignment="1" applyProtection="1">
      <alignment horizontal="center" vertical="center"/>
    </xf>
    <xf numFmtId="176" fontId="15" fillId="13" borderId="88" xfId="0" applyNumberFormat="1" applyFont="1" applyFill="1" applyBorder="1" applyAlignment="1" applyProtection="1">
      <alignment horizontal="center" vertical="center"/>
    </xf>
    <xf numFmtId="176" fontId="15" fillId="13" borderId="12" xfId="0" applyNumberFormat="1" applyFont="1" applyFill="1" applyBorder="1" applyAlignment="1" applyProtection="1">
      <alignment horizontal="center" vertical="center"/>
    </xf>
    <xf numFmtId="176" fontId="15" fillId="13" borderId="89" xfId="7" applyNumberFormat="1" applyFont="1" applyFill="1" applyBorder="1" applyAlignment="1" applyProtection="1">
      <alignment horizontal="center" vertical="center"/>
    </xf>
    <xf numFmtId="176" fontId="13" fillId="13" borderId="18" xfId="7" applyNumberFormat="1" applyFont="1" applyFill="1" applyBorder="1" applyAlignment="1" applyProtection="1">
      <alignment horizontal="center" vertical="center"/>
    </xf>
    <xf numFmtId="176" fontId="15" fillId="13" borderId="18" xfId="0" applyNumberFormat="1" applyFont="1" applyFill="1" applyBorder="1" applyAlignment="1" applyProtection="1">
      <alignment horizontal="center" vertical="center"/>
    </xf>
    <xf numFmtId="0" fontId="0" fillId="13" borderId="0" xfId="0" applyFill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23" fillId="40" borderId="3" xfId="0" applyFont="1" applyFill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23" fillId="40" borderId="4" xfId="0" applyFont="1" applyFill="1" applyBorder="1" applyAlignment="1">
      <alignment horizontal="center" vertical="center" wrapText="1"/>
    </xf>
    <xf numFmtId="0" fontId="28" fillId="40" borderId="4" xfId="0" applyFont="1" applyFill="1" applyBorder="1" applyAlignment="1">
      <alignment horizontal="center" vertical="center" wrapText="1"/>
    </xf>
    <xf numFmtId="0" fontId="23" fillId="21" borderId="7" xfId="0" applyFont="1" applyFill="1" applyBorder="1" applyAlignment="1">
      <alignment horizontal="center" vertical="center" wrapText="1"/>
    </xf>
    <xf numFmtId="0" fontId="26" fillId="21" borderId="6" xfId="0" applyFont="1" applyFill="1" applyBorder="1" applyAlignment="1">
      <alignment horizontal="center" vertical="center" wrapText="1"/>
    </xf>
    <xf numFmtId="0" fontId="23" fillId="21" borderId="6" xfId="0" applyFont="1" applyFill="1" applyBorder="1" applyAlignment="1">
      <alignment horizontal="center" vertical="center" wrapText="1"/>
    </xf>
    <xf numFmtId="0" fontId="23" fillId="21" borderId="8" xfId="0" applyFont="1" applyFill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21" borderId="90" xfId="0" applyFont="1" applyFill="1" applyBorder="1" applyAlignment="1">
      <alignment horizontal="center" vertical="center" wrapText="1"/>
    </xf>
    <xf numFmtId="0" fontId="23" fillId="21" borderId="91" xfId="0" applyFont="1" applyFill="1" applyBorder="1" applyAlignment="1">
      <alignment horizontal="center" vertical="center" wrapText="1"/>
    </xf>
    <xf numFmtId="0" fontId="28" fillId="21" borderId="91" xfId="0" applyFont="1" applyFill="1" applyBorder="1" applyAlignment="1">
      <alignment horizontal="center" vertical="center" wrapText="1"/>
    </xf>
    <xf numFmtId="0" fontId="0" fillId="13" borderId="18" xfId="0" applyFill="1" applyBorder="1" applyAlignment="1" applyProtection="1">
      <alignment horizontal="center" vertical="center"/>
    </xf>
    <xf numFmtId="0" fontId="0" fillId="13" borderId="24" xfId="0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Protection="1">
      <alignment vertical="center"/>
    </xf>
    <xf numFmtId="0" fontId="14" fillId="0" borderId="0" xfId="0" applyFont="1" applyFill="1" applyProtection="1">
      <alignment vertical="center"/>
    </xf>
    <xf numFmtId="0" fontId="36" fillId="0" borderId="0" xfId="0" applyFont="1" applyFill="1" applyProtection="1">
      <alignment vertical="center"/>
    </xf>
    <xf numFmtId="0" fontId="0" fillId="13" borderId="35" xfId="0" applyFill="1" applyBorder="1" applyAlignment="1" applyProtection="1">
      <alignment vertical="center"/>
    </xf>
    <xf numFmtId="0" fontId="0" fillId="13" borderId="36" xfId="0" applyFill="1" applyBorder="1" applyAlignment="1" applyProtection="1">
      <alignment vertical="center"/>
    </xf>
    <xf numFmtId="0" fontId="0" fillId="13" borderId="0" xfId="0" applyFill="1" applyBorder="1" applyAlignment="1" applyProtection="1">
      <alignment vertical="center"/>
    </xf>
    <xf numFmtId="0" fontId="15" fillId="13" borderId="22" xfId="0" applyFont="1" applyFill="1" applyBorder="1" applyAlignment="1" applyProtection="1">
      <alignment horizontal="center" vertical="center"/>
    </xf>
    <xf numFmtId="0" fontId="15" fillId="13" borderId="23" xfId="0" applyFont="1" applyFill="1" applyBorder="1" applyAlignment="1" applyProtection="1">
      <alignment horizontal="center" vertical="center"/>
    </xf>
    <xf numFmtId="0" fontId="15" fillId="13" borderId="24" xfId="0" applyFont="1" applyFill="1" applyBorder="1" applyAlignment="1" applyProtection="1">
      <alignment horizontal="center" vertical="center"/>
    </xf>
    <xf numFmtId="0" fontId="15" fillId="13" borderId="19" xfId="0" applyFont="1" applyFill="1" applyBorder="1" applyAlignment="1" applyProtection="1">
      <alignment horizontal="center" vertical="center"/>
    </xf>
    <xf numFmtId="0" fontId="0" fillId="13" borderId="0" xfId="0" applyFill="1" applyProtection="1">
      <alignment vertical="center"/>
      <protection locked="0"/>
    </xf>
    <xf numFmtId="0" fontId="0" fillId="13" borderId="0" xfId="0" applyFill="1" applyProtection="1">
      <alignment vertical="center"/>
    </xf>
    <xf numFmtId="0" fontId="0" fillId="0" borderId="0" xfId="0" applyProtection="1">
      <alignment vertical="center"/>
    </xf>
    <xf numFmtId="0" fontId="0" fillId="13" borderId="0" xfId="0" applyFill="1" applyAlignment="1" applyProtection="1">
      <alignment horizontal="left" vertical="center"/>
    </xf>
    <xf numFmtId="0" fontId="0" fillId="13" borderId="0" xfId="0" applyFill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2" xfId="0" applyFill="1" applyBorder="1" applyAlignment="1" applyProtection="1">
      <alignment horizontal="center" vertical="center"/>
    </xf>
    <xf numFmtId="0" fontId="0" fillId="14" borderId="53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177" fontId="14" fillId="13" borderId="0" xfId="1" applyNumberFormat="1" applyFont="1" applyFill="1" applyAlignment="1" applyProtection="1">
      <alignment horizontal="center" vertical="center"/>
    </xf>
    <xf numFmtId="0" fontId="0" fillId="13" borderId="5" xfId="0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9" fillId="14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left" vertical="center"/>
    </xf>
    <xf numFmtId="0" fontId="34" fillId="19" borderId="59" xfId="12" applyFont="1" applyFill="1" applyBorder="1">
      <alignment vertical="center"/>
    </xf>
    <xf numFmtId="0" fontId="44" fillId="0" borderId="0" xfId="0" applyFont="1" applyAlignment="1">
      <alignment horizontal="center" vertical="center"/>
    </xf>
    <xf numFmtId="1" fontId="45" fillId="0" borderId="2" xfId="0" applyNumberFormat="1" applyFont="1" applyBorder="1" applyAlignment="1">
      <alignment horizontal="center" vertical="center" shrinkToFit="1"/>
    </xf>
    <xf numFmtId="0" fontId="44" fillId="0" borderId="2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74" xfId="0" applyFont="1" applyBorder="1" applyAlignment="1">
      <alignment horizontal="center" vertical="center"/>
    </xf>
    <xf numFmtId="1" fontId="45" fillId="0" borderId="74" xfId="0" applyNumberFormat="1" applyFont="1" applyBorder="1" applyAlignment="1">
      <alignment horizontal="center" vertical="center" shrinkToFit="1"/>
    </xf>
    <xf numFmtId="0" fontId="44" fillId="0" borderId="74" xfId="0" applyFont="1" applyBorder="1" applyAlignment="1">
      <alignment horizontal="center" vertical="center" wrapText="1"/>
    </xf>
    <xf numFmtId="0" fontId="28" fillId="0" borderId="66" xfId="0" applyFont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52" fillId="46" borderId="92" xfId="0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3" fillId="16" borderId="0" xfId="0" applyFont="1" applyFill="1" applyAlignment="1">
      <alignment horizontal="center" vertical="center"/>
    </xf>
    <xf numFmtId="0" fontId="43" fillId="34" borderId="35" xfId="0" applyFont="1" applyFill="1" applyBorder="1" applyAlignment="1">
      <alignment horizontal="center" vertical="center"/>
    </xf>
    <xf numFmtId="0" fontId="43" fillId="34" borderId="0" xfId="0" applyFont="1" applyFill="1" applyBorder="1" applyAlignment="1">
      <alignment horizontal="center" vertical="center"/>
    </xf>
    <xf numFmtId="0" fontId="11" fillId="34" borderId="0" xfId="0" applyFont="1" applyFill="1" applyBorder="1" applyAlignment="1">
      <alignment horizontal="center" vertical="center" wrapText="1"/>
    </xf>
    <xf numFmtId="0" fontId="11" fillId="19" borderId="0" xfId="0" applyFont="1" applyFill="1" applyBorder="1" applyAlignment="1">
      <alignment horizontal="center" vertical="center" wrapText="1"/>
    </xf>
    <xf numFmtId="0" fontId="11" fillId="19" borderId="62" xfId="0" applyFont="1" applyFill="1" applyBorder="1" applyAlignment="1">
      <alignment horizontal="center" vertical="center" wrapText="1"/>
    </xf>
    <xf numFmtId="0" fontId="34" fillId="0" borderId="0" xfId="12" applyFont="1" applyAlignment="1">
      <alignment horizontal="center" vertical="center" wrapText="1"/>
    </xf>
    <xf numFmtId="0" fontId="34" fillId="34" borderId="0" xfId="12" applyFont="1" applyFill="1" applyBorder="1" applyAlignment="1">
      <alignment horizontal="center" vertical="center" wrapText="1"/>
    </xf>
    <xf numFmtId="0" fontId="34" fillId="19" borderId="0" xfId="12" applyFont="1" applyFill="1" applyBorder="1" applyAlignment="1">
      <alignment horizontal="center" vertical="center" wrapText="1"/>
    </xf>
    <xf numFmtId="0" fontId="34" fillId="19" borderId="62" xfId="12" applyFont="1" applyFill="1" applyBorder="1" applyAlignment="1">
      <alignment horizontal="center" vertical="center" wrapText="1"/>
    </xf>
    <xf numFmtId="0" fontId="43" fillId="34" borderId="60" xfId="0" applyFont="1" applyFill="1" applyBorder="1" applyAlignment="1">
      <alignment horizontal="center" vertical="center"/>
    </xf>
    <xf numFmtId="0" fontId="43" fillId="19" borderId="60" xfId="0" applyFont="1" applyFill="1" applyBorder="1" applyAlignment="1">
      <alignment horizontal="center" vertical="center"/>
    </xf>
    <xf numFmtId="0" fontId="43" fillId="19" borderId="61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4" fillId="21" borderId="45" xfId="0" applyFont="1" applyFill="1" applyBorder="1" applyAlignment="1">
      <alignment horizontal="center" vertical="center" wrapText="1"/>
    </xf>
    <xf numFmtId="0" fontId="54" fillId="21" borderId="46" xfId="0" applyFont="1" applyFill="1" applyBorder="1" applyAlignment="1">
      <alignment horizontal="center" vertical="center" wrapText="1"/>
    </xf>
    <xf numFmtId="0" fontId="43" fillId="21" borderId="46" xfId="0" applyFont="1" applyFill="1" applyBorder="1" applyAlignment="1">
      <alignment horizontal="center" vertical="center" wrapText="1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1" fontId="56" fillId="0" borderId="46" xfId="0" applyNumberFormat="1" applyFont="1" applyBorder="1" applyAlignment="1">
      <alignment horizontal="center" vertical="center" shrinkToFit="1"/>
    </xf>
    <xf numFmtId="0" fontId="43" fillId="0" borderId="46" xfId="0" applyFont="1" applyBorder="1" applyAlignment="1">
      <alignment horizontal="center" vertical="center" wrapText="1"/>
    </xf>
    <xf numFmtId="0" fontId="43" fillId="25" borderId="46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8" fillId="0" borderId="0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 wrapText="1"/>
    </xf>
    <xf numFmtId="0" fontId="54" fillId="13" borderId="2" xfId="0" applyFont="1" applyFill="1" applyBorder="1" applyAlignment="1">
      <alignment horizontal="center" vertical="center" wrapText="1"/>
    </xf>
    <xf numFmtId="0" fontId="54" fillId="0" borderId="2" xfId="0" applyFont="1" applyBorder="1" applyAlignment="1">
      <alignment horizontal="center" vertical="center" wrapText="1"/>
    </xf>
    <xf numFmtId="0" fontId="54" fillId="21" borderId="93" xfId="0" applyFont="1" applyFill="1" applyBorder="1" applyAlignment="1">
      <alignment horizontal="center" vertical="center" wrapText="1"/>
    </xf>
    <xf numFmtId="0" fontId="54" fillId="21" borderId="94" xfId="0" applyFont="1" applyFill="1" applyBorder="1" applyAlignment="1">
      <alignment horizontal="center" vertical="center" wrapText="1"/>
    </xf>
    <xf numFmtId="0" fontId="43" fillId="21" borderId="94" xfId="0" applyFont="1" applyFill="1" applyBorder="1" applyAlignment="1">
      <alignment horizontal="center" vertical="center" wrapText="1"/>
    </xf>
    <xf numFmtId="0" fontId="54" fillId="13" borderId="74" xfId="0" applyFont="1" applyFill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54" fillId="0" borderId="74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/>
    </xf>
    <xf numFmtId="0" fontId="0" fillId="15" borderId="52" xfId="0" applyFill="1" applyBorder="1" applyAlignment="1" applyProtection="1">
      <alignment horizontal="center" vertical="center"/>
    </xf>
    <xf numFmtId="0" fontId="0" fillId="15" borderId="54" xfId="0" applyFill="1" applyBorder="1" applyAlignment="1" applyProtection="1">
      <alignment horizontal="center" vertical="center"/>
    </xf>
    <xf numFmtId="0" fontId="0" fillId="15" borderId="53" xfId="0" applyFill="1" applyBorder="1" applyAlignment="1" applyProtection="1">
      <alignment horizontal="center" vertical="center"/>
    </xf>
    <xf numFmtId="0" fontId="14" fillId="37" borderId="0" xfId="0" applyFont="1" applyFill="1" applyAlignment="1" applyProtection="1">
      <alignment horizontal="center" vertical="center"/>
    </xf>
    <xf numFmtId="0" fontId="36" fillId="37" borderId="0" xfId="0" applyFont="1" applyFill="1" applyAlignment="1" applyProtection="1">
      <alignment horizontal="center" vertical="center"/>
    </xf>
    <xf numFmtId="0" fontId="6" fillId="36" borderId="22" xfId="0" applyFont="1" applyFill="1" applyBorder="1" applyAlignment="1" applyProtection="1">
      <alignment horizontal="center" vertical="center"/>
    </xf>
    <xf numFmtId="0" fontId="6" fillId="36" borderId="24" xfId="0" applyFont="1" applyFill="1" applyBorder="1" applyAlignment="1" applyProtection="1">
      <alignment horizontal="center" vertical="center"/>
    </xf>
    <xf numFmtId="0" fontId="9" fillId="16" borderId="0" xfId="0" applyFont="1" applyFill="1">
      <alignment vertical="center"/>
    </xf>
    <xf numFmtId="0" fontId="28" fillId="34" borderId="0" xfId="0" applyFont="1" applyFill="1" applyAlignment="1">
      <alignment horizontal="center" vertical="center"/>
    </xf>
    <xf numFmtId="0" fontId="10" fillId="34" borderId="0" xfId="0" applyFont="1" applyFill="1" applyAlignment="1">
      <alignment horizontal="center" vertical="center" wrapText="1"/>
    </xf>
    <xf numFmtId="0" fontId="10" fillId="19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6" fillId="34" borderId="0" xfId="12" applyFill="1" applyAlignment="1">
      <alignment horizontal="center" vertical="center" wrapText="1"/>
    </xf>
    <xf numFmtId="0" fontId="16" fillId="19" borderId="0" xfId="12" applyFill="1" applyAlignment="1">
      <alignment horizontal="center" vertical="center" wrapText="1"/>
    </xf>
    <xf numFmtId="0" fontId="0" fillId="13" borderId="0" xfId="0" applyFill="1" applyAlignment="1" applyProtection="1">
      <alignment horizontal="left" vertical="center"/>
    </xf>
    <xf numFmtId="0" fontId="0" fillId="19" borderId="0" xfId="0" applyFill="1" applyAlignment="1" applyProtection="1">
      <alignment horizontal="left" vertical="center"/>
    </xf>
    <xf numFmtId="0" fontId="7" fillId="19" borderId="0" xfId="0" applyFont="1" applyFill="1" applyAlignment="1" applyProtection="1">
      <alignment horizontal="left" vertical="center"/>
    </xf>
    <xf numFmtId="0" fontId="0" fillId="34" borderId="0" xfId="0" applyFill="1" applyAlignment="1" applyProtection="1">
      <alignment horizontal="left" vertical="center"/>
    </xf>
    <xf numFmtId="0" fontId="48" fillId="47" borderId="0" xfId="0" applyFont="1" applyFill="1" applyAlignment="1" applyProtection="1">
      <alignment horizontal="left" vertical="center"/>
    </xf>
    <xf numFmtId="0" fontId="7" fillId="34" borderId="0" xfId="0" applyFont="1" applyFill="1" applyAlignment="1" applyProtection="1">
      <alignment horizontal="left" vertical="center"/>
    </xf>
    <xf numFmtId="0" fontId="29" fillId="13" borderId="0" xfId="0" applyFont="1" applyFill="1" applyAlignment="1" applyProtection="1">
      <alignment horizontal="left" vertical="center"/>
    </xf>
    <xf numFmtId="0" fontId="17" fillId="13" borderId="0" xfId="0" applyFont="1" applyFill="1" applyAlignment="1" applyProtection="1">
      <alignment horizontal="left" vertical="center"/>
    </xf>
    <xf numFmtId="0" fontId="42" fillId="13" borderId="0" xfId="0" applyFont="1" applyFill="1" applyAlignment="1" applyProtection="1">
      <alignment horizontal="left" vertical="center"/>
    </xf>
    <xf numFmtId="0" fontId="7" fillId="13" borderId="0" xfId="0" applyFont="1" applyFill="1" applyAlignment="1" applyProtection="1">
      <alignment horizontal="left" vertical="center"/>
    </xf>
    <xf numFmtId="0" fontId="48" fillId="45" borderId="0" xfId="0" applyFont="1" applyFill="1" applyAlignment="1" applyProtection="1">
      <alignment horizontal="left" vertical="center"/>
    </xf>
    <xf numFmtId="0" fontId="19" fillId="13" borderId="0" xfId="0" applyFont="1" applyFill="1" applyAlignment="1" applyProtection="1">
      <alignment horizontal="center" vertical="center"/>
    </xf>
    <xf numFmtId="0" fontId="0" fillId="13" borderId="0" xfId="0" applyFill="1" applyAlignment="1" applyProtection="1">
      <alignment horizontal="right" vertical="center"/>
    </xf>
    <xf numFmtId="0" fontId="49" fillId="13" borderId="0" xfId="0" applyFont="1" applyFill="1" applyAlignment="1" applyProtection="1">
      <alignment horizontal="left" vertical="center"/>
    </xf>
    <xf numFmtId="0" fontId="18" fillId="44" borderId="49" xfId="0" applyFont="1" applyFill="1" applyBorder="1" applyAlignment="1" applyProtection="1">
      <alignment horizontal="center" vertical="center"/>
    </xf>
    <xf numFmtId="0" fontId="18" fillId="44" borderId="36" xfId="0" applyFont="1" applyFill="1" applyBorder="1" applyAlignment="1" applyProtection="1">
      <alignment horizontal="center" vertical="center"/>
    </xf>
    <xf numFmtId="0" fontId="47" fillId="34" borderId="30" xfId="0" applyFont="1" applyFill="1" applyBorder="1" applyAlignment="1" applyProtection="1">
      <alignment horizontal="center" vertical="center"/>
    </xf>
    <xf numFmtId="0" fontId="47" fillId="34" borderId="65" xfId="0" applyFont="1" applyFill="1" applyBorder="1" applyAlignment="1" applyProtection="1">
      <alignment horizontal="center" vertical="center"/>
    </xf>
    <xf numFmtId="0" fontId="41" fillId="34" borderId="17" xfId="0" applyFont="1" applyFill="1" applyBorder="1" applyAlignment="1" applyProtection="1">
      <alignment horizontal="center" vertical="center"/>
    </xf>
    <xf numFmtId="0" fontId="41" fillId="34" borderId="24" xfId="0" applyFont="1" applyFill="1" applyBorder="1" applyAlignment="1" applyProtection="1">
      <alignment horizontal="center" vertical="center"/>
    </xf>
    <xf numFmtId="0" fontId="18" fillId="37" borderId="37" xfId="0" applyFont="1" applyFill="1" applyBorder="1" applyAlignment="1" applyProtection="1">
      <alignment horizontal="center" vertical="center"/>
    </xf>
    <xf numFmtId="0" fontId="18" fillId="37" borderId="38" xfId="0" applyFont="1" applyFill="1" applyBorder="1" applyAlignment="1" applyProtection="1">
      <alignment horizontal="center" vertical="center"/>
    </xf>
    <xf numFmtId="0" fontId="39" fillId="34" borderId="31" xfId="0" applyFont="1" applyFill="1" applyBorder="1" applyAlignment="1" applyProtection="1">
      <alignment horizontal="center" vertical="center"/>
    </xf>
    <xf numFmtId="0" fontId="39" fillId="34" borderId="17" xfId="0" applyFont="1" applyFill="1" applyBorder="1" applyAlignment="1" applyProtection="1">
      <alignment horizontal="center" vertical="center"/>
    </xf>
    <xf numFmtId="0" fontId="40" fillId="34" borderId="18" xfId="0" applyFont="1" applyFill="1" applyBorder="1" applyAlignment="1" applyProtection="1">
      <alignment horizontal="center" vertical="center"/>
    </xf>
    <xf numFmtId="0" fontId="8" fillId="20" borderId="37" xfId="0" applyFont="1" applyFill="1" applyBorder="1" applyAlignment="1" applyProtection="1">
      <alignment horizontal="center" vertical="center"/>
    </xf>
    <xf numFmtId="0" fontId="8" fillId="20" borderId="26" xfId="0" applyFont="1" applyFill="1" applyBorder="1" applyAlignment="1" applyProtection="1">
      <alignment horizontal="center" vertical="center"/>
    </xf>
    <xf numFmtId="0" fontId="8" fillId="20" borderId="38" xfId="0" applyFont="1" applyFill="1" applyBorder="1" applyAlignment="1" applyProtection="1">
      <alignment horizontal="center" vertical="center"/>
    </xf>
    <xf numFmtId="0" fontId="18" fillId="20" borderId="44" xfId="0" applyFont="1" applyFill="1" applyBorder="1" applyAlignment="1" applyProtection="1">
      <alignment horizontal="center" vertical="center"/>
    </xf>
    <xf numFmtId="0" fontId="18" fillId="20" borderId="16" xfId="0" applyFont="1" applyFill="1" applyBorder="1" applyAlignment="1" applyProtection="1">
      <alignment horizontal="center" vertical="center"/>
    </xf>
    <xf numFmtId="0" fontId="0" fillId="13" borderId="0" xfId="0" applyFill="1" applyBorder="1" applyAlignment="1" applyProtection="1">
      <alignment horizontal="left" vertical="center"/>
    </xf>
    <xf numFmtId="0" fontId="0" fillId="13" borderId="0" xfId="0" applyFill="1" applyAlignment="1" applyProtection="1">
      <alignment horizontal="center" vertical="center"/>
    </xf>
    <xf numFmtId="0" fontId="6" fillId="13" borderId="0" xfId="0" applyFont="1" applyFill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18" fillId="42" borderId="44" xfId="0" applyFont="1" applyFill="1" applyBorder="1" applyAlignment="1" applyProtection="1">
      <alignment horizontal="center" vertical="center"/>
    </xf>
    <xf numFmtId="0" fontId="18" fillId="42" borderId="16" xfId="0" applyFont="1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NumberFormat="1" applyFill="1" applyBorder="1" applyAlignment="1" applyProtection="1">
      <alignment horizontal="center" vertical="center"/>
    </xf>
    <xf numFmtId="0" fontId="0" fillId="13" borderId="12" xfId="0" applyNumberFormat="1" applyFill="1" applyBorder="1" applyAlignment="1" applyProtection="1">
      <alignment horizontal="center" vertical="center"/>
    </xf>
    <xf numFmtId="0" fontId="0" fillId="13" borderId="24" xfId="0" applyFill="1" applyBorder="1" applyAlignment="1" applyProtection="1">
      <alignment horizontal="center" vertical="center"/>
      <protection locked="0"/>
    </xf>
    <xf numFmtId="0" fontId="0" fillId="13" borderId="5" xfId="0" applyFill="1" applyBorder="1" applyAlignment="1" applyProtection="1">
      <alignment horizontal="center" vertical="center"/>
      <protection locked="0"/>
    </xf>
    <xf numFmtId="0" fontId="0" fillId="13" borderId="5" xfId="0" applyFill="1" applyBorder="1" applyAlignment="1" applyProtection="1">
      <alignment horizontal="center" vertical="center"/>
    </xf>
    <xf numFmtId="0" fontId="16" fillId="13" borderId="5" xfId="12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0" fillId="13" borderId="43" xfId="0" applyNumberFormat="1" applyFill="1" applyBorder="1" applyAlignment="1" applyProtection="1">
      <alignment horizontal="center" vertical="center"/>
    </xf>
    <xf numFmtId="0" fontId="0" fillId="13" borderId="55" xfId="0" applyNumberFormat="1" applyFill="1" applyBorder="1" applyAlignment="1" applyProtection="1">
      <alignment horizontal="center" vertical="center"/>
    </xf>
    <xf numFmtId="0" fontId="0" fillId="13" borderId="18" xfId="0" applyFill="1" applyBorder="1" applyAlignment="1" applyProtection="1">
      <alignment horizontal="center" vertical="center"/>
      <protection locked="0"/>
    </xf>
    <xf numFmtId="0" fontId="0" fillId="13" borderId="2" xfId="0" applyFill="1" applyBorder="1" applyAlignment="1" applyProtection="1">
      <alignment horizontal="center" vertical="center"/>
      <protection locked="0"/>
    </xf>
    <xf numFmtId="0" fontId="0" fillId="13" borderId="2" xfId="0" applyFill="1" applyBorder="1" applyAlignment="1" applyProtection="1">
      <alignment horizontal="center" vertical="center"/>
    </xf>
    <xf numFmtId="0" fontId="16" fillId="13" borderId="2" xfId="12" applyFill="1" applyBorder="1" applyAlignment="1" applyProtection="1">
      <alignment horizontal="center" vertical="center"/>
    </xf>
    <xf numFmtId="0" fontId="0" fillId="13" borderId="17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21" xfId="0" applyFill="1" applyBorder="1" applyAlignment="1" applyProtection="1">
      <alignment horizontal="center" vertical="center"/>
      <protection locked="0"/>
    </xf>
    <xf numFmtId="0" fontId="0" fillId="13" borderId="10" xfId="0" applyFill="1" applyBorder="1" applyAlignment="1" applyProtection="1">
      <alignment horizontal="center" vertical="center"/>
      <protection locked="0"/>
    </xf>
    <xf numFmtId="0" fontId="0" fillId="13" borderId="3" xfId="0" applyFill="1" applyBorder="1" applyAlignment="1" applyProtection="1">
      <alignment horizontal="center" vertical="center"/>
      <protection locked="0"/>
    </xf>
    <xf numFmtId="0" fontId="16" fillId="13" borderId="6" xfId="12" applyFill="1" applyBorder="1" applyAlignment="1" applyProtection="1">
      <alignment horizontal="center" vertical="center"/>
    </xf>
    <xf numFmtId="0" fontId="0" fillId="17" borderId="15" xfId="0" applyFill="1" applyBorder="1" applyAlignment="1" applyProtection="1">
      <alignment horizontal="center" vertical="center"/>
    </xf>
    <xf numFmtId="0" fontId="0" fillId="17" borderId="26" xfId="0" applyFill="1" applyBorder="1" applyAlignment="1" applyProtection="1">
      <alignment horizontal="center" vertical="center"/>
    </xf>
    <xf numFmtId="0" fontId="6" fillId="36" borderId="49" xfId="0" applyFont="1" applyFill="1" applyBorder="1" applyAlignment="1" applyProtection="1">
      <alignment horizontal="center" vertical="center" wrapText="1"/>
    </xf>
    <xf numFmtId="0" fontId="6" fillId="36" borderId="35" xfId="0" applyFont="1" applyFill="1" applyBorder="1" applyAlignment="1" applyProtection="1">
      <alignment horizontal="center" vertical="center" wrapText="1"/>
    </xf>
    <xf numFmtId="0" fontId="6" fillId="36" borderId="48" xfId="0" applyFont="1" applyFill="1" applyBorder="1" applyAlignment="1" applyProtection="1">
      <alignment horizontal="center" vertical="center" wrapText="1"/>
    </xf>
    <xf numFmtId="0" fontId="6" fillId="36" borderId="0" xfId="0" applyFont="1" applyFill="1" applyBorder="1" applyAlignment="1" applyProtection="1">
      <alignment horizontal="center" vertical="center" wrapText="1"/>
    </xf>
    <xf numFmtId="0" fontId="0" fillId="14" borderId="52" xfId="0" applyFill="1" applyBorder="1" applyAlignment="1" applyProtection="1">
      <alignment horizontal="center" vertical="center"/>
    </xf>
    <xf numFmtId="0" fontId="0" fillId="14" borderId="53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7" borderId="54" xfId="0" applyFill="1" applyBorder="1" applyAlignment="1" applyProtection="1">
      <alignment horizontal="center" vertical="center"/>
    </xf>
    <xf numFmtId="0" fontId="0" fillId="30" borderId="82" xfId="0" applyFill="1" applyBorder="1" applyAlignment="1" applyProtection="1">
      <alignment horizontal="center" vertical="center"/>
    </xf>
    <xf numFmtId="0" fontId="0" fillId="30" borderId="70" xfId="0" applyFill="1" applyBorder="1" applyAlignment="1" applyProtection="1">
      <alignment horizontal="center" vertical="center"/>
    </xf>
    <xf numFmtId="0" fontId="0" fillId="17" borderId="82" xfId="0" applyFill="1" applyBorder="1" applyAlignment="1" applyProtection="1">
      <alignment horizontal="center" vertical="center"/>
    </xf>
    <xf numFmtId="0" fontId="0" fillId="17" borderId="36" xfId="0" applyFill="1" applyBorder="1" applyAlignment="1" applyProtection="1">
      <alignment horizontal="center" vertical="center"/>
    </xf>
    <xf numFmtId="0" fontId="6" fillId="14" borderId="44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0" fillId="14" borderId="26" xfId="0" applyFill="1" applyBorder="1" applyAlignment="1" applyProtection="1">
      <alignment horizontal="center" vertical="center"/>
    </xf>
    <xf numFmtId="0" fontId="0" fillId="14" borderId="13" xfId="0" applyFill="1" applyBorder="1" applyAlignment="1" applyProtection="1">
      <alignment horizontal="center" vertical="center"/>
    </xf>
    <xf numFmtId="0" fontId="0" fillId="14" borderId="15" xfId="0" applyFill="1" applyBorder="1" applyAlignment="1" applyProtection="1">
      <alignment horizontal="center" vertical="center"/>
    </xf>
    <xf numFmtId="0" fontId="0" fillId="17" borderId="13" xfId="0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0" fillId="31" borderId="15" xfId="0" applyFill="1" applyBorder="1" applyAlignment="1" applyProtection="1">
      <alignment horizontal="center" vertical="center"/>
    </xf>
    <xf numFmtId="0" fontId="0" fillId="31" borderId="13" xfId="0" applyFill="1" applyBorder="1" applyAlignment="1" applyProtection="1">
      <alignment horizontal="center" vertical="center"/>
    </xf>
    <xf numFmtId="0" fontId="0" fillId="14" borderId="38" xfId="0" applyFill="1" applyBorder="1" applyAlignment="1" applyProtection="1">
      <alignment horizontal="center" vertical="center"/>
    </xf>
    <xf numFmtId="0" fontId="6" fillId="29" borderId="44" xfId="0" applyFont="1" applyFill="1" applyBorder="1" applyAlignment="1" applyProtection="1">
      <alignment horizontal="center" vertical="center"/>
    </xf>
    <xf numFmtId="0" fontId="6" fillId="29" borderId="16" xfId="0" applyFont="1" applyFill="1" applyBorder="1" applyAlignment="1" applyProtection="1">
      <alignment horizontal="center" vertical="center"/>
    </xf>
    <xf numFmtId="0" fontId="0" fillId="30" borderId="44" xfId="0" applyFill="1" applyBorder="1" applyAlignment="1" applyProtection="1">
      <alignment horizontal="center" vertical="center"/>
    </xf>
    <xf numFmtId="0" fontId="0" fillId="30" borderId="16" xfId="0" applyFill="1" applyBorder="1" applyAlignment="1" applyProtection="1">
      <alignment horizontal="center" vertical="center"/>
    </xf>
    <xf numFmtId="0" fontId="0" fillId="17" borderId="49" xfId="0" applyFill="1" applyBorder="1" applyAlignment="1" applyProtection="1">
      <alignment horizontal="center" vertical="center"/>
    </xf>
    <xf numFmtId="0" fontId="0" fillId="17" borderId="70" xfId="0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0" fontId="6" fillId="36" borderId="36" xfId="0" applyFont="1" applyFill="1" applyBorder="1" applyAlignment="1" applyProtection="1">
      <alignment horizontal="center" vertical="center" wrapText="1"/>
    </xf>
    <xf numFmtId="0" fontId="6" fillId="36" borderId="59" xfId="0" applyFont="1" applyFill="1" applyBorder="1" applyAlignment="1" applyProtection="1">
      <alignment horizontal="center" vertical="center" wrapText="1"/>
    </xf>
    <xf numFmtId="0" fontId="6" fillId="36" borderId="61" xfId="0" applyFont="1" applyFill="1" applyBorder="1" applyAlignment="1" applyProtection="1">
      <alignment horizontal="center" vertical="center" wrapText="1"/>
    </xf>
    <xf numFmtId="0" fontId="6" fillId="26" borderId="26" xfId="0" applyFont="1" applyFill="1" applyBorder="1" applyAlignment="1" applyProtection="1">
      <alignment horizontal="center" vertical="center"/>
    </xf>
    <xf numFmtId="0" fontId="6" fillId="26" borderId="38" xfId="0" applyFont="1" applyFill="1" applyBorder="1" applyAlignment="1" applyProtection="1">
      <alignment horizontal="center" vertical="center"/>
    </xf>
    <xf numFmtId="0" fontId="0" fillId="16" borderId="13" xfId="0" applyFill="1" applyBorder="1" applyAlignment="1" applyProtection="1">
      <alignment horizontal="center" vertical="center"/>
    </xf>
    <xf numFmtId="0" fontId="0" fillId="16" borderId="16" xfId="0" applyFill="1" applyBorder="1" applyAlignment="1" applyProtection="1">
      <alignment horizontal="center" vertical="center"/>
    </xf>
    <xf numFmtId="0" fontId="6" fillId="20" borderId="44" xfId="0" applyFont="1" applyFill="1" applyBorder="1" applyAlignment="1" applyProtection="1">
      <alignment horizontal="center" vertical="center"/>
    </xf>
    <xf numFmtId="0" fontId="6" fillId="20" borderId="16" xfId="0" applyFont="1" applyFill="1" applyBorder="1" applyAlignment="1" applyProtection="1">
      <alignment horizontal="center" vertical="center"/>
    </xf>
    <xf numFmtId="0" fontId="0" fillId="31" borderId="44" xfId="0" applyFill="1" applyBorder="1" applyAlignment="1" applyProtection="1">
      <alignment horizontal="center" vertical="center"/>
    </xf>
    <xf numFmtId="0" fontId="0" fillId="31" borderId="14" xfId="0" applyFill="1" applyBorder="1" applyAlignment="1" applyProtection="1">
      <alignment horizontal="center" vertical="center"/>
    </xf>
    <xf numFmtId="0" fontId="6" fillId="36" borderId="37" xfId="0" applyFont="1" applyFill="1" applyBorder="1" applyAlignment="1" applyProtection="1">
      <alignment horizontal="center" vertical="center"/>
    </xf>
    <xf numFmtId="0" fontId="6" fillId="36" borderId="26" xfId="0" applyFont="1" applyFill="1" applyBorder="1" applyAlignment="1" applyProtection="1">
      <alignment horizontal="center" vertical="center"/>
    </xf>
    <xf numFmtId="0" fontId="6" fillId="36" borderId="38" xfId="0" applyFont="1" applyFill="1" applyBorder="1" applyAlignment="1" applyProtection="1">
      <alignment horizontal="center" vertical="center"/>
    </xf>
    <xf numFmtId="0" fontId="6" fillId="26" borderId="44" xfId="0" applyFont="1" applyFill="1" applyBorder="1" applyAlignment="1" applyProtection="1">
      <alignment horizontal="center" vertical="center"/>
    </xf>
    <xf numFmtId="0" fontId="6" fillId="26" borderId="14" xfId="0" applyFont="1" applyFill="1" applyBorder="1" applyAlignment="1" applyProtection="1">
      <alignment horizontal="center" vertical="center"/>
    </xf>
    <xf numFmtId="0" fontId="7" fillId="16" borderId="14" xfId="0" applyFont="1" applyFill="1" applyBorder="1" applyAlignment="1" applyProtection="1">
      <alignment horizontal="center" vertical="center"/>
    </xf>
    <xf numFmtId="0" fontId="7" fillId="16" borderId="16" xfId="0" applyFont="1" applyFill="1" applyBorder="1" applyAlignment="1" applyProtection="1">
      <alignment horizontal="center" vertical="center"/>
    </xf>
    <xf numFmtId="0" fontId="19" fillId="39" borderId="0" xfId="0" applyFont="1" applyFill="1" applyAlignment="1" applyProtection="1">
      <alignment horizontal="left" vertical="center"/>
    </xf>
    <xf numFmtId="177" fontId="14" fillId="13" borderId="0" xfId="1" applyNumberFormat="1" applyFont="1" applyFill="1" applyAlignment="1" applyProtection="1">
      <alignment horizontal="center" vertical="center"/>
    </xf>
    <xf numFmtId="0" fontId="0" fillId="13" borderId="49" xfId="0" applyFill="1" applyBorder="1" applyAlignment="1" applyProtection="1">
      <alignment horizontal="center" vertical="center"/>
      <protection locked="0"/>
    </xf>
    <xf numFmtId="0" fontId="0" fillId="13" borderId="35" xfId="0" applyFill="1" applyBorder="1" applyAlignment="1" applyProtection="1">
      <alignment horizontal="center" vertical="center"/>
      <protection locked="0"/>
    </xf>
    <xf numFmtId="0" fontId="0" fillId="13" borderId="0" xfId="0" applyFill="1" applyBorder="1" applyAlignment="1" applyProtection="1">
      <alignment horizontal="center" vertical="center"/>
    </xf>
    <xf numFmtId="0" fontId="6" fillId="20" borderId="37" xfId="0" applyFont="1" applyFill="1" applyBorder="1" applyAlignment="1" applyProtection="1">
      <alignment horizontal="center" vertical="center"/>
    </xf>
    <xf numFmtId="0" fontId="6" fillId="20" borderId="26" xfId="0" applyFont="1" applyFill="1" applyBorder="1" applyAlignment="1" applyProtection="1">
      <alignment horizontal="center" vertical="center"/>
    </xf>
    <xf numFmtId="0" fontId="6" fillId="29" borderId="37" xfId="0" applyFont="1" applyFill="1" applyBorder="1" applyAlignment="1" applyProtection="1">
      <alignment horizontal="center" vertical="center"/>
    </xf>
    <xf numFmtId="0" fontId="6" fillId="29" borderId="26" xfId="0" applyFont="1" applyFill="1" applyBorder="1" applyAlignment="1" applyProtection="1">
      <alignment horizontal="center" vertical="center"/>
    </xf>
    <xf numFmtId="0" fontId="6" fillId="29" borderId="38" xfId="0" applyFont="1" applyFill="1" applyBorder="1" applyAlignment="1" applyProtection="1">
      <alignment horizontal="center" vertical="center"/>
    </xf>
    <xf numFmtId="0" fontId="14" fillId="13" borderId="17" xfId="0" applyFont="1" applyFill="1" applyBorder="1" applyAlignment="1" applyProtection="1">
      <alignment horizontal="center" vertical="center"/>
    </xf>
    <xf numFmtId="0" fontId="14" fillId="13" borderId="12" xfId="0" applyFont="1" applyFill="1" applyBorder="1" applyAlignment="1" applyProtection="1">
      <alignment horizontal="center" vertical="center"/>
    </xf>
    <xf numFmtId="0" fontId="38" fillId="13" borderId="18" xfId="0" applyFont="1" applyFill="1" applyBorder="1" applyAlignment="1" applyProtection="1">
      <alignment horizontal="center" vertical="center"/>
    </xf>
    <xf numFmtId="0" fontId="38" fillId="13" borderId="11" xfId="0" applyFont="1" applyFill="1" applyBorder="1" applyAlignment="1" applyProtection="1">
      <alignment horizontal="center" vertical="center"/>
    </xf>
    <xf numFmtId="0" fontId="38" fillId="13" borderId="24" xfId="0" applyFont="1" applyFill="1" applyBorder="1" applyAlignment="1" applyProtection="1">
      <alignment horizontal="center" vertical="center"/>
    </xf>
    <xf numFmtId="0" fontId="38" fillId="13" borderId="19" xfId="0" applyFont="1" applyFill="1" applyBorder="1" applyAlignment="1" applyProtection="1">
      <alignment horizontal="center" vertical="center"/>
    </xf>
    <xf numFmtId="0" fontId="36" fillId="13" borderId="42" xfId="0" applyFont="1" applyFill="1" applyBorder="1" applyAlignment="1" applyProtection="1">
      <alignment horizontal="center" vertical="center"/>
    </xf>
    <xf numFmtId="0" fontId="36" fillId="13" borderId="63" xfId="0" applyFont="1" applyFill="1" applyBorder="1" applyAlignment="1" applyProtection="1">
      <alignment horizontal="center" vertical="center"/>
    </xf>
    <xf numFmtId="0" fontId="14" fillId="13" borderId="59" xfId="0" applyFont="1" applyFill="1" applyBorder="1" applyAlignment="1" applyProtection="1">
      <alignment horizontal="center" vertical="center" wrapText="1"/>
    </xf>
    <xf numFmtId="0" fontId="14" fillId="13" borderId="60" xfId="0" applyFont="1" applyFill="1" applyBorder="1" applyAlignment="1" applyProtection="1">
      <alignment horizontal="center" vertical="center" wrapText="1"/>
    </xf>
    <xf numFmtId="0" fontId="14" fillId="13" borderId="61" xfId="0" applyFont="1" applyFill="1" applyBorder="1" applyAlignment="1" applyProtection="1">
      <alignment horizontal="center" vertical="center" wrapText="1"/>
    </xf>
    <xf numFmtId="49" fontId="37" fillId="13" borderId="22" xfId="0" applyNumberFormat="1" applyFont="1" applyFill="1" applyBorder="1" applyAlignment="1" applyProtection="1">
      <alignment horizontal="center" vertical="center"/>
    </xf>
    <xf numFmtId="49" fontId="37" fillId="13" borderId="33" xfId="0" applyNumberFormat="1" applyFont="1" applyFill="1" applyBorder="1" applyAlignment="1" applyProtection="1">
      <alignment horizontal="center" vertical="center"/>
    </xf>
    <xf numFmtId="49" fontId="37" fillId="13" borderId="18" xfId="0" applyNumberFormat="1" applyFont="1" applyFill="1" applyBorder="1" applyAlignment="1" applyProtection="1">
      <alignment horizontal="center" vertical="center"/>
    </xf>
    <xf numFmtId="49" fontId="37" fillId="13" borderId="4" xfId="0" applyNumberFormat="1" applyFont="1" applyFill="1" applyBorder="1" applyAlignment="1" applyProtection="1">
      <alignment horizontal="center" vertical="center"/>
    </xf>
    <xf numFmtId="49" fontId="37" fillId="13" borderId="31" xfId="0" applyNumberFormat="1" applyFont="1" applyFill="1" applyBorder="1" applyAlignment="1" applyProtection="1">
      <alignment horizontal="center" vertical="center"/>
    </xf>
    <xf numFmtId="49" fontId="37" fillId="13" borderId="66" xfId="0" applyNumberFormat="1" applyFont="1" applyFill="1" applyBorder="1" applyAlignment="1" applyProtection="1">
      <alignment horizontal="center" vertical="center"/>
    </xf>
    <xf numFmtId="0" fontId="46" fillId="13" borderId="49" xfId="0" applyFont="1" applyFill="1" applyBorder="1" applyAlignment="1" applyProtection="1">
      <alignment horizontal="center" vertical="center" wrapText="1"/>
    </xf>
    <xf numFmtId="0" fontId="46" fillId="13" borderId="35" xfId="0" applyFont="1" applyFill="1" applyBorder="1" applyAlignment="1" applyProtection="1">
      <alignment horizontal="center" vertical="center" wrapText="1"/>
    </xf>
    <xf numFmtId="0" fontId="46" fillId="13" borderId="36" xfId="0" applyFont="1" applyFill="1" applyBorder="1" applyAlignment="1" applyProtection="1">
      <alignment horizontal="center" vertical="center" wrapText="1"/>
    </xf>
    <xf numFmtId="0" fontId="46" fillId="13" borderId="48" xfId="0" applyFont="1" applyFill="1" applyBorder="1" applyAlignment="1" applyProtection="1">
      <alignment horizontal="center" vertical="center" wrapText="1"/>
    </xf>
    <xf numFmtId="0" fontId="46" fillId="13" borderId="0" xfId="0" applyFont="1" applyFill="1" applyBorder="1" applyAlignment="1" applyProtection="1">
      <alignment horizontal="center" vertical="center" wrapText="1"/>
    </xf>
    <xf numFmtId="0" fontId="46" fillId="13" borderId="62" xfId="0" applyFont="1" applyFill="1" applyBorder="1" applyAlignment="1" applyProtection="1">
      <alignment horizontal="center" vertical="center" wrapText="1"/>
    </xf>
    <xf numFmtId="0" fontId="14" fillId="13" borderId="30" xfId="0" applyFont="1" applyFill="1" applyBorder="1" applyAlignment="1" applyProtection="1">
      <alignment horizontal="center" vertical="center"/>
    </xf>
    <xf numFmtId="0" fontId="14" fillId="13" borderId="25" xfId="0" applyFont="1" applyFill="1" applyBorder="1" applyAlignment="1" applyProtection="1">
      <alignment horizontal="center" vertical="center"/>
    </xf>
    <xf numFmtId="49" fontId="37" fillId="0" borderId="22" xfId="0" applyNumberFormat="1" applyFont="1" applyBorder="1" applyAlignment="1" applyProtection="1">
      <alignment horizontal="center" vertical="center"/>
    </xf>
    <xf numFmtId="49" fontId="37" fillId="0" borderId="33" xfId="0" applyNumberFormat="1" applyFont="1" applyBorder="1" applyAlignment="1" applyProtection="1">
      <alignment horizontal="center" vertical="center"/>
    </xf>
    <xf numFmtId="49" fontId="37" fillId="0" borderId="18" xfId="0" applyNumberFormat="1" applyFont="1" applyBorder="1" applyAlignment="1" applyProtection="1">
      <alignment horizontal="center" vertical="center"/>
    </xf>
    <xf numFmtId="49" fontId="37" fillId="0" borderId="4" xfId="0" applyNumberFormat="1" applyFont="1" applyBorder="1" applyAlignment="1" applyProtection="1">
      <alignment horizontal="center" vertical="center"/>
    </xf>
    <xf numFmtId="49" fontId="37" fillId="0" borderId="31" xfId="0" applyNumberFormat="1" applyFont="1" applyBorder="1" applyAlignment="1" applyProtection="1">
      <alignment horizontal="center" vertical="center"/>
    </xf>
    <xf numFmtId="49" fontId="37" fillId="0" borderId="66" xfId="0" applyNumberFormat="1" applyFont="1" applyBorder="1" applyAlignment="1" applyProtection="1">
      <alignment horizontal="center" vertical="center"/>
    </xf>
    <xf numFmtId="0" fontId="36" fillId="13" borderId="65" xfId="0" applyFont="1" applyFill="1" applyBorder="1" applyAlignment="1" applyProtection="1">
      <alignment horizontal="center" vertical="center"/>
    </xf>
    <xf numFmtId="0" fontId="36" fillId="13" borderId="64" xfId="0" applyFont="1" applyFill="1" applyBorder="1" applyAlignment="1" applyProtection="1">
      <alignment horizontal="center" vertical="center"/>
    </xf>
    <xf numFmtId="49" fontId="37" fillId="13" borderId="17" xfId="0" applyNumberFormat="1" applyFont="1" applyFill="1" applyBorder="1" applyAlignment="1" applyProtection="1">
      <alignment horizontal="center" vertical="center"/>
    </xf>
    <xf numFmtId="49" fontId="37" fillId="13" borderId="8" xfId="0" applyNumberFormat="1" applyFont="1" applyFill="1" applyBorder="1" applyAlignment="1" applyProtection="1">
      <alignment horizontal="center" vertical="center"/>
    </xf>
    <xf numFmtId="0" fontId="19" fillId="38" borderId="0" xfId="0" applyFont="1" applyFill="1" applyAlignment="1" applyProtection="1">
      <alignment horizontal="left" vertical="center"/>
    </xf>
    <xf numFmtId="0" fontId="8" fillId="35" borderId="44" xfId="0" applyFont="1" applyFill="1" applyBorder="1" applyAlignment="1" applyProtection="1">
      <alignment horizontal="center" vertical="center"/>
    </xf>
    <xf numFmtId="0" fontId="8" fillId="35" borderId="15" xfId="0" applyFont="1" applyFill="1" applyBorder="1" applyAlignment="1" applyProtection="1">
      <alignment horizontal="center" vertical="center"/>
    </xf>
    <xf numFmtId="0" fontId="8" fillId="35" borderId="37" xfId="0" applyFont="1" applyFill="1" applyBorder="1" applyAlignment="1" applyProtection="1">
      <alignment horizontal="center" vertical="center"/>
    </xf>
    <xf numFmtId="0" fontId="8" fillId="35" borderId="26" xfId="0" applyFont="1" applyFill="1" applyBorder="1" applyAlignment="1" applyProtection="1">
      <alignment horizontal="center" vertical="center"/>
    </xf>
    <xf numFmtId="0" fontId="8" fillId="35" borderId="38" xfId="0" applyFont="1" applyFill="1" applyBorder="1" applyAlignment="1" applyProtection="1">
      <alignment horizontal="center" vertical="center"/>
    </xf>
    <xf numFmtId="0" fontId="8" fillId="43" borderId="49" xfId="0" applyFont="1" applyFill="1" applyBorder="1" applyAlignment="1" applyProtection="1">
      <alignment horizontal="center" vertical="center"/>
    </xf>
    <xf numFmtId="0" fontId="8" fillId="43" borderId="35" xfId="0" applyFont="1" applyFill="1" applyBorder="1" applyAlignment="1" applyProtection="1">
      <alignment horizontal="center" vertical="center"/>
    </xf>
    <xf numFmtId="0" fontId="8" fillId="43" borderId="36" xfId="0" applyFont="1" applyFill="1" applyBorder="1" applyAlignment="1" applyProtection="1">
      <alignment horizontal="center" vertical="center"/>
    </xf>
    <xf numFmtId="0" fontId="6" fillId="9" borderId="50" xfId="9" applyFont="1" applyBorder="1" applyAlignment="1" applyProtection="1">
      <alignment horizontal="center" vertical="center"/>
    </xf>
    <xf numFmtId="0" fontId="6" fillId="9" borderId="51" xfId="9" applyFont="1" applyBorder="1" applyAlignment="1" applyProtection="1">
      <alignment horizontal="center" vertical="center"/>
    </xf>
    <xf numFmtId="0" fontId="21" fillId="6" borderId="37" xfId="6" applyFont="1" applyBorder="1" applyAlignment="1" applyProtection="1">
      <alignment horizontal="center" vertical="center"/>
    </xf>
    <xf numFmtId="0" fontId="21" fillId="6" borderId="26" xfId="6" applyFont="1" applyBorder="1" applyAlignment="1" applyProtection="1">
      <alignment horizontal="center" vertical="center"/>
    </xf>
    <xf numFmtId="0" fontId="21" fillId="6" borderId="38" xfId="6" applyFont="1" applyBorder="1" applyAlignment="1" applyProtection="1">
      <alignment horizontal="center" vertical="center"/>
    </xf>
    <xf numFmtId="0" fontId="8" fillId="6" borderId="86" xfId="6" applyFont="1" applyBorder="1" applyAlignment="1" applyProtection="1">
      <alignment horizontal="center" vertical="center"/>
    </xf>
    <xf numFmtId="0" fontId="8" fillId="6" borderId="13" xfId="6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6" fillId="28" borderId="4" xfId="10" applyFont="1" applyFill="1" applyBorder="1" applyAlignment="1" applyProtection="1">
      <alignment horizontal="center" vertical="center"/>
    </xf>
    <xf numFmtId="0" fontId="6" fillId="28" borderId="10" xfId="10" applyFont="1" applyFill="1" applyBorder="1" applyAlignment="1" applyProtection="1">
      <alignment horizontal="center" vertical="center"/>
    </xf>
    <xf numFmtId="0" fontId="15" fillId="27" borderId="39" xfId="11" applyFont="1" applyFill="1" applyBorder="1" applyAlignment="1" applyProtection="1">
      <alignment horizontal="center" vertical="center"/>
    </xf>
    <xf numFmtId="0" fontId="15" fillId="27" borderId="20" xfId="11" applyFont="1" applyFill="1" applyBorder="1" applyAlignment="1" applyProtection="1">
      <alignment horizontal="center" vertical="center"/>
    </xf>
    <xf numFmtId="0" fontId="15" fillId="27" borderId="48" xfId="11" applyFont="1" applyFill="1" applyBorder="1" applyAlignment="1" applyProtection="1">
      <alignment horizontal="center" vertical="center"/>
    </xf>
    <xf numFmtId="0" fontId="15" fillId="27" borderId="29" xfId="11" applyFont="1" applyFill="1" applyBorder="1" applyAlignment="1" applyProtection="1">
      <alignment horizontal="center" vertical="center"/>
    </xf>
    <xf numFmtId="0" fontId="15" fillId="27" borderId="47" xfId="11" applyFont="1" applyFill="1" applyBorder="1" applyAlignment="1" applyProtection="1">
      <alignment horizontal="center" vertical="center"/>
    </xf>
    <xf numFmtId="0" fontId="15" fillId="27" borderId="7" xfId="11" applyFont="1" applyFill="1" applyBorder="1" applyAlignment="1" applyProtection="1">
      <alignment horizontal="center" vertical="center"/>
    </xf>
    <xf numFmtId="0" fontId="15" fillId="12" borderId="39" xfId="11" applyFont="1" applyBorder="1" applyAlignment="1" applyProtection="1">
      <alignment horizontal="center" vertical="center"/>
    </xf>
    <xf numFmtId="0" fontId="15" fillId="12" borderId="20" xfId="11" applyFont="1" applyBorder="1" applyAlignment="1" applyProtection="1">
      <alignment horizontal="center" vertical="center"/>
    </xf>
    <xf numFmtId="0" fontId="15" fillId="12" borderId="48" xfId="11" applyFont="1" applyBorder="1" applyAlignment="1" applyProtection="1">
      <alignment horizontal="center" vertical="center"/>
    </xf>
    <xf numFmtId="0" fontId="15" fillId="12" borderId="29" xfId="11" applyFont="1" applyBorder="1" applyAlignment="1" applyProtection="1">
      <alignment horizontal="center" vertical="center"/>
    </xf>
    <xf numFmtId="0" fontId="15" fillId="12" borderId="47" xfId="11" applyFont="1" applyBorder="1" applyAlignment="1" applyProtection="1">
      <alignment horizontal="center" vertical="center"/>
    </xf>
    <xf numFmtId="0" fontId="15" fillId="12" borderId="7" xfId="11" applyFont="1" applyBorder="1" applyAlignment="1" applyProtection="1">
      <alignment horizontal="center" vertical="center"/>
    </xf>
    <xf numFmtId="0" fontId="14" fillId="0" borderId="4" xfId="3" applyFont="1" applyFill="1" applyBorder="1" applyAlignment="1" applyProtection="1">
      <alignment horizontal="center" vertical="center"/>
    </xf>
    <xf numFmtId="0" fontId="14" fillId="0" borderId="10" xfId="3" applyFont="1" applyFill="1" applyBorder="1" applyAlignment="1" applyProtection="1">
      <alignment horizontal="center" vertical="center"/>
    </xf>
    <xf numFmtId="0" fontId="6" fillId="11" borderId="4" xfId="10" applyFont="1" applyBorder="1" applyAlignment="1" applyProtection="1">
      <alignment horizontal="center" vertical="center"/>
    </xf>
    <xf numFmtId="0" fontId="6" fillId="11" borderId="10" xfId="10" applyFont="1" applyBorder="1" applyAlignment="1" applyProtection="1">
      <alignment horizontal="center" vertical="center"/>
    </xf>
    <xf numFmtId="0" fontId="30" fillId="13" borderId="0" xfId="1" applyFont="1" applyFill="1" applyBorder="1" applyAlignment="1" applyProtection="1">
      <alignment horizontal="center" vertical="center"/>
    </xf>
    <xf numFmtId="0" fontId="15" fillId="5" borderId="49" xfId="5" applyFont="1" applyBorder="1" applyAlignment="1" applyProtection="1">
      <alignment horizontal="center" vertical="center"/>
    </xf>
    <xf numFmtId="0" fontId="15" fillId="5" borderId="70" xfId="5" applyFont="1" applyBorder="1" applyAlignment="1" applyProtection="1">
      <alignment horizontal="center" vertical="center"/>
    </xf>
    <xf numFmtId="0" fontId="15" fillId="5" borderId="48" xfId="5" applyFont="1" applyBorder="1" applyAlignment="1" applyProtection="1">
      <alignment horizontal="center" vertical="center"/>
    </xf>
    <xf numFmtId="0" fontId="15" fillId="5" borderId="29" xfId="5" applyFont="1" applyBorder="1" applyAlignment="1" applyProtection="1">
      <alignment horizontal="center" vertical="center"/>
    </xf>
    <xf numFmtId="0" fontId="15" fillId="5" borderId="47" xfId="5" applyFont="1" applyBorder="1" applyAlignment="1" applyProtection="1">
      <alignment horizontal="center" vertical="center"/>
    </xf>
    <xf numFmtId="0" fontId="15" fillId="5" borderId="7" xfId="5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69" xfId="0" applyFont="1" applyBorder="1" applyAlignment="1" applyProtection="1">
      <alignment horizontal="center" vertical="center"/>
    </xf>
    <xf numFmtId="0" fontId="6" fillId="4" borderId="4" xfId="4" applyFont="1" applyBorder="1" applyAlignment="1" applyProtection="1">
      <alignment horizontal="center" vertical="center"/>
    </xf>
    <xf numFmtId="0" fontId="6" fillId="4" borderId="10" xfId="4" applyFont="1" applyBorder="1" applyAlignment="1" applyProtection="1">
      <alignment horizontal="center" vertical="center"/>
    </xf>
    <xf numFmtId="177" fontId="14" fillId="13" borderId="0" xfId="1" applyNumberFormat="1" applyFont="1" applyFill="1" applyBorder="1" applyAlignment="1" applyProtection="1">
      <alignment horizontal="center" vertical="center"/>
    </xf>
    <xf numFmtId="0" fontId="14" fillId="13" borderId="0" xfId="1" applyFont="1" applyFill="1" applyBorder="1" applyAlignment="1" applyProtection="1">
      <alignment horizontal="right" vertical="center"/>
    </xf>
    <xf numFmtId="0" fontId="15" fillId="36" borderId="49" xfId="0" applyFont="1" applyFill="1" applyBorder="1" applyAlignment="1" applyProtection="1">
      <alignment horizontal="center" vertical="center"/>
    </xf>
    <xf numFmtId="0" fontId="15" fillId="36" borderId="35" xfId="0" applyFont="1" applyFill="1" applyBorder="1" applyAlignment="1" applyProtection="1">
      <alignment horizontal="center" vertical="center"/>
    </xf>
    <xf numFmtId="0" fontId="15" fillId="36" borderId="59" xfId="0" applyFont="1" applyFill="1" applyBorder="1" applyAlignment="1" applyProtection="1">
      <alignment horizontal="center" vertical="center"/>
    </xf>
    <xf numFmtId="0" fontId="15" fillId="36" borderId="60" xfId="0" applyFont="1" applyFill="1" applyBorder="1" applyAlignment="1" applyProtection="1">
      <alignment horizontal="center" vertical="center"/>
    </xf>
    <xf numFmtId="0" fontId="15" fillId="36" borderId="49" xfId="0" applyFont="1" applyFill="1" applyBorder="1" applyAlignment="1" applyProtection="1">
      <alignment horizontal="center" vertical="center" wrapText="1"/>
    </xf>
    <xf numFmtId="0" fontId="6" fillId="8" borderId="21" xfId="8" applyFont="1" applyBorder="1" applyAlignment="1" applyProtection="1">
      <alignment horizontal="center" vertical="center"/>
    </xf>
    <xf numFmtId="0" fontId="6" fillId="8" borderId="10" xfId="8" applyFont="1" applyBorder="1" applyAlignment="1" applyProtection="1">
      <alignment horizontal="center" vertical="center"/>
    </xf>
    <xf numFmtId="0" fontId="8" fillId="33" borderId="44" xfId="0" applyFont="1" applyFill="1" applyBorder="1" applyAlignment="1" applyProtection="1">
      <alignment horizontal="center" vertical="center"/>
    </xf>
    <xf numFmtId="0" fontId="8" fillId="33" borderId="14" xfId="0" applyFont="1" applyFill="1" applyBorder="1" applyAlignment="1" applyProtection="1">
      <alignment horizontal="center" vertical="center"/>
    </xf>
    <xf numFmtId="0" fontId="8" fillId="33" borderId="16" xfId="0" applyFont="1" applyFill="1" applyBorder="1" applyAlignment="1" applyProtection="1">
      <alignment horizontal="center" vertical="center"/>
    </xf>
    <xf numFmtId="0" fontId="7" fillId="0" borderId="28" xfId="0" applyFont="1" applyFill="1" applyBorder="1" applyAlignment="1" applyProtection="1">
      <alignment horizontal="center" vertical="center"/>
    </xf>
    <xf numFmtId="0" fontId="7" fillId="0" borderId="58" xfId="0" applyFont="1" applyFill="1" applyBorder="1" applyAlignment="1" applyProtection="1">
      <alignment horizontal="center" vertical="center"/>
    </xf>
    <xf numFmtId="0" fontId="7" fillId="13" borderId="8" xfId="0" applyFont="1" applyFill="1" applyBorder="1" applyAlignment="1" applyProtection="1">
      <alignment horizontal="center" vertical="center"/>
    </xf>
    <xf numFmtId="0" fontId="7" fillId="13" borderId="27" xfId="0" applyFont="1" applyFill="1" applyBorder="1" applyAlignment="1" applyProtection="1">
      <alignment horizontal="center" vertical="center"/>
    </xf>
    <xf numFmtId="0" fontId="7" fillId="13" borderId="4" xfId="0" applyFont="1" applyFill="1" applyBorder="1" applyAlignment="1" applyProtection="1">
      <alignment horizontal="center" vertical="center"/>
    </xf>
    <xf numFmtId="0" fontId="7" fillId="13" borderId="10" xfId="0" applyFont="1" applyFill="1" applyBorder="1" applyAlignment="1" applyProtection="1">
      <alignment horizontal="center" vertical="center"/>
    </xf>
    <xf numFmtId="0" fontId="6" fillId="18" borderId="4" xfId="10" applyFont="1" applyFill="1" applyBorder="1" applyAlignment="1" applyProtection="1">
      <alignment horizontal="center" vertical="center"/>
    </xf>
    <xf numFmtId="0" fontId="6" fillId="18" borderId="10" xfId="10" applyFont="1" applyFill="1" applyBorder="1" applyAlignment="1" applyProtection="1">
      <alignment horizontal="center" vertical="center"/>
    </xf>
    <xf numFmtId="0" fontId="8" fillId="33" borderId="37" xfId="0" applyFont="1" applyFill="1" applyBorder="1" applyAlignment="1" applyProtection="1">
      <alignment horizontal="center" vertical="center"/>
    </xf>
    <xf numFmtId="0" fontId="8" fillId="33" borderId="38" xfId="0" applyFont="1" applyFill="1" applyBorder="1" applyAlignment="1" applyProtection="1">
      <alignment horizontal="center" vertical="center"/>
    </xf>
    <xf numFmtId="0" fontId="18" fillId="33" borderId="37" xfId="0" applyFont="1" applyFill="1" applyBorder="1" applyAlignment="1" applyProtection="1">
      <alignment horizontal="center" vertical="center"/>
    </xf>
    <xf numFmtId="0" fontId="18" fillId="33" borderId="26" xfId="0" applyFont="1" applyFill="1" applyBorder="1" applyAlignment="1" applyProtection="1">
      <alignment horizontal="center" vertical="center"/>
    </xf>
    <xf numFmtId="0" fontId="18" fillId="33" borderId="38" xfId="0" applyFont="1" applyFill="1" applyBorder="1" applyAlignment="1" applyProtection="1">
      <alignment horizontal="center" vertical="center"/>
    </xf>
    <xf numFmtId="180" fontId="17" fillId="17" borderId="49" xfId="0" applyNumberFormat="1" applyFont="1" applyFill="1" applyBorder="1" applyAlignment="1" applyProtection="1">
      <alignment horizontal="center" vertical="center"/>
    </xf>
    <xf numFmtId="180" fontId="17" fillId="17" borderId="36" xfId="0" applyNumberFormat="1" applyFont="1" applyFill="1" applyBorder="1" applyAlignment="1" applyProtection="1">
      <alignment horizontal="center" vertical="center"/>
    </xf>
    <xf numFmtId="180" fontId="17" fillId="17" borderId="59" xfId="0" applyNumberFormat="1" applyFont="1" applyFill="1" applyBorder="1" applyAlignment="1" applyProtection="1">
      <alignment horizontal="center" vertical="center"/>
    </xf>
    <xf numFmtId="180" fontId="17" fillId="17" borderId="61" xfId="0" applyNumberFormat="1" applyFont="1" applyFill="1" applyBorder="1" applyAlignment="1" applyProtection="1">
      <alignment horizontal="center" vertical="center"/>
    </xf>
    <xf numFmtId="180" fontId="17" fillId="14" borderId="49" xfId="0" applyNumberFormat="1" applyFont="1" applyFill="1" applyBorder="1" applyAlignment="1" applyProtection="1">
      <alignment horizontal="center" vertical="center"/>
    </xf>
    <xf numFmtId="180" fontId="17" fillId="14" borderId="36" xfId="0" applyNumberFormat="1" applyFont="1" applyFill="1" applyBorder="1" applyAlignment="1" applyProtection="1">
      <alignment horizontal="center" vertical="center"/>
    </xf>
    <xf numFmtId="180" fontId="17" fillId="14" borderId="59" xfId="0" applyNumberFormat="1" applyFont="1" applyFill="1" applyBorder="1" applyAlignment="1" applyProtection="1">
      <alignment horizontal="center" vertical="center"/>
    </xf>
    <xf numFmtId="180" fontId="17" fillId="14" borderId="61" xfId="0" applyNumberFormat="1" applyFont="1" applyFill="1" applyBorder="1" applyAlignment="1" applyProtection="1">
      <alignment horizontal="center" vertical="center"/>
    </xf>
    <xf numFmtId="0" fontId="29" fillId="27" borderId="22" xfId="0" applyFont="1" applyFill="1" applyBorder="1" applyAlignment="1" applyProtection="1">
      <alignment horizontal="center" vertical="center"/>
    </xf>
    <xf numFmtId="0" fontId="29" fillId="27" borderId="23" xfId="0" applyFont="1" applyFill="1" applyBorder="1" applyAlignment="1" applyProtection="1">
      <alignment horizontal="center" vertical="center"/>
    </xf>
    <xf numFmtId="0" fontId="29" fillId="27" borderId="24" xfId="0" applyFont="1" applyFill="1" applyBorder="1" applyAlignment="1" applyProtection="1">
      <alignment horizontal="center" vertical="center"/>
    </xf>
    <xf numFmtId="0" fontId="29" fillId="27" borderId="19" xfId="0" applyFont="1" applyFill="1" applyBorder="1" applyAlignment="1" applyProtection="1">
      <alignment horizontal="center" vertical="center"/>
    </xf>
    <xf numFmtId="0" fontId="29" fillId="32" borderId="17" xfId="0" applyFont="1" applyFill="1" applyBorder="1" applyAlignment="1" applyProtection="1">
      <alignment horizontal="center" vertical="center"/>
    </xf>
    <xf numFmtId="0" fontId="29" fillId="32" borderId="12" xfId="0" applyFont="1" applyFill="1" applyBorder="1" applyAlignment="1" applyProtection="1">
      <alignment horizontal="center" vertical="center"/>
    </xf>
    <xf numFmtId="0" fontId="29" fillId="32" borderId="24" xfId="0" applyFont="1" applyFill="1" applyBorder="1" applyAlignment="1" applyProtection="1">
      <alignment horizontal="center" vertical="center"/>
    </xf>
    <xf numFmtId="0" fontId="29" fillId="32" borderId="19" xfId="0" applyFont="1" applyFill="1" applyBorder="1" applyAlignment="1" applyProtection="1">
      <alignment horizontal="center" vertical="center"/>
    </xf>
    <xf numFmtId="176" fontId="17" fillId="17" borderId="17" xfId="0" applyNumberFormat="1" applyFont="1" applyFill="1" applyBorder="1" applyAlignment="1" applyProtection="1">
      <alignment horizontal="center" vertical="center"/>
    </xf>
    <xf numFmtId="176" fontId="17" fillId="17" borderId="12" xfId="0" applyNumberFormat="1" applyFont="1" applyFill="1" applyBorder="1" applyAlignment="1" applyProtection="1">
      <alignment horizontal="center" vertical="center"/>
    </xf>
    <xf numFmtId="176" fontId="17" fillId="17" borderId="24" xfId="0" applyNumberFormat="1" applyFont="1" applyFill="1" applyBorder="1" applyAlignment="1" applyProtection="1">
      <alignment horizontal="center" vertical="center"/>
    </xf>
    <xf numFmtId="176" fontId="17" fillId="17" borderId="19" xfId="0" applyNumberFormat="1" applyFont="1" applyFill="1" applyBorder="1" applyAlignment="1" applyProtection="1">
      <alignment horizontal="center" vertical="center"/>
    </xf>
    <xf numFmtId="176" fontId="17" fillId="14" borderId="22" xfId="0" applyNumberFormat="1" applyFont="1" applyFill="1" applyBorder="1" applyAlignment="1" applyProtection="1">
      <alignment horizontal="center" vertical="center"/>
    </xf>
    <xf numFmtId="176" fontId="17" fillId="14" borderId="23" xfId="0" applyNumberFormat="1" applyFont="1" applyFill="1" applyBorder="1" applyAlignment="1" applyProtection="1">
      <alignment horizontal="center" vertical="center"/>
    </xf>
    <xf numFmtId="176" fontId="17" fillId="14" borderId="24" xfId="0" applyNumberFormat="1" applyFont="1" applyFill="1" applyBorder="1" applyAlignment="1" applyProtection="1">
      <alignment horizontal="center" vertical="center"/>
    </xf>
    <xf numFmtId="176" fontId="17" fillId="14" borderId="19" xfId="0" applyNumberFormat="1" applyFont="1" applyFill="1" applyBorder="1" applyAlignment="1" applyProtection="1">
      <alignment horizontal="center" vertical="center"/>
    </xf>
    <xf numFmtId="0" fontId="29" fillId="30" borderId="22" xfId="0" applyFont="1" applyFill="1" applyBorder="1" applyAlignment="1" applyProtection="1">
      <alignment horizontal="center" vertical="center"/>
    </xf>
    <xf numFmtId="0" fontId="29" fillId="30" borderId="33" xfId="0" applyFont="1" applyFill="1" applyBorder="1" applyAlignment="1" applyProtection="1">
      <alignment horizontal="center" vertical="center"/>
    </xf>
    <xf numFmtId="0" fontId="29" fillId="30" borderId="24" xfId="0" applyFont="1" applyFill="1" applyBorder="1" applyAlignment="1" applyProtection="1">
      <alignment horizontal="center" vertical="center"/>
    </xf>
    <xf numFmtId="0" fontId="29" fillId="30" borderId="34" xfId="0" applyFont="1" applyFill="1" applyBorder="1" applyAlignment="1" applyProtection="1">
      <alignment horizontal="center" vertical="center"/>
    </xf>
    <xf numFmtId="0" fontId="29" fillId="31" borderId="22" xfId="0" applyFont="1" applyFill="1" applyBorder="1" applyAlignment="1" applyProtection="1">
      <alignment horizontal="center" vertical="center"/>
    </xf>
    <xf numFmtId="0" fontId="29" fillId="31" borderId="23" xfId="0" applyFont="1" applyFill="1" applyBorder="1" applyAlignment="1" applyProtection="1">
      <alignment horizontal="center" vertical="center"/>
    </xf>
    <xf numFmtId="0" fontId="29" fillId="31" borderId="24" xfId="0" applyFont="1" applyFill="1" applyBorder="1" applyAlignment="1" applyProtection="1">
      <alignment horizontal="center" vertical="center"/>
    </xf>
    <xf numFmtId="0" fontId="29" fillId="31" borderId="19" xfId="0" applyFont="1" applyFill="1" applyBorder="1" applyAlignment="1" applyProtection="1">
      <alignment horizontal="center" vertical="center"/>
    </xf>
    <xf numFmtId="176" fontId="17" fillId="18" borderId="22" xfId="0" applyNumberFormat="1" applyFont="1" applyFill="1" applyBorder="1" applyAlignment="1" applyProtection="1">
      <alignment horizontal="center" vertical="center"/>
    </xf>
    <xf numFmtId="176" fontId="17" fillId="18" borderId="23" xfId="0" applyNumberFormat="1" applyFont="1" applyFill="1" applyBorder="1" applyAlignment="1" applyProtection="1">
      <alignment horizontal="center" vertical="center"/>
    </xf>
    <xf numFmtId="176" fontId="17" fillId="18" borderId="24" xfId="0" applyNumberFormat="1" applyFont="1" applyFill="1" applyBorder="1" applyAlignment="1" applyProtection="1">
      <alignment horizontal="center" vertical="center"/>
    </xf>
    <xf numFmtId="176" fontId="17" fillId="18" borderId="19" xfId="0" applyNumberFormat="1" applyFont="1" applyFill="1" applyBorder="1" applyAlignment="1" applyProtection="1">
      <alignment horizontal="center" vertical="center"/>
    </xf>
    <xf numFmtId="176" fontId="42" fillId="15" borderId="17" xfId="0" applyNumberFormat="1" applyFont="1" applyFill="1" applyBorder="1" applyAlignment="1" applyProtection="1">
      <alignment horizontal="center" vertical="center"/>
    </xf>
    <xf numFmtId="176" fontId="42" fillId="15" borderId="12" xfId="0" applyNumberFormat="1" applyFont="1" applyFill="1" applyBorder="1" applyAlignment="1" applyProtection="1">
      <alignment horizontal="center" vertical="center"/>
    </xf>
    <xf numFmtId="176" fontId="42" fillId="15" borderId="24" xfId="0" applyNumberFormat="1" applyFont="1" applyFill="1" applyBorder="1" applyAlignment="1" applyProtection="1">
      <alignment horizontal="center" vertical="center"/>
    </xf>
    <xf numFmtId="176" fontId="42" fillId="15" borderId="19" xfId="0" applyNumberFormat="1" applyFont="1" applyFill="1" applyBorder="1" applyAlignment="1" applyProtection="1">
      <alignment horizontal="center" vertical="center"/>
    </xf>
    <xf numFmtId="180" fontId="17" fillId="18" borderId="49" xfId="0" applyNumberFormat="1" applyFont="1" applyFill="1" applyBorder="1" applyAlignment="1" applyProtection="1">
      <alignment horizontal="center" vertical="center"/>
    </xf>
    <xf numFmtId="180" fontId="17" fillId="18" borderId="36" xfId="0" applyNumberFormat="1" applyFont="1" applyFill="1" applyBorder="1" applyAlignment="1" applyProtection="1">
      <alignment horizontal="center" vertical="center"/>
    </xf>
    <xf numFmtId="180" fontId="17" fillId="18" borderId="59" xfId="0" applyNumberFormat="1" applyFont="1" applyFill="1" applyBorder="1" applyAlignment="1" applyProtection="1">
      <alignment horizontal="center" vertical="center"/>
    </xf>
    <xf numFmtId="180" fontId="17" fillId="18" borderId="61" xfId="0" applyNumberFormat="1" applyFont="1" applyFill="1" applyBorder="1" applyAlignment="1" applyProtection="1">
      <alignment horizontal="center" vertical="center"/>
    </xf>
    <xf numFmtId="180" fontId="42" fillId="15" borderId="49" xfId="0" applyNumberFormat="1" applyFont="1" applyFill="1" applyBorder="1" applyAlignment="1" applyProtection="1">
      <alignment horizontal="center" vertical="center"/>
    </xf>
    <xf numFmtId="180" fontId="42" fillId="15" borderId="36" xfId="0" applyNumberFormat="1" applyFont="1" applyFill="1" applyBorder="1" applyAlignment="1" applyProtection="1">
      <alignment horizontal="center" vertical="center"/>
    </xf>
    <xf numFmtId="180" fontId="42" fillId="15" borderId="59" xfId="0" applyNumberFormat="1" applyFont="1" applyFill="1" applyBorder="1" applyAlignment="1" applyProtection="1">
      <alignment horizontal="center" vertical="center"/>
    </xf>
    <xf numFmtId="180" fontId="42" fillId="15" borderId="61" xfId="0" applyNumberFormat="1" applyFont="1" applyFill="1" applyBorder="1" applyAlignment="1" applyProtection="1">
      <alignment horizontal="center" vertical="center"/>
    </xf>
    <xf numFmtId="0" fontId="30" fillId="13" borderId="0" xfId="1" applyFont="1" applyFill="1" applyAlignment="1" applyProtection="1">
      <alignment horizontal="center" vertical="center"/>
    </xf>
    <xf numFmtId="0" fontId="6" fillId="3" borderId="4" xfId="2" applyFont="1" applyFill="1" applyBorder="1" applyAlignment="1" applyProtection="1">
      <alignment horizontal="center" vertical="center"/>
    </xf>
    <xf numFmtId="0" fontId="6" fillId="3" borderId="10" xfId="2" applyFont="1" applyFill="1" applyBorder="1" applyAlignment="1" applyProtection="1">
      <alignment horizontal="center" vertical="center"/>
    </xf>
    <xf numFmtId="0" fontId="14" fillId="13" borderId="4" xfId="3" applyFont="1" applyFill="1" applyBorder="1" applyAlignment="1" applyProtection="1">
      <alignment horizontal="center" vertical="center"/>
    </xf>
    <xf numFmtId="0" fontId="14" fillId="13" borderId="10" xfId="3" applyFont="1" applyFill="1" applyBorder="1" applyAlignment="1" applyProtection="1">
      <alignment horizontal="center" vertical="center"/>
    </xf>
    <xf numFmtId="0" fontId="6" fillId="10" borderId="4" xfId="2" applyFont="1" applyFill="1" applyBorder="1" applyAlignment="1" applyProtection="1">
      <alignment horizontal="center" vertical="center"/>
    </xf>
    <xf numFmtId="0" fontId="6" fillId="10" borderId="10" xfId="2" applyFont="1" applyFill="1" applyBorder="1" applyAlignment="1" applyProtection="1">
      <alignment horizontal="center" vertical="center"/>
    </xf>
    <xf numFmtId="0" fontId="21" fillId="6" borderId="49" xfId="6" applyFont="1" applyBorder="1" applyAlignment="1" applyProtection="1">
      <alignment horizontal="center" vertical="center"/>
    </xf>
    <xf numFmtId="0" fontId="21" fillId="6" borderId="35" xfId="6" applyFont="1" applyBorder="1" applyAlignment="1" applyProtection="1">
      <alignment horizontal="center" vertical="center"/>
    </xf>
    <xf numFmtId="0" fontId="21" fillId="6" borderId="36" xfId="6" applyFont="1" applyBorder="1" applyAlignment="1" applyProtection="1">
      <alignment horizontal="center" vertical="center"/>
    </xf>
    <xf numFmtId="0" fontId="21" fillId="6" borderId="59" xfId="6" applyFont="1" applyBorder="1" applyAlignment="1" applyProtection="1">
      <alignment horizontal="center" vertical="center"/>
    </xf>
    <xf numFmtId="0" fontId="21" fillId="6" borderId="60" xfId="6" applyFont="1" applyBorder="1" applyAlignment="1" applyProtection="1">
      <alignment horizontal="center" vertical="center"/>
    </xf>
    <xf numFmtId="0" fontId="21" fillId="6" borderId="61" xfId="6" applyFont="1" applyBorder="1" applyAlignment="1" applyProtection="1">
      <alignment horizontal="center" vertical="center"/>
    </xf>
    <xf numFmtId="0" fontId="18" fillId="6" borderId="22" xfId="6" applyFont="1" applyBorder="1" applyAlignment="1" applyProtection="1">
      <alignment horizontal="center" vertical="center"/>
    </xf>
    <xf numFmtId="0" fontId="18" fillId="6" borderId="23" xfId="6" applyFont="1" applyBorder="1" applyAlignment="1" applyProtection="1">
      <alignment horizontal="center" vertical="center"/>
    </xf>
    <xf numFmtId="0" fontId="7" fillId="13" borderId="83" xfId="0" applyFont="1" applyFill="1" applyBorder="1" applyAlignment="1" applyProtection="1">
      <alignment horizontal="center" vertical="center"/>
    </xf>
  </cellXfs>
  <cellStyles count="13">
    <cellStyle name="20% - アクセント 3" xfId="7" builtinId="38"/>
    <cellStyle name="20% - アクセント 4" xfId="8" builtinId="42"/>
    <cellStyle name="40% - アクセント 2" xfId="4" builtinId="35"/>
    <cellStyle name="40% - アクセント 4" xfId="9" builtinId="43"/>
    <cellStyle name="40% - アクセント 6" xfId="10" builtinId="51"/>
    <cellStyle name="60% - アクセント 1" xfId="3" builtinId="32"/>
    <cellStyle name="60% - アクセント 2" xfId="5" builtinId="36"/>
    <cellStyle name="60% - アクセント 6" xfId="11" builtinId="52"/>
    <cellStyle name="アクセント 3" xfId="6" builtinId="37"/>
    <cellStyle name="タイトル" xfId="1" builtinId="15"/>
    <cellStyle name="ハイパーリンク" xfId="12" builtinId="8"/>
    <cellStyle name="集計" xfId="2" builtinId="25"/>
    <cellStyle name="標準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rgb="FF00000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rgb="FF00000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ＭＳ Ｐゴシック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indent="0" justifyLastLine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66"/>
      <color rgb="FF00FF99"/>
      <color rgb="FFFFCCCC"/>
      <color rgb="FFFF9999"/>
      <color rgb="FFE6F4F6"/>
      <color rgb="FF74C5CE"/>
      <color rgb="FFFF7C80"/>
      <color rgb="FF37939D"/>
      <color rgb="FFFFCDCD"/>
      <color rgb="FFEA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chartsheet" Target="chartsheets/sheet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600" baseline="0">
                <a:latin typeface="+mn-ea"/>
                <a:ea typeface="+mn-ea"/>
              </a:rPr>
              <a:t>GPT/GPA</a:t>
            </a:r>
            <a:r>
              <a:rPr lang="ja-JP" altLang="en-US" sz="1600">
                <a:latin typeface="+mn-ea"/>
                <a:ea typeface="+mn-ea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成績表!$G$31</c:f>
              <c:strCache>
                <c:ptCount val="1"/>
                <c:pt idx="0">
                  <c:v>GPT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(成績表!$H$7,成績表!$J$7,成績表!$L$7,成績表!$N$7)</c:f>
              <c:strCache>
                <c:ptCount val="4"/>
                <c:pt idx="0">
                  <c:v>１年春</c:v>
                </c:pt>
                <c:pt idx="1">
                  <c:v>１年秋</c:v>
                </c:pt>
                <c:pt idx="2">
                  <c:v>２年春</c:v>
                </c:pt>
                <c:pt idx="3">
                  <c:v>２年秋</c:v>
                </c:pt>
              </c:strCache>
            </c:strRef>
          </c:cat>
          <c:val>
            <c:numRef>
              <c:f>(成績表!$I$28,成績表!$K$28,成績表!$M$28,成績表!$O$28)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54-A9D6-F5DA9BC1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921800"/>
        <c:axId val="396911960"/>
      </c:barChart>
      <c:lineChart>
        <c:grouping val="standard"/>
        <c:varyColors val="0"/>
        <c:ser>
          <c:idx val="1"/>
          <c:order val="0"/>
          <c:tx>
            <c:strRef>
              <c:f>成績表!$E$31:$F$31</c:f>
              <c:strCache>
                <c:ptCount val="2"/>
                <c:pt idx="0">
                  <c:v>GPA</c:v>
                </c:pt>
              </c:strCache>
            </c:strRef>
          </c:tx>
          <c:cat>
            <c:strRef>
              <c:f>(成績表!$H$7,成績表!$J$7,成績表!$L$7,成績表!$N$7)</c:f>
              <c:strCache>
                <c:ptCount val="4"/>
                <c:pt idx="0">
                  <c:v>１年春</c:v>
                </c:pt>
                <c:pt idx="1">
                  <c:v>１年秋</c:v>
                </c:pt>
                <c:pt idx="2">
                  <c:v>２年春</c:v>
                </c:pt>
                <c:pt idx="3">
                  <c:v>２年秋</c:v>
                </c:pt>
              </c:strCache>
            </c:strRef>
          </c:cat>
          <c:val>
            <c:numRef>
              <c:f>(成績表!$I$27,成績表!$K$27,成績表!$M$27,成績表!$O$27)</c:f>
              <c:numCache>
                <c:formatCode>0.00_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7F-4954-A9D6-F5DA9BC1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928207"/>
        <c:axId val="1173997743"/>
      </c:lineChart>
      <c:catAx>
        <c:axId val="39692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学期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911960"/>
        <c:crosses val="autoZero"/>
        <c:auto val="0"/>
        <c:lblAlgn val="ctr"/>
        <c:lblOffset val="100"/>
        <c:noMultiLvlLbl val="1"/>
      </c:catAx>
      <c:valAx>
        <c:axId val="39691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100" b="1">
                    <a:solidFill>
                      <a:schemeClr val="accent5"/>
                    </a:solidFill>
                  </a:rPr>
                  <a:t>GPT</a:t>
                </a:r>
                <a:endParaRPr lang="ja-JP" altLang="en-US" sz="1100" b="1">
                  <a:solidFill>
                    <a:schemeClr val="accent5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921800"/>
        <c:crosses val="autoZero"/>
        <c:crossBetween val="between"/>
      </c:valAx>
      <c:valAx>
        <c:axId val="1173997743"/>
        <c:scaling>
          <c:orientation val="minMax"/>
          <c:max val="4.5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200">
                    <a:solidFill>
                      <a:schemeClr val="accent2"/>
                    </a:solidFill>
                  </a:rPr>
                  <a:t>GPA</a:t>
                </a:r>
                <a:endParaRPr lang="ja-JP" altLang="en-US" sz="1200">
                  <a:solidFill>
                    <a:schemeClr val="accent2"/>
                  </a:solidFill>
                </a:endParaRPr>
              </a:p>
            </c:rich>
          </c:tx>
          <c:overlay val="0"/>
        </c:title>
        <c:numFmt formatCode="0.00_ " sourceLinked="1"/>
        <c:majorTickMark val="out"/>
        <c:minorTickMark val="none"/>
        <c:tickLblPos val="nextTo"/>
        <c:crossAx val="1173928207"/>
        <c:crosses val="max"/>
        <c:crossBetween val="between"/>
      </c:valAx>
      <c:catAx>
        <c:axId val="117392820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173997743"/>
        <c:crosses val="max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F992D4-1B69-4479-A8BD-24439F9E8DB0}">
  <sheetPr>
    <tabColor theme="9" tint="0.79998168889431442"/>
  </sheetPr>
  <sheetViews>
    <sheetView workbookViewId="0"/>
  </sheetViews>
  <sheetProtection algorithmName="SHA-512" hashValue="x+hxiYp0pkcpxzpBCfOjcZ7dn52U4ViPz2OX7Fntd8XFxVm0/GVTuLOuSHiC9Btca6i2zb45mryk1ZL41V/dtA==" saltValue="n8uOEYdm9HEmhR+jNcKRcg==" spinCount="100000" content="1" objects="1"/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smile-works.co.jp/functions/kaikei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625138</xdr:colOff>
      <xdr:row>2</xdr:row>
      <xdr:rowOff>0</xdr:rowOff>
    </xdr:from>
    <xdr:to>
      <xdr:col>8</xdr:col>
      <xdr:colOff>42801</xdr:colOff>
      <xdr:row>4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79E482D-525D-44CF-AD50-A95D13587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3452559" y="481263"/>
          <a:ext cx="1463031" cy="852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25</xdr:row>
      <xdr:rowOff>0</xdr:rowOff>
    </xdr:from>
    <xdr:to>
      <xdr:col>7</xdr:col>
      <xdr:colOff>552967</xdr:colOff>
      <xdr:row>47</xdr:row>
      <xdr:rowOff>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479BEF2-9E40-4F5F-883B-8721D2A82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048250"/>
          <a:ext cx="5105917" cy="5238751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 editAs="oneCell">
    <xdr:from>
      <xdr:col>7</xdr:col>
      <xdr:colOff>761999</xdr:colOff>
      <xdr:row>25</xdr:row>
      <xdr:rowOff>0</xdr:rowOff>
    </xdr:from>
    <xdr:to>
      <xdr:col>16</xdr:col>
      <xdr:colOff>0</xdr:colOff>
      <xdr:row>47</xdr:row>
      <xdr:rowOff>918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1F5E721D-FAAD-407C-ABE1-ABFD681D2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49" y="5048250"/>
          <a:ext cx="5791201" cy="5238750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038E7F8-C187-4E29-8FBE-FEFF63B9B0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0.0696</cdr:x>
      <cdr:y>0.51097</cdr:y>
    </cdr:from>
    <cdr:to>
      <cdr:x>0.91812</cdr:x>
      <cdr:y>0.51097</cdr:y>
    </cdr:to>
    <cdr:cxnSp macro="">
      <cdr:nvCxnSpPr>
        <cdr:cNvPr id="3" name="直線コネクタ 2">
          <a:extLst xmlns:a="http://schemas.openxmlformats.org/drawingml/2006/main">
            <a:ext uri="{FF2B5EF4-FFF2-40B4-BE49-F238E27FC236}">
              <a16:creationId xmlns:a16="http://schemas.microsoft.com/office/drawing/2014/main" id="{9FED4C4C-4286-4E4F-8659-C1784CB12EB1}"/>
            </a:ext>
          </a:extLst>
        </cdr:cNvPr>
        <cdr:cNvCxnSpPr/>
      </cdr:nvCxnSpPr>
      <cdr:spPr>
        <a:xfrm xmlns:a="http://schemas.openxmlformats.org/drawingml/2006/main" flipH="1">
          <a:off x="647700" y="3105150"/>
          <a:ext cx="7896225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accent6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aichi\OneDrive%20-%20&#27178;&#27996;&#22269;&#31435;&#22823;&#23398;\Documents\Lecture\&#25104;&#32318;\&#25104;&#32318;&#31649;&#29702;&#34920;&#12540;Perso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ポートマニュアル"/>
      <sheetName val="成績管理表"/>
      <sheetName val="先取履修"/>
      <sheetName val="検討"/>
      <sheetName val="１年春"/>
      <sheetName val="#１年秋"/>
      <sheetName val="２年春"/>
      <sheetName val="２年秋"/>
      <sheetName val="総合単位表"/>
      <sheetName val="成績表"/>
      <sheetName val="GPT・GPAグラフ"/>
      <sheetName val="2019科目一覧"/>
      <sheetName val="2019時間割一覧"/>
      <sheetName val="2020科目一覧"/>
      <sheetName val="2020時間割一覧"/>
    </sheetNames>
    <sheetDataSet>
      <sheetData sheetId="0"/>
      <sheetData sheetId="1">
        <row r="6">
          <cell r="J6" t="str">
            <v>横浜国立大学大学院</v>
          </cell>
        </row>
        <row r="7">
          <cell r="J7" t="str">
            <v>理工学府</v>
          </cell>
        </row>
        <row r="8">
          <cell r="J8" t="str">
            <v>博士課程前期</v>
          </cell>
          <cell r="K8" t="str">
            <v>博士課程後期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E3DA8D-A08C-428D-B636-DC0EC263B36E}" name="テーブル1" displayName="テーブル1" ref="B10:O374" totalsRowShown="0" headerRowDxfId="40" dataDxfId="38" headerRowBorderDxfId="39" tableBorderDxfId="37">
  <autoFilter ref="B10:O374" xr:uid="{75DAC700-5837-432B-9959-3FF556687B59}"/>
  <tableColumns count="14">
    <tableColumn id="1" xr3:uid="{91B82568-6E2F-4928-AB8D-0ECD6B045C83}" name="科目名" dataDxfId="36"/>
    <tableColumn id="2" xr3:uid="{786FBA97-9E9B-421A-99FC-B99E84E1A0FF}" name="科目区分Ⅰ" dataDxfId="35"/>
    <tableColumn id="3" xr3:uid="{8C1FE066-BB86-4F56-A360-059C69AFBEBA}" name="科目区分Ⅱ" dataDxfId="34"/>
    <tableColumn id="4" xr3:uid="{D41CC570-0745-4CCC-AE33-9DB7C4A6DAD0}" name="時間割コード" dataDxfId="33"/>
    <tableColumn id="5" xr3:uid="{25D9F60D-FB7E-41B3-A599-29F8ACF8EC86}" name="担当教員" dataDxfId="32"/>
    <tableColumn id="6" xr3:uid="{2CF85C91-512B-4FFE-9885-71C36CE40012}" name="単位数" dataDxfId="31"/>
    <tableColumn id="7" xr3:uid="{FCEC5ED8-1F3C-4651-83CD-15702ED3A9B2}" name="授業形態" dataDxfId="30"/>
    <tableColumn id="8" xr3:uid="{76B81B3B-6A1F-48E6-9096-5E0524A3034F}" name="履修年次" dataDxfId="29"/>
    <tableColumn id="9" xr3:uid="{B54357DE-2DB0-4E8E-B976-5A15456DC089}" name="研究指導科目" dataDxfId="28"/>
    <tableColumn id="10" xr3:uid="{EE2E3BD3-0770-4EFE-8C72-F28338401D70}" name="使用言語" dataDxfId="27"/>
    <tableColumn id="11" xr3:uid="{2EFF9F7F-9665-4722-8A93-4E9F04BE4011}" name="ナンバリングコード" dataDxfId="26"/>
    <tableColumn id="12" xr3:uid="{636721EB-715B-4191-9971-7366B97EC2B6}" name="開講年度" dataDxfId="25"/>
    <tableColumn id="13" xr3:uid="{C3718F79-8442-4AE1-A349-3DD110E9A9EB}" name="開講学期/ターム" dataDxfId="24"/>
    <tableColumn id="14" xr3:uid="{B4A12003-5825-4DC3-8AAB-F18C9A706580}" name="備考" dataDxfId="23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FFB5F7-E040-42E2-A21A-81DE82378E74}" name="テーブル2" displayName="テーブル2" ref="B10:I431" totalsRowShown="0" headerRowDxfId="22" dataDxfId="21" tableBorderDxfId="20">
  <autoFilter ref="B10:I431" xr:uid="{845B718B-ACB3-4B1D-AF05-636EFB7BE68F}"/>
  <tableColumns count="8">
    <tableColumn id="1" xr3:uid="{9A5CEDF6-D1E2-4721-98CA-2EA7030BE79F}" name="科目名" dataDxfId="19"/>
    <tableColumn id="2" xr3:uid="{364CB76B-7C12-4041-8A08-EEA56F5F6B19}" name="時間割コード" dataDxfId="18"/>
    <tableColumn id="3" xr3:uid="{CFD0E327-24F6-4D0D-A45F-9FEB8C0F9E7D}" name="担当教員" dataDxfId="17"/>
    <tableColumn id="4" xr3:uid="{D2F79172-B0C5-4306-8AFF-D8A75A021F16}" name="開講学期_x000a_/ターム" dataDxfId="16"/>
    <tableColumn id="5" xr3:uid="{8B402DE0-1DDF-4C64-8E71-2913CF1E7453}" name="曜日" dataDxfId="15"/>
    <tableColumn id="6" xr3:uid="{382E3C7C-53E2-4A57-91C8-E1CD708EE5B3}" name="時限" dataDxfId="14"/>
    <tableColumn id="7" xr3:uid="{7AAD86E3-5D6C-4CE6-AA98-04B6F49DDF90}" name="教室" dataDxfId="13"/>
    <tableColumn id="8" xr3:uid="{2C54AE88-7062-460E-BE7D-B646AD560871}" name="備考" dataDxfId="12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468F02-A787-4224-8AC8-C7BF786DAA5C}" name="テーブル3" displayName="テーブル3" ref="B10:I414" totalsRowShown="0" headerRowDxfId="11" dataDxfId="9" headerRowBorderDxfId="10" tableBorderDxfId="8">
  <autoFilter ref="B10:I414" xr:uid="{F34C1A9F-E613-46DA-8B79-1825FC8829F5}"/>
  <tableColumns count="8">
    <tableColumn id="1" xr3:uid="{AD3C0285-123F-4BF1-9463-6D47B259DD17}" name="科目名" dataDxfId="7"/>
    <tableColumn id="2" xr3:uid="{42D5FB33-3AFC-4D43-8AE3-0785FB372FF0}" name="時間割コード" dataDxfId="6"/>
    <tableColumn id="3" xr3:uid="{0E98D893-FDB4-450E-BB48-11E8F60D30CB}" name="担当教員" dataDxfId="5"/>
    <tableColumn id="4" xr3:uid="{F96F9CD7-E1FD-42C8-AE48-73EED21D4484}" name="開講学期_x000a_/ターム" dataDxfId="4"/>
    <tableColumn id="5" xr3:uid="{31CA8057-B6F8-4228-B1DB-A28F140E7A03}" name="曜日" dataDxfId="3"/>
    <tableColumn id="6" xr3:uid="{A4BAE822-4689-4A87-AFB4-7E1124D71ACA}" name="時限" dataDxfId="2"/>
    <tableColumn id="7" xr3:uid="{F4BAD089-95BE-4CAC-AE40-63015FE4D634}" name="教室" dataDxfId="1"/>
    <tableColumn id="8" xr3:uid="{0D3FEB5B-D172-4D64-AB0B-9FD09BE63F70}" name="備考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B6DC-FB75-4FB8-A2C6-977A4A3B0E69}">
  <sheetPr>
    <tabColor rgb="FFFFCDCD"/>
  </sheetPr>
  <dimension ref="A1:N112"/>
  <sheetViews>
    <sheetView tabSelected="1" zoomScale="95" zoomScaleNormal="130" workbookViewId="0">
      <selection sqref="A1:XFD1048576"/>
    </sheetView>
  </sheetViews>
  <sheetFormatPr defaultColWidth="0" defaultRowHeight="18.75" zeroHeight="1" x14ac:dyDescent="0.4"/>
  <cols>
    <col min="1" max="1" width="1.25" style="289" customWidth="1"/>
    <col min="2" max="13" width="9" style="289" customWidth="1"/>
    <col min="14" max="14" width="1.25" style="289" customWidth="1"/>
    <col min="15" max="16384" width="9" style="289" hidden="1"/>
  </cols>
  <sheetData>
    <row r="1" spans="1:14" ht="7.5" customHeight="1" x14ac:dyDescent="0.4">
      <c r="A1" s="288"/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</row>
    <row r="2" spans="1:14" ht="30" x14ac:dyDescent="0.4">
      <c r="A2" s="288"/>
      <c r="B2" s="288"/>
      <c r="C2" s="380" t="s">
        <v>2210</v>
      </c>
      <c r="D2" s="380"/>
      <c r="E2" s="380"/>
      <c r="F2" s="380"/>
      <c r="G2" s="380"/>
      <c r="H2" s="380"/>
      <c r="I2" s="380"/>
      <c r="J2" s="380"/>
      <c r="K2" s="380"/>
      <c r="L2" s="380"/>
      <c r="M2" s="288"/>
      <c r="N2" s="288"/>
    </row>
    <row r="3" spans="1:14" x14ac:dyDescent="0.4">
      <c r="A3" s="288"/>
      <c r="B3" s="288"/>
      <c r="C3" s="381" t="s">
        <v>2510</v>
      </c>
      <c r="D3" s="381"/>
      <c r="E3" s="381"/>
      <c r="F3" s="381"/>
      <c r="G3" s="381"/>
      <c r="H3" s="381"/>
      <c r="I3" s="381"/>
      <c r="J3" s="381"/>
      <c r="K3" s="381"/>
      <c r="L3" s="381"/>
      <c r="M3" s="288"/>
      <c r="N3" s="288"/>
    </row>
    <row r="4" spans="1:14" ht="48" customHeight="1" x14ac:dyDescent="0.4">
      <c r="A4" s="288"/>
      <c r="B4" s="288"/>
      <c r="C4" s="369"/>
      <c r="D4" s="369"/>
      <c r="E4" s="369"/>
      <c r="F4" s="369"/>
      <c r="G4" s="369"/>
      <c r="H4" s="369"/>
      <c r="I4" s="369"/>
      <c r="J4" s="369"/>
      <c r="K4" s="369"/>
      <c r="L4" s="369"/>
      <c r="M4" s="288"/>
      <c r="N4" s="288"/>
    </row>
    <row r="5" spans="1:14" x14ac:dyDescent="0.4">
      <c r="A5" s="288"/>
      <c r="B5" s="288"/>
      <c r="C5" s="369"/>
      <c r="D5" s="369"/>
      <c r="E5" s="369"/>
      <c r="F5" s="369"/>
      <c r="G5" s="369"/>
      <c r="H5" s="369"/>
      <c r="I5" s="369"/>
      <c r="J5" s="369"/>
      <c r="K5" s="369"/>
      <c r="L5" s="369"/>
      <c r="M5" s="288"/>
      <c r="N5" s="288"/>
    </row>
    <row r="6" spans="1:14" ht="24" x14ac:dyDescent="0.4">
      <c r="A6" s="288"/>
      <c r="B6" s="288"/>
      <c r="C6" s="379" t="s">
        <v>2211</v>
      </c>
      <c r="D6" s="379"/>
      <c r="E6" s="379"/>
      <c r="F6" s="379"/>
      <c r="G6" s="379"/>
      <c r="H6" s="379"/>
      <c r="I6" s="379"/>
      <c r="J6" s="379"/>
      <c r="K6" s="379"/>
      <c r="L6" s="379"/>
      <c r="M6" s="288"/>
      <c r="N6" s="288"/>
    </row>
    <row r="7" spans="1:14" ht="19.5" x14ac:dyDescent="0.4">
      <c r="A7" s="288"/>
      <c r="B7" s="288"/>
      <c r="C7" s="375" t="s">
        <v>2222</v>
      </c>
      <c r="D7" s="376"/>
      <c r="E7" s="376"/>
      <c r="F7" s="376"/>
      <c r="G7" s="376"/>
      <c r="H7" s="376"/>
      <c r="I7" s="376"/>
      <c r="J7" s="376"/>
      <c r="K7" s="376"/>
      <c r="L7" s="376"/>
      <c r="M7" s="288"/>
      <c r="N7" s="288"/>
    </row>
    <row r="8" spans="1:14" x14ac:dyDescent="0.4">
      <c r="A8" s="288"/>
      <c r="B8" s="288"/>
      <c r="C8" s="382" t="s">
        <v>2214</v>
      </c>
      <c r="D8" s="369"/>
      <c r="E8" s="369"/>
      <c r="F8" s="369"/>
      <c r="G8" s="369"/>
      <c r="H8" s="369"/>
      <c r="I8" s="369"/>
      <c r="J8" s="369"/>
      <c r="K8" s="369"/>
      <c r="L8" s="369"/>
      <c r="M8" s="288"/>
      <c r="N8" s="288"/>
    </row>
    <row r="9" spans="1:14" x14ac:dyDescent="0.4">
      <c r="A9" s="288"/>
      <c r="B9" s="288"/>
      <c r="C9" s="374" t="s">
        <v>2225</v>
      </c>
      <c r="D9" s="374"/>
      <c r="E9" s="374"/>
      <c r="F9" s="374"/>
      <c r="G9" s="374"/>
      <c r="H9" s="374"/>
      <c r="I9" s="374"/>
      <c r="J9" s="374"/>
      <c r="K9" s="374"/>
      <c r="L9" s="374"/>
      <c r="M9" s="288"/>
      <c r="N9" s="288"/>
    </row>
    <row r="10" spans="1:14" x14ac:dyDescent="0.4">
      <c r="A10" s="288"/>
      <c r="B10" s="288"/>
      <c r="C10" s="369" t="s">
        <v>2218</v>
      </c>
      <c r="D10" s="369"/>
      <c r="E10" s="369"/>
      <c r="F10" s="369"/>
      <c r="G10" s="369"/>
      <c r="H10" s="369"/>
      <c r="I10" s="369"/>
      <c r="J10" s="369"/>
      <c r="K10" s="369"/>
      <c r="L10" s="369"/>
      <c r="M10" s="288"/>
      <c r="N10" s="288"/>
    </row>
    <row r="11" spans="1:14" x14ac:dyDescent="0.4">
      <c r="A11" s="288"/>
      <c r="B11" s="288"/>
      <c r="C11" s="369"/>
      <c r="D11" s="369"/>
      <c r="E11" s="369"/>
      <c r="F11" s="369"/>
      <c r="G11" s="369"/>
      <c r="H11" s="369"/>
      <c r="I11" s="369"/>
      <c r="J11" s="369"/>
      <c r="K11" s="369"/>
      <c r="L11" s="369"/>
      <c r="M11" s="288"/>
      <c r="N11" s="288"/>
    </row>
    <row r="12" spans="1:14" ht="24" x14ac:dyDescent="0.4">
      <c r="A12" s="288"/>
      <c r="B12" s="288"/>
      <c r="C12" s="379" t="s">
        <v>2212</v>
      </c>
      <c r="D12" s="379"/>
      <c r="E12" s="379"/>
      <c r="F12" s="379"/>
      <c r="G12" s="379"/>
      <c r="H12" s="379"/>
      <c r="I12" s="379"/>
      <c r="J12" s="379"/>
      <c r="K12" s="379"/>
      <c r="L12" s="379"/>
      <c r="M12" s="288"/>
      <c r="N12" s="288"/>
    </row>
    <row r="13" spans="1:14" ht="19.5" x14ac:dyDescent="0.4">
      <c r="A13" s="288"/>
      <c r="B13" s="288"/>
      <c r="C13" s="377" t="s">
        <v>2223</v>
      </c>
      <c r="D13" s="377"/>
      <c r="E13" s="377"/>
      <c r="F13" s="377"/>
      <c r="G13" s="377"/>
      <c r="H13" s="377"/>
      <c r="I13" s="377"/>
      <c r="J13" s="377"/>
      <c r="K13" s="377"/>
      <c r="L13" s="377"/>
      <c r="M13" s="288"/>
      <c r="N13" s="288"/>
    </row>
    <row r="14" spans="1:14" x14ac:dyDescent="0.4">
      <c r="A14" s="288"/>
      <c r="B14" s="288"/>
      <c r="C14" s="378" t="s">
        <v>2213</v>
      </c>
      <c r="D14" s="369"/>
      <c r="E14" s="369"/>
      <c r="F14" s="369"/>
      <c r="G14" s="369"/>
      <c r="H14" s="369"/>
      <c r="I14" s="369"/>
      <c r="J14" s="369"/>
      <c r="K14" s="369"/>
      <c r="L14" s="369"/>
      <c r="M14" s="288"/>
      <c r="N14" s="288"/>
    </row>
    <row r="15" spans="1:14" x14ac:dyDescent="0.4">
      <c r="A15" s="288"/>
      <c r="B15" s="288"/>
      <c r="C15" s="372" t="s">
        <v>2217</v>
      </c>
      <c r="D15" s="372"/>
      <c r="E15" s="372"/>
      <c r="F15" s="372"/>
      <c r="G15" s="372"/>
      <c r="H15" s="372"/>
      <c r="I15" s="372"/>
      <c r="J15" s="372"/>
      <c r="K15" s="372"/>
      <c r="L15" s="372"/>
      <c r="M15" s="288"/>
      <c r="N15" s="288"/>
    </row>
    <row r="16" spans="1:14" x14ac:dyDescent="0.4">
      <c r="A16" s="288"/>
      <c r="B16" s="288"/>
      <c r="C16" s="372" t="s">
        <v>2219</v>
      </c>
      <c r="D16" s="372"/>
      <c r="E16" s="372"/>
      <c r="F16" s="372"/>
      <c r="G16" s="372"/>
      <c r="H16" s="372"/>
      <c r="I16" s="372"/>
      <c r="J16" s="372"/>
      <c r="K16" s="372"/>
      <c r="L16" s="372"/>
      <c r="M16" s="288"/>
      <c r="N16" s="288"/>
    </row>
    <row r="17" spans="1:14" x14ac:dyDescent="0.4">
      <c r="A17" s="288"/>
      <c r="B17" s="288"/>
      <c r="C17" s="369" t="s">
        <v>2241</v>
      </c>
      <c r="D17" s="369"/>
      <c r="E17" s="369"/>
      <c r="F17" s="369"/>
      <c r="G17" s="369"/>
      <c r="H17" s="369"/>
      <c r="I17" s="369"/>
      <c r="J17" s="369"/>
      <c r="K17" s="369"/>
      <c r="L17" s="369"/>
      <c r="M17" s="288"/>
      <c r="N17" s="288"/>
    </row>
    <row r="18" spans="1:14" x14ac:dyDescent="0.4">
      <c r="A18" s="288"/>
      <c r="B18" s="288"/>
      <c r="C18" s="372" t="s">
        <v>2224</v>
      </c>
      <c r="D18" s="372"/>
      <c r="E18" s="372"/>
      <c r="F18" s="372"/>
      <c r="G18" s="372"/>
      <c r="H18" s="372"/>
      <c r="I18" s="372"/>
      <c r="J18" s="372"/>
      <c r="K18" s="372"/>
      <c r="L18" s="372"/>
      <c r="M18" s="288"/>
      <c r="N18" s="288"/>
    </row>
    <row r="19" spans="1:14" x14ac:dyDescent="0.4">
      <c r="A19" s="288"/>
      <c r="B19" s="288"/>
      <c r="C19" s="369" t="s">
        <v>2220</v>
      </c>
      <c r="D19" s="369"/>
      <c r="E19" s="369"/>
      <c r="F19" s="369"/>
      <c r="G19" s="369"/>
      <c r="H19" s="369"/>
      <c r="I19" s="369"/>
      <c r="J19" s="369"/>
      <c r="K19" s="369"/>
      <c r="L19" s="369"/>
      <c r="M19" s="288"/>
      <c r="N19" s="288"/>
    </row>
    <row r="20" spans="1:14" x14ac:dyDescent="0.4">
      <c r="A20" s="288"/>
      <c r="B20" s="288"/>
      <c r="C20" s="369" t="s">
        <v>2221</v>
      </c>
      <c r="D20" s="369"/>
      <c r="E20" s="369"/>
      <c r="F20" s="369"/>
      <c r="G20" s="369"/>
      <c r="H20" s="369"/>
      <c r="I20" s="369"/>
      <c r="J20" s="369"/>
      <c r="K20" s="369"/>
      <c r="L20" s="369"/>
      <c r="M20" s="288"/>
      <c r="N20" s="288"/>
    </row>
    <row r="21" spans="1:14" x14ac:dyDescent="0.4">
      <c r="A21" s="288"/>
      <c r="B21" s="288"/>
      <c r="C21" s="369" t="s">
        <v>2242</v>
      </c>
      <c r="D21" s="369"/>
      <c r="E21" s="369"/>
      <c r="F21" s="369"/>
      <c r="G21" s="369"/>
      <c r="H21" s="369"/>
      <c r="I21" s="369"/>
      <c r="J21" s="369"/>
      <c r="K21" s="369"/>
      <c r="L21" s="369"/>
      <c r="M21" s="288"/>
      <c r="N21" s="288"/>
    </row>
    <row r="22" spans="1:14" x14ac:dyDescent="0.4">
      <c r="A22" s="288"/>
      <c r="B22" s="288"/>
      <c r="C22" s="372" t="s">
        <v>2514</v>
      </c>
      <c r="D22" s="372"/>
      <c r="E22" s="372"/>
      <c r="F22" s="372"/>
      <c r="G22" s="372"/>
      <c r="H22" s="372"/>
      <c r="I22" s="372"/>
      <c r="J22" s="372"/>
      <c r="K22" s="372"/>
      <c r="L22" s="372"/>
      <c r="M22" s="288"/>
      <c r="N22" s="288"/>
    </row>
    <row r="23" spans="1:14" x14ac:dyDescent="0.4">
      <c r="A23" s="288"/>
      <c r="B23" s="288"/>
      <c r="C23" s="372" t="s">
        <v>2226</v>
      </c>
      <c r="D23" s="372"/>
      <c r="E23" s="372"/>
      <c r="F23" s="372"/>
      <c r="G23" s="372"/>
      <c r="H23" s="372"/>
      <c r="I23" s="372"/>
      <c r="J23" s="372"/>
      <c r="K23" s="372"/>
      <c r="L23" s="372"/>
      <c r="M23" s="288"/>
      <c r="N23" s="288"/>
    </row>
    <row r="24" spans="1:14" x14ac:dyDescent="0.4">
      <c r="A24" s="288"/>
      <c r="B24" s="288"/>
      <c r="C24" s="372" t="s">
        <v>2230</v>
      </c>
      <c r="D24" s="372"/>
      <c r="E24" s="372"/>
      <c r="F24" s="372"/>
      <c r="G24" s="372"/>
      <c r="H24" s="372"/>
      <c r="I24" s="372"/>
      <c r="J24" s="372"/>
      <c r="K24" s="372"/>
      <c r="L24" s="372"/>
      <c r="M24" s="288"/>
      <c r="N24" s="288"/>
    </row>
    <row r="25" spans="1:14" x14ac:dyDescent="0.4">
      <c r="A25" s="288"/>
      <c r="B25" s="288"/>
      <c r="C25" s="369"/>
      <c r="D25" s="369"/>
      <c r="E25" s="369"/>
      <c r="F25" s="369"/>
      <c r="G25" s="369"/>
      <c r="H25" s="369"/>
      <c r="I25" s="369"/>
      <c r="J25" s="369"/>
      <c r="K25" s="369"/>
      <c r="L25" s="369"/>
      <c r="M25" s="288"/>
      <c r="N25" s="288"/>
    </row>
    <row r="26" spans="1:14" ht="24" x14ac:dyDescent="0.4">
      <c r="A26" s="288"/>
      <c r="B26" s="288"/>
      <c r="C26" s="379" t="s">
        <v>2227</v>
      </c>
      <c r="D26" s="379"/>
      <c r="E26" s="379"/>
      <c r="F26" s="379"/>
      <c r="G26" s="379"/>
      <c r="H26" s="379"/>
      <c r="I26" s="379"/>
      <c r="J26" s="379"/>
      <c r="K26" s="379"/>
      <c r="L26" s="379"/>
      <c r="M26" s="288"/>
      <c r="N26" s="288"/>
    </row>
    <row r="27" spans="1:14" ht="19.5" x14ac:dyDescent="0.4">
      <c r="A27" s="288"/>
      <c r="B27" s="288"/>
      <c r="C27" s="377" t="s">
        <v>2228</v>
      </c>
      <c r="D27" s="377"/>
      <c r="E27" s="377"/>
      <c r="F27" s="377"/>
      <c r="G27" s="377"/>
      <c r="H27" s="377"/>
      <c r="I27" s="377"/>
      <c r="J27" s="377"/>
      <c r="K27" s="377"/>
      <c r="L27" s="377"/>
      <c r="M27" s="288"/>
      <c r="N27" s="288"/>
    </row>
    <row r="28" spans="1:14" x14ac:dyDescent="0.4">
      <c r="A28" s="288"/>
      <c r="B28" s="288"/>
      <c r="C28" s="378" t="s">
        <v>2213</v>
      </c>
      <c r="D28" s="369"/>
      <c r="E28" s="369"/>
      <c r="F28" s="369"/>
      <c r="G28" s="369"/>
      <c r="H28" s="369"/>
      <c r="I28" s="369"/>
      <c r="J28" s="369"/>
      <c r="K28" s="369"/>
      <c r="L28" s="369"/>
      <c r="M28" s="288"/>
      <c r="N28" s="288"/>
    </row>
    <row r="29" spans="1:14" x14ac:dyDescent="0.4">
      <c r="A29" s="288"/>
      <c r="B29" s="288"/>
      <c r="C29" s="372" t="s">
        <v>2229</v>
      </c>
      <c r="D29" s="372"/>
      <c r="E29" s="372"/>
      <c r="F29" s="372"/>
      <c r="G29" s="372"/>
      <c r="H29" s="372"/>
      <c r="I29" s="372"/>
      <c r="J29" s="372"/>
      <c r="K29" s="372"/>
      <c r="L29" s="372"/>
      <c r="M29" s="288"/>
      <c r="N29" s="288"/>
    </row>
    <row r="30" spans="1:14" x14ac:dyDescent="0.4">
      <c r="A30" s="288"/>
      <c r="B30" s="288"/>
      <c r="C30" s="372" t="s">
        <v>2231</v>
      </c>
      <c r="D30" s="372"/>
      <c r="E30" s="372"/>
      <c r="F30" s="372"/>
      <c r="G30" s="372"/>
      <c r="H30" s="372"/>
      <c r="I30" s="372"/>
      <c r="J30" s="372"/>
      <c r="K30" s="372"/>
      <c r="L30" s="372"/>
      <c r="M30" s="288"/>
      <c r="N30" s="288"/>
    </row>
    <row r="31" spans="1:14" x14ac:dyDescent="0.4">
      <c r="A31" s="288"/>
      <c r="B31" s="288"/>
      <c r="C31" s="369" t="s">
        <v>2232</v>
      </c>
      <c r="D31" s="369"/>
      <c r="E31" s="369"/>
      <c r="F31" s="369"/>
      <c r="G31" s="369"/>
      <c r="H31" s="369"/>
      <c r="I31" s="369"/>
      <c r="J31" s="369"/>
      <c r="K31" s="369"/>
      <c r="L31" s="369"/>
      <c r="M31" s="288"/>
      <c r="N31" s="288"/>
    </row>
    <row r="32" spans="1:14" x14ac:dyDescent="0.4">
      <c r="A32" s="288"/>
      <c r="B32" s="288"/>
      <c r="C32" s="372" t="s">
        <v>2233</v>
      </c>
      <c r="D32" s="372"/>
      <c r="E32" s="372"/>
      <c r="F32" s="372"/>
      <c r="G32" s="372"/>
      <c r="H32" s="372"/>
      <c r="I32" s="372"/>
      <c r="J32" s="372"/>
      <c r="K32" s="372"/>
      <c r="L32" s="372"/>
      <c r="M32" s="288"/>
      <c r="N32" s="288"/>
    </row>
    <row r="33" spans="1:14" x14ac:dyDescent="0.4">
      <c r="A33" s="288"/>
      <c r="B33" s="288"/>
      <c r="C33" s="369"/>
      <c r="D33" s="369"/>
      <c r="E33" s="369"/>
      <c r="F33" s="369"/>
      <c r="G33" s="369"/>
      <c r="H33" s="369"/>
      <c r="I33" s="369"/>
      <c r="J33" s="369"/>
      <c r="K33" s="369"/>
      <c r="L33" s="369"/>
      <c r="M33" s="288"/>
      <c r="N33" s="288"/>
    </row>
    <row r="34" spans="1:14" x14ac:dyDescent="0.4">
      <c r="A34" s="288"/>
      <c r="B34" s="288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88"/>
      <c r="N34" s="288"/>
    </row>
    <row r="35" spans="1:14" ht="24" x14ac:dyDescent="0.4">
      <c r="A35" s="288"/>
      <c r="B35" s="288"/>
      <c r="C35" s="373" t="s">
        <v>2236</v>
      </c>
      <c r="D35" s="373"/>
      <c r="E35" s="373"/>
      <c r="F35" s="373"/>
      <c r="G35" s="373"/>
      <c r="H35" s="373"/>
      <c r="I35" s="373"/>
      <c r="J35" s="373"/>
      <c r="K35" s="373"/>
      <c r="L35" s="373"/>
      <c r="M35" s="288"/>
      <c r="N35" s="288"/>
    </row>
    <row r="36" spans="1:14" x14ac:dyDescent="0.4">
      <c r="A36" s="288"/>
      <c r="B36" s="288"/>
      <c r="C36" s="371" t="s">
        <v>2249</v>
      </c>
      <c r="D36" s="371"/>
      <c r="E36" s="371"/>
      <c r="F36" s="371"/>
      <c r="G36" s="371"/>
      <c r="H36" s="371"/>
      <c r="I36" s="371"/>
      <c r="J36" s="371"/>
      <c r="K36" s="371"/>
      <c r="L36" s="371"/>
      <c r="M36" s="288"/>
      <c r="N36" s="288"/>
    </row>
    <row r="37" spans="1:14" x14ac:dyDescent="0.4">
      <c r="A37" s="288"/>
      <c r="B37" s="288"/>
      <c r="C37" s="369" t="s">
        <v>2248</v>
      </c>
      <c r="D37" s="369"/>
      <c r="E37" s="369"/>
      <c r="F37" s="369"/>
      <c r="G37" s="369"/>
      <c r="H37" s="369"/>
      <c r="I37" s="369"/>
      <c r="J37" s="369"/>
      <c r="K37" s="369"/>
      <c r="L37" s="369"/>
      <c r="M37" s="288"/>
      <c r="N37" s="288"/>
    </row>
    <row r="38" spans="1:14" x14ac:dyDescent="0.4">
      <c r="A38" s="288"/>
      <c r="B38" s="288"/>
      <c r="C38" s="371" t="s">
        <v>2250</v>
      </c>
      <c r="D38" s="371"/>
      <c r="E38" s="371"/>
      <c r="F38" s="371"/>
      <c r="G38" s="371"/>
      <c r="H38" s="371"/>
      <c r="I38" s="371"/>
      <c r="J38" s="371"/>
      <c r="K38" s="371"/>
      <c r="L38" s="371"/>
      <c r="M38" s="288"/>
      <c r="N38" s="288"/>
    </row>
    <row r="39" spans="1:14" x14ac:dyDescent="0.4">
      <c r="A39" s="288"/>
      <c r="B39" s="288"/>
      <c r="C39" s="369" t="s">
        <v>2252</v>
      </c>
      <c r="D39" s="369"/>
      <c r="E39" s="369"/>
      <c r="F39" s="369"/>
      <c r="G39" s="369"/>
      <c r="H39" s="369"/>
      <c r="I39" s="369"/>
      <c r="J39" s="369"/>
      <c r="K39" s="369"/>
      <c r="L39" s="369"/>
      <c r="M39" s="288"/>
      <c r="N39" s="288"/>
    </row>
    <row r="40" spans="1:14" x14ac:dyDescent="0.4">
      <c r="A40" s="288"/>
      <c r="B40" s="288"/>
      <c r="C40" s="369" t="s">
        <v>2251</v>
      </c>
      <c r="D40" s="369"/>
      <c r="E40" s="369"/>
      <c r="F40" s="369"/>
      <c r="G40" s="369"/>
      <c r="H40" s="369"/>
      <c r="I40" s="369"/>
      <c r="J40" s="369"/>
      <c r="K40" s="369"/>
      <c r="L40" s="369"/>
      <c r="M40" s="288"/>
      <c r="N40" s="288"/>
    </row>
    <row r="41" spans="1:14" x14ac:dyDescent="0.4">
      <c r="A41" s="288"/>
      <c r="B41" s="288"/>
      <c r="C41" s="369" t="s">
        <v>2234</v>
      </c>
      <c r="D41" s="369"/>
      <c r="E41" s="369"/>
      <c r="F41" s="369"/>
      <c r="G41" s="369"/>
      <c r="H41" s="369"/>
      <c r="I41" s="369"/>
      <c r="J41" s="369"/>
      <c r="K41" s="369"/>
      <c r="L41" s="369"/>
      <c r="M41" s="288"/>
      <c r="N41" s="288"/>
    </row>
    <row r="42" spans="1:14" x14ac:dyDescent="0.4">
      <c r="A42" s="288"/>
      <c r="B42" s="288"/>
      <c r="C42" s="370" t="s">
        <v>2253</v>
      </c>
      <c r="D42" s="370"/>
      <c r="E42" s="370"/>
      <c r="F42" s="370"/>
      <c r="G42" s="370"/>
      <c r="H42" s="370"/>
      <c r="I42" s="370"/>
      <c r="J42" s="370"/>
      <c r="K42" s="370"/>
      <c r="L42" s="370"/>
      <c r="M42" s="288"/>
      <c r="N42" s="288"/>
    </row>
    <row r="43" spans="1:14" x14ac:dyDescent="0.4">
      <c r="A43" s="288"/>
      <c r="B43" s="288"/>
      <c r="C43" s="370" t="s">
        <v>2235</v>
      </c>
      <c r="D43" s="370"/>
      <c r="E43" s="370"/>
      <c r="F43" s="370"/>
      <c r="G43" s="370"/>
      <c r="H43" s="370"/>
      <c r="I43" s="370"/>
      <c r="J43" s="370"/>
      <c r="K43" s="370"/>
      <c r="L43" s="370"/>
      <c r="M43" s="288"/>
      <c r="N43" s="288"/>
    </row>
    <row r="44" spans="1:14" x14ac:dyDescent="0.4">
      <c r="A44" s="288"/>
      <c r="B44" s="288"/>
      <c r="C44" s="369" t="s">
        <v>2254</v>
      </c>
      <c r="D44" s="369"/>
      <c r="E44" s="369"/>
      <c r="F44" s="369"/>
      <c r="G44" s="369"/>
      <c r="H44" s="369"/>
      <c r="I44" s="369"/>
      <c r="J44" s="369"/>
      <c r="K44" s="369"/>
      <c r="L44" s="369"/>
      <c r="M44" s="288"/>
      <c r="N44" s="288"/>
    </row>
    <row r="45" spans="1:14" x14ac:dyDescent="0.4">
      <c r="A45" s="288"/>
      <c r="B45" s="288"/>
      <c r="C45" s="369" t="s">
        <v>2255</v>
      </c>
      <c r="D45" s="369"/>
      <c r="E45" s="369"/>
      <c r="F45" s="369"/>
      <c r="G45" s="369"/>
      <c r="H45" s="369"/>
      <c r="I45" s="369"/>
      <c r="J45" s="369"/>
      <c r="K45" s="369"/>
      <c r="L45" s="369"/>
      <c r="M45" s="288"/>
      <c r="N45" s="288"/>
    </row>
    <row r="46" spans="1:14" x14ac:dyDescent="0.4">
      <c r="A46" s="288"/>
      <c r="B46" s="288"/>
      <c r="C46" s="369" t="s">
        <v>2257</v>
      </c>
      <c r="D46" s="369"/>
      <c r="E46" s="369"/>
      <c r="F46" s="369"/>
      <c r="G46" s="369"/>
      <c r="H46" s="369"/>
      <c r="I46" s="369"/>
      <c r="J46" s="369"/>
      <c r="K46" s="369"/>
      <c r="L46" s="369"/>
      <c r="M46" s="288"/>
      <c r="N46" s="288"/>
    </row>
    <row r="47" spans="1:14" x14ac:dyDescent="0.4">
      <c r="A47" s="288"/>
      <c r="B47" s="288"/>
      <c r="C47" s="369" t="s">
        <v>2256</v>
      </c>
      <c r="D47" s="369"/>
      <c r="E47" s="369"/>
      <c r="F47" s="369"/>
      <c r="G47" s="369"/>
      <c r="H47" s="369"/>
      <c r="I47" s="369"/>
      <c r="J47" s="369"/>
      <c r="K47" s="369"/>
      <c r="L47" s="369"/>
      <c r="M47" s="288"/>
      <c r="N47" s="288"/>
    </row>
    <row r="48" spans="1:14" x14ac:dyDescent="0.4">
      <c r="A48" s="288"/>
      <c r="B48" s="288"/>
      <c r="C48" s="369" t="s">
        <v>2258</v>
      </c>
      <c r="D48" s="369"/>
      <c r="E48" s="369"/>
      <c r="F48" s="369"/>
      <c r="G48" s="369"/>
      <c r="H48" s="369"/>
      <c r="I48" s="369"/>
      <c r="J48" s="369"/>
      <c r="K48" s="369"/>
      <c r="L48" s="369"/>
      <c r="M48" s="288"/>
      <c r="N48" s="288"/>
    </row>
    <row r="49" spans="1:14" x14ac:dyDescent="0.4">
      <c r="A49" s="288"/>
      <c r="B49" s="288"/>
      <c r="C49" s="369" t="s">
        <v>2237</v>
      </c>
      <c r="D49" s="369"/>
      <c r="E49" s="369"/>
      <c r="F49" s="369"/>
      <c r="G49" s="369"/>
      <c r="H49" s="369"/>
      <c r="I49" s="369"/>
      <c r="J49" s="369"/>
      <c r="K49" s="369"/>
      <c r="L49" s="369"/>
      <c r="M49" s="288"/>
      <c r="N49" s="288"/>
    </row>
    <row r="50" spans="1:14" x14ac:dyDescent="0.4">
      <c r="A50" s="288"/>
      <c r="B50" s="288"/>
      <c r="C50" s="370" t="s">
        <v>2259</v>
      </c>
      <c r="D50" s="370"/>
      <c r="E50" s="370"/>
      <c r="F50" s="370"/>
      <c r="G50" s="370"/>
      <c r="H50" s="370"/>
      <c r="I50" s="370"/>
      <c r="J50" s="370"/>
      <c r="K50" s="370"/>
      <c r="L50" s="370"/>
      <c r="M50" s="288"/>
      <c r="N50" s="288"/>
    </row>
    <row r="51" spans="1:14" x14ac:dyDescent="0.4">
      <c r="A51" s="288"/>
      <c r="B51" s="288"/>
      <c r="C51" s="369" t="s">
        <v>2245</v>
      </c>
      <c r="D51" s="369"/>
      <c r="E51" s="369"/>
      <c r="F51" s="369"/>
      <c r="G51" s="369"/>
      <c r="H51" s="369"/>
      <c r="I51" s="369"/>
      <c r="J51" s="369"/>
      <c r="K51" s="369"/>
      <c r="L51" s="369"/>
      <c r="M51" s="288"/>
      <c r="N51" s="288"/>
    </row>
    <row r="52" spans="1:14" x14ac:dyDescent="0.4">
      <c r="A52" s="288"/>
      <c r="B52" s="288"/>
      <c r="C52" s="369" t="s">
        <v>2238</v>
      </c>
      <c r="D52" s="369"/>
      <c r="E52" s="369"/>
      <c r="F52" s="369"/>
      <c r="G52" s="369"/>
      <c r="H52" s="369"/>
      <c r="I52" s="369"/>
      <c r="J52" s="369"/>
      <c r="K52" s="369"/>
      <c r="L52" s="369"/>
      <c r="M52" s="288"/>
      <c r="N52" s="288"/>
    </row>
    <row r="53" spans="1:14" x14ac:dyDescent="0.4">
      <c r="A53" s="288"/>
      <c r="B53" s="288"/>
      <c r="C53" s="369" t="s">
        <v>2239</v>
      </c>
      <c r="D53" s="369"/>
      <c r="E53" s="369"/>
      <c r="F53" s="369"/>
      <c r="G53" s="369"/>
      <c r="H53" s="369"/>
      <c r="I53" s="369"/>
      <c r="J53" s="369"/>
      <c r="K53" s="369"/>
      <c r="L53" s="369"/>
      <c r="M53" s="288"/>
      <c r="N53" s="288"/>
    </row>
    <row r="54" spans="1:14" x14ac:dyDescent="0.4">
      <c r="A54" s="288"/>
      <c r="B54" s="288"/>
      <c r="C54" s="370" t="s">
        <v>2260</v>
      </c>
      <c r="D54" s="370"/>
      <c r="E54" s="370"/>
      <c r="F54" s="370"/>
      <c r="G54" s="370"/>
      <c r="H54" s="370"/>
      <c r="I54" s="370"/>
      <c r="J54" s="370"/>
      <c r="K54" s="370"/>
      <c r="L54" s="370"/>
      <c r="M54" s="288"/>
      <c r="N54" s="288"/>
    </row>
    <row r="55" spans="1:14" x14ac:dyDescent="0.4">
      <c r="A55" s="288"/>
      <c r="B55" s="288"/>
      <c r="C55" s="369" t="s">
        <v>2261</v>
      </c>
      <c r="D55" s="369"/>
      <c r="E55" s="369"/>
      <c r="F55" s="369"/>
      <c r="G55" s="369"/>
      <c r="H55" s="369"/>
      <c r="I55" s="369"/>
      <c r="J55" s="369"/>
      <c r="K55" s="369"/>
      <c r="L55" s="369"/>
      <c r="M55" s="288"/>
      <c r="N55" s="288"/>
    </row>
    <row r="56" spans="1:14" x14ac:dyDescent="0.4">
      <c r="A56" s="288"/>
      <c r="B56" s="288"/>
      <c r="C56" s="369" t="s">
        <v>2240</v>
      </c>
      <c r="D56" s="369"/>
      <c r="E56" s="369"/>
      <c r="F56" s="369"/>
      <c r="G56" s="369"/>
      <c r="H56" s="369"/>
      <c r="I56" s="369"/>
      <c r="J56" s="369"/>
      <c r="K56" s="369"/>
      <c r="L56" s="369"/>
      <c r="M56" s="288"/>
      <c r="N56" s="288"/>
    </row>
    <row r="57" spans="1:14" x14ac:dyDescent="0.4">
      <c r="A57" s="288"/>
      <c r="B57" s="288"/>
      <c r="C57" s="369" t="s">
        <v>2243</v>
      </c>
      <c r="D57" s="369"/>
      <c r="E57" s="369"/>
      <c r="F57" s="369"/>
      <c r="G57" s="369"/>
      <c r="H57" s="369"/>
      <c r="I57" s="369"/>
      <c r="J57" s="369"/>
      <c r="K57" s="369"/>
      <c r="L57" s="369"/>
      <c r="M57" s="288"/>
      <c r="N57" s="288"/>
    </row>
    <row r="58" spans="1:14" x14ac:dyDescent="0.4">
      <c r="A58" s="288"/>
      <c r="B58" s="288"/>
      <c r="C58" s="369" t="s">
        <v>2262</v>
      </c>
      <c r="D58" s="369"/>
      <c r="E58" s="369"/>
      <c r="F58" s="369"/>
      <c r="G58" s="369"/>
      <c r="H58" s="369"/>
      <c r="I58" s="369"/>
      <c r="J58" s="369"/>
      <c r="K58" s="369"/>
      <c r="L58" s="369"/>
      <c r="M58" s="288"/>
      <c r="N58" s="288"/>
    </row>
    <row r="59" spans="1:14" x14ac:dyDescent="0.4">
      <c r="A59" s="288"/>
      <c r="B59" s="288"/>
      <c r="C59" s="369" t="s">
        <v>2244</v>
      </c>
      <c r="D59" s="369"/>
      <c r="E59" s="369"/>
      <c r="F59" s="369"/>
      <c r="G59" s="369"/>
      <c r="H59" s="369"/>
      <c r="I59" s="369"/>
      <c r="J59" s="369"/>
      <c r="K59" s="369"/>
      <c r="L59" s="369"/>
      <c r="M59" s="288"/>
      <c r="N59" s="288"/>
    </row>
    <row r="60" spans="1:14" x14ac:dyDescent="0.4">
      <c r="A60" s="288"/>
      <c r="B60" s="288"/>
      <c r="C60" s="370" t="s">
        <v>2246</v>
      </c>
      <c r="D60" s="370"/>
      <c r="E60" s="370"/>
      <c r="F60" s="370"/>
      <c r="G60" s="370"/>
      <c r="H60" s="370"/>
      <c r="I60" s="370"/>
      <c r="J60" s="370"/>
      <c r="K60" s="370"/>
      <c r="L60" s="370"/>
      <c r="M60" s="288"/>
      <c r="N60" s="288"/>
    </row>
    <row r="61" spans="1:14" x14ac:dyDescent="0.4">
      <c r="A61" s="288"/>
      <c r="B61" s="288"/>
      <c r="C61" s="369" t="s">
        <v>2247</v>
      </c>
      <c r="D61" s="369"/>
      <c r="E61" s="369"/>
      <c r="F61" s="369"/>
      <c r="G61" s="369"/>
      <c r="H61" s="369"/>
      <c r="I61" s="369"/>
      <c r="J61" s="369"/>
      <c r="K61" s="369"/>
      <c r="L61" s="369"/>
      <c r="M61" s="288"/>
      <c r="N61" s="288"/>
    </row>
    <row r="62" spans="1:14" ht="7.5" customHeight="1" x14ac:dyDescent="0.4">
      <c r="A62" s="288"/>
      <c r="B62" s="288"/>
      <c r="C62" s="290"/>
      <c r="D62" s="290"/>
      <c r="E62" s="290"/>
      <c r="F62" s="290"/>
      <c r="G62" s="290"/>
      <c r="H62" s="290"/>
      <c r="I62" s="290"/>
      <c r="J62" s="290"/>
      <c r="K62" s="290"/>
      <c r="L62" s="290"/>
      <c r="M62" s="288"/>
      <c r="N62" s="288"/>
    </row>
    <row r="63" spans="1:14" hidden="1" x14ac:dyDescent="0.4">
      <c r="C63" s="108"/>
      <c r="D63" s="108"/>
      <c r="E63" s="108"/>
      <c r="F63" s="108"/>
      <c r="G63" s="108"/>
      <c r="H63" s="108"/>
      <c r="I63" s="108"/>
      <c r="J63" s="108"/>
      <c r="K63" s="108"/>
      <c r="L63" s="108"/>
    </row>
    <row r="64" spans="1:14" hidden="1" x14ac:dyDescent="0.4">
      <c r="C64" s="108"/>
      <c r="D64" s="108"/>
      <c r="E64" s="108"/>
      <c r="F64" s="108"/>
      <c r="G64" s="108"/>
      <c r="H64" s="108"/>
      <c r="I64" s="108"/>
      <c r="J64" s="108"/>
      <c r="K64" s="108"/>
      <c r="L64" s="108"/>
    </row>
    <row r="65" spans="3:12" hidden="1" x14ac:dyDescent="0.4">
      <c r="C65" s="108"/>
      <c r="D65" s="108"/>
      <c r="E65" s="108"/>
      <c r="F65" s="108"/>
      <c r="G65" s="108"/>
      <c r="H65" s="108"/>
      <c r="I65" s="108"/>
      <c r="J65" s="108"/>
      <c r="K65" s="108"/>
      <c r="L65" s="108"/>
    </row>
    <row r="66" spans="3:12" hidden="1" x14ac:dyDescent="0.4">
      <c r="C66" s="108"/>
      <c r="D66" s="108"/>
      <c r="E66" s="108"/>
      <c r="F66" s="108"/>
      <c r="G66" s="108"/>
      <c r="H66" s="108"/>
      <c r="I66" s="108"/>
      <c r="J66" s="108"/>
      <c r="K66" s="108"/>
      <c r="L66" s="108"/>
    </row>
    <row r="67" spans="3:12" hidden="1" x14ac:dyDescent="0.4">
      <c r="C67" s="108"/>
      <c r="D67" s="108"/>
      <c r="E67" s="108"/>
      <c r="F67" s="108"/>
      <c r="G67" s="108"/>
      <c r="H67" s="108"/>
      <c r="I67" s="108"/>
      <c r="J67" s="108"/>
      <c r="K67" s="108"/>
      <c r="L67" s="108"/>
    </row>
    <row r="68" spans="3:12" hidden="1" x14ac:dyDescent="0.4">
      <c r="C68" s="108"/>
      <c r="D68" s="108"/>
      <c r="E68" s="108"/>
      <c r="F68" s="108"/>
      <c r="G68" s="108"/>
      <c r="H68" s="108"/>
      <c r="I68" s="108"/>
      <c r="J68" s="108"/>
      <c r="K68" s="108"/>
      <c r="L68" s="108"/>
    </row>
    <row r="69" spans="3:12" hidden="1" x14ac:dyDescent="0.4">
      <c r="C69" s="108"/>
      <c r="D69" s="108"/>
      <c r="E69" s="108"/>
      <c r="F69" s="108"/>
      <c r="G69" s="108"/>
      <c r="H69" s="108"/>
      <c r="I69" s="108"/>
      <c r="J69" s="108"/>
      <c r="K69" s="108"/>
      <c r="L69" s="108"/>
    </row>
    <row r="70" spans="3:12" hidden="1" x14ac:dyDescent="0.4">
      <c r="C70" s="108"/>
      <c r="D70" s="108"/>
      <c r="E70" s="108"/>
      <c r="F70" s="108"/>
      <c r="G70" s="108"/>
      <c r="H70" s="108"/>
      <c r="I70" s="108"/>
      <c r="J70" s="108"/>
      <c r="K70" s="108"/>
      <c r="L70" s="108"/>
    </row>
    <row r="71" spans="3:12" hidden="1" x14ac:dyDescent="0.4">
      <c r="C71" s="108"/>
      <c r="D71" s="108"/>
      <c r="E71" s="108"/>
      <c r="F71" s="108"/>
      <c r="G71" s="108"/>
      <c r="H71" s="108"/>
      <c r="I71" s="108"/>
      <c r="J71" s="108"/>
      <c r="K71" s="108"/>
      <c r="L71" s="108"/>
    </row>
    <row r="72" spans="3:12" hidden="1" x14ac:dyDescent="0.4">
      <c r="C72" s="108"/>
      <c r="D72" s="108"/>
      <c r="E72" s="108"/>
      <c r="F72" s="108"/>
      <c r="G72" s="108"/>
      <c r="H72" s="108"/>
      <c r="I72" s="108"/>
      <c r="J72" s="108"/>
      <c r="K72" s="108"/>
      <c r="L72" s="108"/>
    </row>
    <row r="73" spans="3:12" hidden="1" x14ac:dyDescent="0.4">
      <c r="C73" s="108"/>
      <c r="D73" s="108"/>
      <c r="E73" s="108"/>
      <c r="F73" s="108"/>
      <c r="G73" s="108"/>
      <c r="H73" s="108"/>
      <c r="I73" s="108"/>
      <c r="J73" s="108"/>
      <c r="K73" s="108"/>
      <c r="L73" s="108"/>
    </row>
    <row r="74" spans="3:12" hidden="1" x14ac:dyDescent="0.4">
      <c r="C74" s="108"/>
      <c r="D74" s="108"/>
      <c r="E74" s="108"/>
      <c r="F74" s="108"/>
      <c r="G74" s="108"/>
      <c r="H74" s="108"/>
      <c r="I74" s="108"/>
      <c r="J74" s="108"/>
      <c r="K74" s="108"/>
      <c r="L74" s="108"/>
    </row>
    <row r="75" spans="3:12" hidden="1" x14ac:dyDescent="0.4">
      <c r="C75" s="108"/>
      <c r="D75" s="108"/>
      <c r="E75" s="108"/>
      <c r="F75" s="108"/>
      <c r="G75" s="108"/>
      <c r="H75" s="108"/>
      <c r="I75" s="108"/>
      <c r="J75" s="108"/>
      <c r="K75" s="108"/>
      <c r="L75" s="108"/>
    </row>
    <row r="76" spans="3:12" hidden="1" x14ac:dyDescent="0.4">
      <c r="C76" s="108"/>
      <c r="D76" s="108"/>
      <c r="E76" s="108"/>
      <c r="F76" s="108"/>
      <c r="G76" s="108"/>
      <c r="H76" s="108"/>
      <c r="I76" s="108"/>
      <c r="J76" s="108"/>
      <c r="K76" s="108"/>
      <c r="L76" s="108"/>
    </row>
    <row r="77" spans="3:12" hidden="1" x14ac:dyDescent="0.4">
      <c r="C77" s="108"/>
      <c r="D77" s="108"/>
      <c r="E77" s="108"/>
      <c r="F77" s="108"/>
      <c r="G77" s="108"/>
      <c r="H77" s="108"/>
      <c r="I77" s="108"/>
      <c r="J77" s="108"/>
      <c r="K77" s="108"/>
      <c r="L77" s="108"/>
    </row>
    <row r="78" spans="3:12" hidden="1" x14ac:dyDescent="0.4">
      <c r="C78" s="108"/>
      <c r="D78" s="108"/>
      <c r="E78" s="108"/>
      <c r="F78" s="108"/>
      <c r="G78" s="108"/>
      <c r="H78" s="108"/>
      <c r="I78" s="108"/>
      <c r="J78" s="108"/>
      <c r="K78" s="108"/>
      <c r="L78" s="108"/>
    </row>
    <row r="79" spans="3:12" hidden="1" x14ac:dyDescent="0.4">
      <c r="C79" s="108"/>
      <c r="D79" s="108"/>
      <c r="E79" s="108"/>
      <c r="F79" s="108"/>
      <c r="G79" s="108"/>
      <c r="H79" s="108"/>
      <c r="I79" s="108"/>
      <c r="J79" s="108"/>
      <c r="K79" s="108"/>
      <c r="L79" s="108"/>
    </row>
    <row r="80" spans="3:12" hidden="1" x14ac:dyDescent="0.4">
      <c r="C80" s="108"/>
      <c r="D80" s="108"/>
      <c r="E80" s="108"/>
      <c r="F80" s="108"/>
      <c r="G80" s="108"/>
      <c r="H80" s="108"/>
      <c r="I80" s="108"/>
      <c r="J80" s="108"/>
      <c r="K80" s="108"/>
      <c r="L80" s="108"/>
    </row>
    <row r="81" spans="3:12" hidden="1" x14ac:dyDescent="0.4">
      <c r="C81" s="108"/>
      <c r="D81" s="108"/>
      <c r="E81" s="108"/>
      <c r="F81" s="108"/>
      <c r="G81" s="108"/>
      <c r="H81" s="108"/>
      <c r="I81" s="108"/>
      <c r="J81" s="108"/>
      <c r="K81" s="108"/>
      <c r="L81" s="108"/>
    </row>
    <row r="82" spans="3:12" hidden="1" x14ac:dyDescent="0.4">
      <c r="C82" s="108"/>
      <c r="D82" s="108"/>
      <c r="E82" s="108"/>
      <c r="F82" s="108"/>
      <c r="G82" s="108"/>
      <c r="H82" s="108"/>
      <c r="I82" s="108"/>
      <c r="J82" s="108"/>
      <c r="K82" s="108"/>
      <c r="L82" s="108"/>
    </row>
    <row r="83" spans="3:12" hidden="1" x14ac:dyDescent="0.4">
      <c r="C83" s="108"/>
      <c r="D83" s="108"/>
      <c r="E83" s="108"/>
      <c r="F83" s="108"/>
      <c r="G83" s="108"/>
      <c r="H83" s="108"/>
      <c r="I83" s="108"/>
      <c r="J83" s="108"/>
      <c r="K83" s="108"/>
      <c r="L83" s="108"/>
    </row>
    <row r="84" spans="3:12" hidden="1" x14ac:dyDescent="0.4">
      <c r="C84" s="108"/>
      <c r="D84" s="108"/>
      <c r="E84" s="108"/>
      <c r="F84" s="108"/>
      <c r="G84" s="108"/>
      <c r="H84" s="108"/>
      <c r="I84" s="108"/>
      <c r="J84" s="108"/>
      <c r="K84" s="108"/>
      <c r="L84" s="108"/>
    </row>
    <row r="85" spans="3:12" hidden="1" x14ac:dyDescent="0.4">
      <c r="C85" s="108"/>
      <c r="D85" s="108"/>
      <c r="E85" s="108"/>
      <c r="F85" s="108"/>
      <c r="G85" s="108"/>
      <c r="H85" s="108"/>
      <c r="I85" s="108"/>
      <c r="J85" s="108"/>
      <c r="K85" s="108"/>
      <c r="L85" s="108"/>
    </row>
    <row r="86" spans="3:12" hidden="1" x14ac:dyDescent="0.4">
      <c r="C86" s="108"/>
      <c r="D86" s="108"/>
      <c r="E86" s="108"/>
      <c r="F86" s="108"/>
      <c r="G86" s="108"/>
      <c r="H86" s="108"/>
      <c r="I86" s="108"/>
      <c r="J86" s="108"/>
      <c r="K86" s="108"/>
      <c r="L86" s="108"/>
    </row>
    <row r="87" spans="3:12" hidden="1" x14ac:dyDescent="0.4">
      <c r="C87" s="108"/>
      <c r="D87" s="108"/>
      <c r="E87" s="108"/>
      <c r="F87" s="108"/>
      <c r="G87" s="108"/>
      <c r="H87" s="108"/>
      <c r="I87" s="108"/>
      <c r="J87" s="108"/>
      <c r="K87" s="108"/>
      <c r="L87" s="108"/>
    </row>
    <row r="88" spans="3:12" hidden="1" x14ac:dyDescent="0.4">
      <c r="C88" s="108"/>
      <c r="D88" s="108"/>
      <c r="E88" s="108"/>
      <c r="F88" s="108"/>
      <c r="G88" s="108"/>
      <c r="H88" s="108"/>
      <c r="I88" s="108"/>
      <c r="J88" s="108"/>
      <c r="K88" s="108"/>
      <c r="L88" s="108"/>
    </row>
    <row r="89" spans="3:12" hidden="1" x14ac:dyDescent="0.4">
      <c r="C89" s="108"/>
      <c r="D89" s="108"/>
      <c r="E89" s="108"/>
      <c r="F89" s="108"/>
      <c r="G89" s="108"/>
      <c r="H89" s="108"/>
      <c r="I89" s="108"/>
      <c r="J89" s="108"/>
      <c r="K89" s="108"/>
      <c r="L89" s="108"/>
    </row>
    <row r="90" spans="3:12" hidden="1" x14ac:dyDescent="0.4">
      <c r="C90" s="108"/>
      <c r="D90" s="108"/>
      <c r="E90" s="108"/>
      <c r="F90" s="108"/>
      <c r="G90" s="108"/>
      <c r="H90" s="108"/>
      <c r="I90" s="108"/>
      <c r="J90" s="108"/>
      <c r="K90" s="108"/>
      <c r="L90" s="108"/>
    </row>
    <row r="91" spans="3:12" hidden="1" x14ac:dyDescent="0.4">
      <c r="C91" s="108"/>
      <c r="D91" s="108"/>
      <c r="E91" s="108"/>
      <c r="F91" s="108"/>
      <c r="G91" s="108"/>
      <c r="H91" s="108"/>
      <c r="I91" s="108"/>
      <c r="J91" s="108"/>
      <c r="K91" s="108"/>
      <c r="L91" s="108"/>
    </row>
    <row r="92" spans="3:12" hidden="1" x14ac:dyDescent="0.4">
      <c r="C92" s="108"/>
      <c r="D92" s="108"/>
      <c r="E92" s="108"/>
      <c r="F92" s="108"/>
      <c r="G92" s="108"/>
      <c r="H92" s="108"/>
      <c r="I92" s="108"/>
      <c r="J92" s="108"/>
      <c r="K92" s="108"/>
      <c r="L92" s="108"/>
    </row>
    <row r="93" spans="3:12" hidden="1" x14ac:dyDescent="0.4">
      <c r="C93" s="108"/>
      <c r="D93" s="108"/>
      <c r="E93" s="108"/>
      <c r="F93" s="108"/>
      <c r="G93" s="108"/>
      <c r="H93" s="108"/>
      <c r="I93" s="108"/>
      <c r="J93" s="108"/>
      <c r="K93" s="108"/>
      <c r="L93" s="108"/>
    </row>
    <row r="94" spans="3:12" hidden="1" x14ac:dyDescent="0.4">
      <c r="C94" s="108"/>
      <c r="D94" s="108"/>
      <c r="E94" s="108"/>
      <c r="F94" s="108"/>
      <c r="G94" s="108"/>
      <c r="H94" s="108"/>
      <c r="I94" s="108"/>
      <c r="J94" s="108"/>
      <c r="K94" s="108"/>
      <c r="L94" s="108"/>
    </row>
    <row r="95" spans="3:12" hidden="1" x14ac:dyDescent="0.4">
      <c r="C95" s="108"/>
      <c r="D95" s="108"/>
      <c r="E95" s="108"/>
      <c r="F95" s="108"/>
      <c r="G95" s="108"/>
      <c r="H95" s="108"/>
      <c r="I95" s="108"/>
      <c r="J95" s="108"/>
      <c r="K95" s="108"/>
      <c r="L95" s="108"/>
    </row>
    <row r="96" spans="3:12" hidden="1" x14ac:dyDescent="0.4">
      <c r="C96" s="108"/>
      <c r="D96" s="108"/>
      <c r="E96" s="108"/>
      <c r="F96" s="108"/>
      <c r="G96" s="108"/>
      <c r="H96" s="108"/>
      <c r="I96" s="108"/>
      <c r="J96" s="108"/>
      <c r="K96" s="108"/>
      <c r="L96" s="108"/>
    </row>
    <row r="97" spans="3:12" hidden="1" x14ac:dyDescent="0.4">
      <c r="C97" s="108"/>
      <c r="D97" s="108"/>
      <c r="E97" s="108"/>
      <c r="F97" s="108"/>
      <c r="G97" s="108"/>
      <c r="H97" s="108"/>
      <c r="I97" s="108"/>
      <c r="J97" s="108"/>
      <c r="K97" s="108"/>
      <c r="L97" s="108"/>
    </row>
    <row r="98" spans="3:12" hidden="1" x14ac:dyDescent="0.4">
      <c r="C98" s="108"/>
      <c r="D98" s="108"/>
      <c r="E98" s="108"/>
      <c r="F98" s="108"/>
      <c r="G98" s="108"/>
      <c r="H98" s="108"/>
      <c r="I98" s="108"/>
      <c r="J98" s="108"/>
      <c r="K98" s="108"/>
      <c r="L98" s="108"/>
    </row>
    <row r="99" spans="3:12" hidden="1" x14ac:dyDescent="0.4">
      <c r="C99" s="108"/>
      <c r="D99" s="108"/>
      <c r="E99" s="108"/>
      <c r="F99" s="108"/>
      <c r="G99" s="108"/>
      <c r="H99" s="108"/>
      <c r="I99" s="108"/>
      <c r="J99" s="108"/>
      <c r="K99" s="108"/>
      <c r="L99" s="108"/>
    </row>
    <row r="100" spans="3:12" hidden="1" x14ac:dyDescent="0.4"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</row>
    <row r="101" spans="3:12" hidden="1" x14ac:dyDescent="0.4"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</row>
    <row r="102" spans="3:12" hidden="1" x14ac:dyDescent="0.4"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</row>
    <row r="103" spans="3:12" hidden="1" x14ac:dyDescent="0.4"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</row>
    <row r="104" spans="3:12" hidden="1" x14ac:dyDescent="0.4"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</row>
    <row r="105" spans="3:12" hidden="1" x14ac:dyDescent="0.4"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</row>
    <row r="106" spans="3:12" hidden="1" x14ac:dyDescent="0.4"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</row>
    <row r="107" spans="3:12" hidden="1" x14ac:dyDescent="0.4"/>
    <row r="108" spans="3:12" hidden="1" x14ac:dyDescent="0.4"/>
    <row r="109" spans="3:12" hidden="1" x14ac:dyDescent="0.4"/>
    <row r="110" spans="3:12" hidden="1" x14ac:dyDescent="0.4"/>
    <row r="111" spans="3:12" hidden="1" x14ac:dyDescent="0.4"/>
    <row r="112" spans="3:12" hidden="1" x14ac:dyDescent="0.4"/>
  </sheetData>
  <sheetProtection algorithmName="SHA-512" hashValue="yiFsAywpeBkmO5+rbDOB+zQtmMeELZ3FX4b5wjIWbVJYFbTQIZNQrSq1ySLZzWfOS+3P+8dzyRyj5N1ctJHMsg==" saltValue="ZuLM3WQj6jrBLaTj7uvIHA==" spinCount="100000" sheet="1" objects="1" scenarios="1" selectLockedCells="1" selectUnlockedCells="1"/>
  <mergeCells count="59">
    <mergeCell ref="C22:L22"/>
    <mergeCell ref="C23:L23"/>
    <mergeCell ref="C5:L5"/>
    <mergeCell ref="C6:L6"/>
    <mergeCell ref="C8:L8"/>
    <mergeCell ref="C10:L10"/>
    <mergeCell ref="C11:L11"/>
    <mergeCell ref="C12:L12"/>
    <mergeCell ref="C14:L14"/>
    <mergeCell ref="C15:L15"/>
    <mergeCell ref="C19:L19"/>
    <mergeCell ref="C20:L20"/>
    <mergeCell ref="C21:L21"/>
    <mergeCell ref="C2:L2"/>
    <mergeCell ref="C3:L3"/>
    <mergeCell ref="C16:L16"/>
    <mergeCell ref="C33:L33"/>
    <mergeCell ref="C35:L35"/>
    <mergeCell ref="C4:L4"/>
    <mergeCell ref="C9:L9"/>
    <mergeCell ref="C7:L7"/>
    <mergeCell ref="C13:L13"/>
    <mergeCell ref="C17:L17"/>
    <mergeCell ref="C24:L24"/>
    <mergeCell ref="C30:L30"/>
    <mergeCell ref="C27:L27"/>
    <mergeCell ref="C28:L28"/>
    <mergeCell ref="C29:L29"/>
    <mergeCell ref="C32:L32"/>
    <mergeCell ref="C31:L31"/>
    <mergeCell ref="C18:L18"/>
    <mergeCell ref="C25:L25"/>
    <mergeCell ref="C53:L53"/>
    <mergeCell ref="C54:L54"/>
    <mergeCell ref="C55:L55"/>
    <mergeCell ref="C38:L38"/>
    <mergeCell ref="C39:L39"/>
    <mergeCell ref="C40:L40"/>
    <mergeCell ref="C41:L41"/>
    <mergeCell ref="C42:L42"/>
    <mergeCell ref="C43:L43"/>
    <mergeCell ref="C44:L44"/>
    <mergeCell ref="C36:L36"/>
    <mergeCell ref="C37:L37"/>
    <mergeCell ref="C26:L26"/>
    <mergeCell ref="C57:L57"/>
    <mergeCell ref="C60:L60"/>
    <mergeCell ref="C61:L61"/>
    <mergeCell ref="C58:L58"/>
    <mergeCell ref="C59:L59"/>
    <mergeCell ref="C56:L56"/>
    <mergeCell ref="C45:L45"/>
    <mergeCell ref="C46:L46"/>
    <mergeCell ref="C47:L47"/>
    <mergeCell ref="C48:L48"/>
    <mergeCell ref="C49:L49"/>
    <mergeCell ref="C50:L50"/>
    <mergeCell ref="C51:L51"/>
    <mergeCell ref="C52:L52"/>
  </mergeCells>
  <phoneticPr fontId="5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9991-55D4-4A25-BE88-4ECE93CDD204}">
  <sheetPr>
    <tabColor rgb="FFFFCDCD"/>
  </sheetPr>
  <dimension ref="A1:N35"/>
  <sheetViews>
    <sheetView zoomScale="101" zoomScaleNormal="100" workbookViewId="0">
      <selection activeCell="D10" sqref="D10"/>
    </sheetView>
  </sheetViews>
  <sheetFormatPr defaultColWidth="0" defaultRowHeight="18.75" zeroHeight="1" x14ac:dyDescent="0.4"/>
  <cols>
    <col min="1" max="1" width="0.875" style="95" customWidth="1"/>
    <col min="2" max="2" width="8.625" style="95" customWidth="1"/>
    <col min="3" max="3" width="16.25" style="95" customWidth="1"/>
    <col min="4" max="4" width="50" style="95" customWidth="1"/>
    <col min="5" max="5" width="8.625" style="95" customWidth="1"/>
    <col min="6" max="6" width="0.875" style="95" customWidth="1"/>
    <col min="7" max="7" width="8.625" style="95" hidden="1" customWidth="1"/>
    <col min="8" max="8" width="10.625" style="95" hidden="1" customWidth="1"/>
    <col min="9" max="9" width="22.375" style="95" hidden="1" customWidth="1"/>
    <col min="10" max="14" width="12.5" style="95" hidden="1" customWidth="1"/>
    <col min="15" max="16384" width="8.625" style="95" hidden="1"/>
  </cols>
  <sheetData>
    <row r="1" spans="1:14" ht="5.0999999999999996" customHeight="1" x14ac:dyDescent="0.4">
      <c r="A1" s="250"/>
      <c r="B1" s="250"/>
      <c r="C1" s="250"/>
      <c r="D1" s="250"/>
      <c r="E1" s="250"/>
      <c r="F1" s="250"/>
    </row>
    <row r="2" spans="1:14" ht="30" x14ac:dyDescent="0.4">
      <c r="A2" s="250"/>
      <c r="B2" s="250"/>
      <c r="C2" s="380" t="s">
        <v>20</v>
      </c>
      <c r="D2" s="380"/>
      <c r="E2" s="250"/>
      <c r="F2" s="250"/>
    </row>
    <row r="3" spans="1:14" ht="24.95" customHeight="1" x14ac:dyDescent="0.4">
      <c r="A3" s="250"/>
      <c r="B3" s="250"/>
      <c r="C3" s="381" t="s">
        <v>2509</v>
      </c>
      <c r="D3" s="381"/>
      <c r="E3" s="250"/>
      <c r="F3" s="250"/>
    </row>
    <row r="4" spans="1:14" ht="24.95" customHeight="1" thickBot="1" x14ac:dyDescent="0.45">
      <c r="A4" s="250"/>
      <c r="B4" s="250"/>
      <c r="C4" s="400"/>
      <c r="D4" s="400"/>
      <c r="E4" s="250"/>
      <c r="F4" s="250"/>
    </row>
    <row r="5" spans="1:14" ht="24.95" customHeight="1" thickBot="1" x14ac:dyDescent="0.45">
      <c r="A5" s="250"/>
      <c r="B5" s="250"/>
      <c r="C5" s="399" t="s">
        <v>2200</v>
      </c>
      <c r="D5" s="399"/>
      <c r="E5" s="250"/>
      <c r="F5" s="250"/>
      <c r="H5" s="394" t="s">
        <v>25</v>
      </c>
      <c r="I5" s="395"/>
      <c r="J5" s="395"/>
      <c r="K5" s="395"/>
      <c r="L5" s="395"/>
      <c r="M5" s="395"/>
      <c r="N5" s="396"/>
    </row>
    <row r="6" spans="1:14" ht="24.95" customHeight="1" thickBot="1" x14ac:dyDescent="0.45">
      <c r="A6" s="250"/>
      <c r="B6" s="250"/>
      <c r="C6" s="397" t="s">
        <v>1207</v>
      </c>
      <c r="D6" s="398"/>
      <c r="E6" s="250"/>
      <c r="F6" s="250"/>
      <c r="H6" s="406" t="s">
        <v>56</v>
      </c>
      <c r="I6" s="407"/>
      <c r="J6" s="255" t="s">
        <v>26</v>
      </c>
      <c r="K6" s="96"/>
      <c r="L6" s="96"/>
      <c r="M6" s="96"/>
      <c r="N6" s="256"/>
    </row>
    <row r="7" spans="1:14" ht="24.95" customHeight="1" thickBot="1" x14ac:dyDescent="0.45">
      <c r="A7" s="250"/>
      <c r="B7" s="250"/>
      <c r="C7" s="92" t="s">
        <v>52</v>
      </c>
      <c r="D7" s="89"/>
      <c r="E7" s="250"/>
      <c r="F7" s="250"/>
      <c r="H7" s="406" t="s">
        <v>21</v>
      </c>
      <c r="I7" s="407"/>
      <c r="J7" s="255" t="s">
        <v>27</v>
      </c>
      <c r="K7" s="96"/>
      <c r="L7" s="96"/>
      <c r="M7" s="96"/>
      <c r="N7" s="256"/>
    </row>
    <row r="8" spans="1:14" ht="24.95" customHeight="1" thickBot="1" x14ac:dyDescent="0.45">
      <c r="A8" s="250"/>
      <c r="B8" s="250"/>
      <c r="C8" s="93" t="s">
        <v>53</v>
      </c>
      <c r="D8" s="90"/>
      <c r="E8" s="250"/>
      <c r="F8" s="250"/>
      <c r="H8" s="406" t="s">
        <v>28</v>
      </c>
      <c r="I8" s="407"/>
      <c r="J8" s="255" t="s">
        <v>29</v>
      </c>
      <c r="K8" s="96" t="s">
        <v>51</v>
      </c>
      <c r="L8" s="96"/>
      <c r="M8" s="96"/>
      <c r="N8" s="256"/>
    </row>
    <row r="9" spans="1:14" ht="24.95" customHeight="1" thickBot="1" x14ac:dyDescent="0.45">
      <c r="A9" s="250"/>
      <c r="B9" s="250"/>
      <c r="C9" s="93" t="s">
        <v>1205</v>
      </c>
      <c r="D9" s="90"/>
      <c r="E9" s="250"/>
      <c r="F9" s="250"/>
      <c r="H9" s="255"/>
      <c r="I9" s="256"/>
      <c r="J9" s="255"/>
      <c r="K9" s="96"/>
      <c r="L9" s="96"/>
      <c r="M9" s="96"/>
      <c r="N9" s="256"/>
    </row>
    <row r="10" spans="1:14" ht="24.95" customHeight="1" thickBot="1" x14ac:dyDescent="0.45">
      <c r="A10" s="250"/>
      <c r="B10" s="250"/>
      <c r="C10" s="93" t="s">
        <v>56</v>
      </c>
      <c r="D10" s="90"/>
      <c r="E10" s="250"/>
      <c r="F10" s="250"/>
      <c r="H10" s="255" t="s">
        <v>22</v>
      </c>
      <c r="I10" s="256" t="s">
        <v>55</v>
      </c>
      <c r="J10" s="255" t="s">
        <v>33</v>
      </c>
      <c r="K10" s="96" t="s">
        <v>34</v>
      </c>
      <c r="L10" s="96" t="s">
        <v>30</v>
      </c>
      <c r="M10" s="96"/>
      <c r="N10" s="256"/>
    </row>
    <row r="11" spans="1:14" ht="24.95" customHeight="1" x14ac:dyDescent="0.4">
      <c r="A11" s="250"/>
      <c r="B11" s="250"/>
      <c r="C11" s="93" t="s">
        <v>21</v>
      </c>
      <c r="D11" s="90"/>
      <c r="E11" s="250"/>
      <c r="F11" s="250"/>
      <c r="H11" s="402" t="s">
        <v>23</v>
      </c>
      <c r="I11" s="99" t="s">
        <v>33</v>
      </c>
      <c r="J11" s="251" t="s">
        <v>39</v>
      </c>
      <c r="K11" s="100" t="s">
        <v>40</v>
      </c>
      <c r="L11" s="100" t="s">
        <v>41</v>
      </c>
      <c r="M11" s="100" t="s">
        <v>42</v>
      </c>
      <c r="N11" s="99"/>
    </row>
    <row r="12" spans="1:14" ht="24.95" customHeight="1" x14ac:dyDescent="0.4">
      <c r="A12" s="250"/>
      <c r="B12" s="250"/>
      <c r="C12" s="93" t="s">
        <v>28</v>
      </c>
      <c r="D12" s="90"/>
      <c r="E12" s="250"/>
      <c r="F12" s="250"/>
      <c r="H12" s="403"/>
      <c r="I12" s="98" t="s">
        <v>34</v>
      </c>
      <c r="J12" s="252" t="s">
        <v>43</v>
      </c>
      <c r="K12" s="101" t="s">
        <v>44</v>
      </c>
      <c r="L12" s="101" t="s">
        <v>45</v>
      </c>
      <c r="M12" s="101" t="s">
        <v>46</v>
      </c>
      <c r="N12" s="98"/>
    </row>
    <row r="13" spans="1:14" ht="24.95" customHeight="1" thickBot="1" x14ac:dyDescent="0.45">
      <c r="A13" s="250"/>
      <c r="B13" s="250"/>
      <c r="C13" s="93" t="s">
        <v>22</v>
      </c>
      <c r="D13" s="90"/>
      <c r="E13" s="250"/>
      <c r="F13" s="250"/>
      <c r="H13" s="404"/>
      <c r="I13" s="102" t="s">
        <v>30</v>
      </c>
      <c r="J13" s="253" t="s">
        <v>47</v>
      </c>
      <c r="K13" s="103" t="s">
        <v>48</v>
      </c>
      <c r="L13" s="103" t="s">
        <v>35</v>
      </c>
      <c r="M13" s="103" t="s">
        <v>31</v>
      </c>
      <c r="N13" s="102" t="s">
        <v>49</v>
      </c>
    </row>
    <row r="14" spans="1:14" ht="24.95" customHeight="1" x14ac:dyDescent="0.4">
      <c r="A14" s="250"/>
      <c r="B14" s="250"/>
      <c r="C14" s="93" t="s">
        <v>23</v>
      </c>
      <c r="D14" s="90"/>
      <c r="E14" s="250"/>
      <c r="F14" s="250"/>
      <c r="H14" s="405" t="s">
        <v>24</v>
      </c>
      <c r="I14" s="97" t="s">
        <v>39</v>
      </c>
      <c r="J14" s="254" t="s">
        <v>32</v>
      </c>
      <c r="K14" s="104" t="s">
        <v>37</v>
      </c>
      <c r="L14" s="104"/>
      <c r="M14" s="104"/>
      <c r="N14" s="97"/>
    </row>
    <row r="15" spans="1:14" ht="24.75" customHeight="1" thickBot="1" x14ac:dyDescent="0.45">
      <c r="A15" s="250"/>
      <c r="B15" s="250"/>
      <c r="C15" s="94" t="s">
        <v>24</v>
      </c>
      <c r="D15" s="91"/>
      <c r="E15" s="250"/>
      <c r="F15" s="250"/>
      <c r="H15" s="403"/>
      <c r="I15" s="98" t="s">
        <v>40</v>
      </c>
      <c r="J15" s="252" t="s">
        <v>32</v>
      </c>
      <c r="K15" s="101" t="s">
        <v>37</v>
      </c>
      <c r="L15" s="101"/>
      <c r="M15" s="101"/>
      <c r="N15" s="98"/>
    </row>
    <row r="16" spans="1:14" ht="24.75" customHeight="1" x14ac:dyDescent="0.4">
      <c r="A16" s="250"/>
      <c r="B16" s="250"/>
      <c r="C16" s="401" t="s">
        <v>1009</v>
      </c>
      <c r="D16" s="401"/>
      <c r="E16" s="250"/>
      <c r="F16" s="250"/>
      <c r="H16" s="403"/>
      <c r="I16" s="98" t="s">
        <v>41</v>
      </c>
      <c r="J16" s="252" t="s">
        <v>32</v>
      </c>
      <c r="K16" s="101" t="s">
        <v>37</v>
      </c>
      <c r="L16" s="101"/>
      <c r="M16" s="101"/>
      <c r="N16" s="98"/>
    </row>
    <row r="17" spans="1:14" ht="24.75" customHeight="1" thickBot="1" x14ac:dyDescent="0.45">
      <c r="A17" s="250"/>
      <c r="B17" s="250"/>
      <c r="C17" s="192"/>
      <c r="D17" s="192"/>
      <c r="E17" s="250"/>
      <c r="F17" s="250"/>
      <c r="H17" s="403"/>
      <c r="I17" s="98" t="s">
        <v>42</v>
      </c>
      <c r="J17" s="252" t="s">
        <v>32</v>
      </c>
      <c r="K17" s="101" t="s">
        <v>37</v>
      </c>
      <c r="L17" s="101"/>
      <c r="M17" s="101"/>
      <c r="N17" s="98"/>
    </row>
    <row r="18" spans="1:14" ht="24.75" customHeight="1" thickBot="1" x14ac:dyDescent="0.45">
      <c r="A18" s="250"/>
      <c r="B18" s="250"/>
      <c r="C18" s="408" t="s">
        <v>1208</v>
      </c>
      <c r="D18" s="409"/>
      <c r="E18" s="250"/>
      <c r="F18" s="250"/>
      <c r="H18" s="403"/>
      <c r="I18" s="98"/>
      <c r="J18" s="252"/>
      <c r="K18" s="101"/>
      <c r="L18" s="101"/>
      <c r="M18" s="101"/>
      <c r="N18" s="98"/>
    </row>
    <row r="19" spans="1:14" ht="24.75" customHeight="1" thickBot="1" x14ac:dyDescent="0.45">
      <c r="A19" s="250"/>
      <c r="B19" s="250"/>
      <c r="C19" s="193" t="s">
        <v>1209</v>
      </c>
      <c r="D19" s="194" t="s">
        <v>1206</v>
      </c>
      <c r="E19" s="127"/>
      <c r="F19" s="250"/>
      <c r="H19" s="403"/>
      <c r="I19" s="98"/>
      <c r="J19" s="252"/>
      <c r="K19" s="101"/>
      <c r="L19" s="101"/>
      <c r="M19" s="101"/>
      <c r="N19" s="98"/>
    </row>
    <row r="20" spans="1:14" ht="24.75" customHeight="1" thickBot="1" x14ac:dyDescent="0.45">
      <c r="B20" s="250"/>
      <c r="C20" s="250"/>
      <c r="D20" s="250"/>
      <c r="E20" s="250"/>
      <c r="F20" s="250"/>
      <c r="H20" s="403"/>
      <c r="I20" s="98" t="s">
        <v>43</v>
      </c>
      <c r="J20" s="252" t="s">
        <v>38</v>
      </c>
      <c r="K20" s="101"/>
      <c r="L20" s="101"/>
      <c r="M20" s="101"/>
      <c r="N20" s="98"/>
    </row>
    <row r="21" spans="1:14" ht="24.75" customHeight="1" thickBot="1" x14ac:dyDescent="0.45">
      <c r="A21" s="250"/>
      <c r="B21" s="250"/>
      <c r="C21" s="389" t="s">
        <v>1007</v>
      </c>
      <c r="D21" s="390"/>
      <c r="E21" s="250"/>
      <c r="F21" s="250"/>
      <c r="H21" s="403"/>
      <c r="I21" s="98" t="s">
        <v>47</v>
      </c>
      <c r="J21" s="252" t="s">
        <v>50</v>
      </c>
      <c r="K21" s="101"/>
      <c r="L21" s="101"/>
      <c r="M21" s="101"/>
      <c r="N21" s="98"/>
    </row>
    <row r="22" spans="1:14" ht="24.75" customHeight="1" x14ac:dyDescent="0.4">
      <c r="A22" s="250"/>
      <c r="B22" s="250"/>
      <c r="C22" s="385" t="s">
        <v>1006</v>
      </c>
      <c r="D22" s="105" t="s">
        <v>2208</v>
      </c>
      <c r="E22" s="250"/>
      <c r="F22" s="250"/>
      <c r="H22" s="403"/>
      <c r="I22" s="98"/>
      <c r="J22" s="252"/>
      <c r="K22" s="101"/>
      <c r="L22" s="101"/>
      <c r="M22" s="101"/>
      <c r="N22" s="98"/>
    </row>
    <row r="23" spans="1:14" ht="24.75" customHeight="1" x14ac:dyDescent="0.4">
      <c r="A23" s="250"/>
      <c r="B23" s="250"/>
      <c r="C23" s="386"/>
      <c r="D23" s="106" t="s">
        <v>2209</v>
      </c>
      <c r="E23" s="250"/>
      <c r="F23" s="250"/>
      <c r="H23" s="403"/>
      <c r="I23" s="98"/>
      <c r="J23" s="252"/>
      <c r="K23" s="101"/>
      <c r="L23" s="101"/>
      <c r="M23" s="101"/>
      <c r="N23" s="98"/>
    </row>
    <row r="24" spans="1:14" ht="24.75" customHeight="1" x14ac:dyDescent="0.4">
      <c r="A24" s="250"/>
      <c r="B24" s="250"/>
      <c r="C24" s="391" t="s">
        <v>1006</v>
      </c>
      <c r="D24" s="105" t="s">
        <v>2201</v>
      </c>
      <c r="E24" s="250"/>
      <c r="F24" s="250"/>
      <c r="H24" s="403"/>
      <c r="I24" s="98" t="s">
        <v>48</v>
      </c>
      <c r="J24" s="252" t="s">
        <v>38</v>
      </c>
      <c r="K24" s="101"/>
      <c r="L24" s="101"/>
      <c r="M24" s="101"/>
      <c r="N24" s="98"/>
    </row>
    <row r="25" spans="1:14" ht="24.75" customHeight="1" x14ac:dyDescent="0.4">
      <c r="A25" s="250"/>
      <c r="B25" s="250"/>
      <c r="C25" s="392"/>
      <c r="D25" s="106" t="s">
        <v>1013</v>
      </c>
      <c r="E25" s="250"/>
      <c r="F25" s="250"/>
      <c r="H25" s="403"/>
      <c r="I25" s="98" t="s">
        <v>35</v>
      </c>
      <c r="J25" s="252" t="s">
        <v>32</v>
      </c>
      <c r="K25" s="101" t="s">
        <v>37</v>
      </c>
      <c r="L25" s="101"/>
      <c r="M25" s="101"/>
      <c r="N25" s="98"/>
    </row>
    <row r="26" spans="1:14" ht="24.75" customHeight="1" x14ac:dyDescent="0.4">
      <c r="A26" s="250"/>
      <c r="B26" s="250"/>
      <c r="C26" s="393" t="s">
        <v>1006</v>
      </c>
      <c r="D26" s="107" t="s">
        <v>2202</v>
      </c>
      <c r="E26" s="250"/>
      <c r="F26" s="250"/>
      <c r="H26" s="403"/>
      <c r="I26" s="98" t="s">
        <v>31</v>
      </c>
      <c r="J26" s="252" t="s">
        <v>32</v>
      </c>
      <c r="K26" s="101" t="s">
        <v>37</v>
      </c>
      <c r="L26" s="101"/>
      <c r="M26" s="101"/>
      <c r="N26" s="98"/>
    </row>
    <row r="27" spans="1:14" ht="24.75" customHeight="1" thickBot="1" x14ac:dyDescent="0.45">
      <c r="A27" s="250"/>
      <c r="B27" s="250"/>
      <c r="C27" s="393"/>
      <c r="D27" s="106" t="s">
        <v>2216</v>
      </c>
      <c r="E27" s="250"/>
      <c r="F27" s="250"/>
      <c r="H27" s="404"/>
      <c r="I27" s="102" t="s">
        <v>36</v>
      </c>
      <c r="J27" s="253" t="s">
        <v>32</v>
      </c>
      <c r="K27" s="103" t="s">
        <v>37</v>
      </c>
      <c r="L27" s="103"/>
      <c r="M27" s="103"/>
      <c r="N27" s="102"/>
    </row>
    <row r="28" spans="1:14" ht="24.75" customHeight="1" x14ac:dyDescent="0.4">
      <c r="A28" s="250"/>
      <c r="B28" s="250"/>
      <c r="C28" s="387" t="s">
        <v>1006</v>
      </c>
      <c r="D28" s="105" t="s">
        <v>2172</v>
      </c>
      <c r="E28" s="250"/>
      <c r="F28" s="250"/>
      <c r="H28" s="108" t="s">
        <v>54</v>
      </c>
    </row>
    <row r="29" spans="1:14" ht="24.75" customHeight="1" thickBot="1" x14ac:dyDescent="0.45">
      <c r="A29" s="250"/>
      <c r="B29" s="250"/>
      <c r="C29" s="388"/>
      <c r="D29" s="109" t="s">
        <v>1008</v>
      </c>
      <c r="E29" s="250"/>
      <c r="F29" s="250"/>
    </row>
    <row r="30" spans="1:14" s="289" customFormat="1" ht="24.75" customHeight="1" x14ac:dyDescent="0.4">
      <c r="A30" s="288"/>
      <c r="B30" s="287"/>
      <c r="C30" s="288"/>
      <c r="D30" s="288"/>
      <c r="E30" s="288"/>
      <c r="F30" s="288"/>
    </row>
    <row r="31" spans="1:14" s="289" customFormat="1" ht="24.75" hidden="1" customHeight="1" thickBot="1" x14ac:dyDescent="0.45">
      <c r="A31" s="288"/>
      <c r="B31" s="287"/>
      <c r="C31" s="383" t="s">
        <v>2207</v>
      </c>
      <c r="D31" s="384"/>
      <c r="E31" s="288"/>
      <c r="F31" s="288"/>
    </row>
    <row r="32" spans="1:14" s="289" customFormat="1" ht="24.75" hidden="1" customHeight="1" x14ac:dyDescent="0.4">
      <c r="A32" s="288"/>
      <c r="B32" s="287"/>
      <c r="C32" s="283" t="s">
        <v>2203</v>
      </c>
      <c r="D32" s="284" t="s">
        <v>2204</v>
      </c>
      <c r="E32" s="288"/>
      <c r="F32" s="288"/>
    </row>
    <row r="33" spans="1:6" s="289" customFormat="1" ht="24.75" hidden="1" customHeight="1" thickBot="1" x14ac:dyDescent="0.45">
      <c r="A33" s="288"/>
      <c r="B33" s="287"/>
      <c r="C33" s="285" t="s">
        <v>2205</v>
      </c>
      <c r="D33" s="286" t="s">
        <v>2206</v>
      </c>
      <c r="E33" s="288"/>
      <c r="F33" s="288"/>
    </row>
    <row r="34" spans="1:6" s="289" customFormat="1" ht="24.75" customHeight="1" x14ac:dyDescent="0.4">
      <c r="A34" s="288"/>
      <c r="B34" s="287"/>
      <c r="C34" s="250"/>
      <c r="D34" s="250"/>
      <c r="E34" s="288"/>
      <c r="F34" s="288"/>
    </row>
    <row r="35" spans="1:6" s="250" customFormat="1" ht="4.5" customHeight="1" x14ac:dyDescent="0.4"/>
  </sheetData>
  <sheetProtection algorithmName="SHA-512" hashValue="BR2OWUpEkRblfyRUxfRUtGyArJig4S9ema8FtthRu6XyZyijQDtU+Ux3l2RSoss/fLlpua7ZTehgHzL/aECiJQ==" saltValue="JLRHVNfzeNTUmYx1E7ymCQ==" spinCount="100000" sheet="1" formatRows="0" selectLockedCells="1"/>
  <mergeCells count="19">
    <mergeCell ref="C16:D16"/>
    <mergeCell ref="H11:H13"/>
    <mergeCell ref="H14:H27"/>
    <mergeCell ref="H6:I6"/>
    <mergeCell ref="H7:I7"/>
    <mergeCell ref="H8:I8"/>
    <mergeCell ref="C18:D18"/>
    <mergeCell ref="H5:N5"/>
    <mergeCell ref="C6:D6"/>
    <mergeCell ref="C2:D2"/>
    <mergeCell ref="C3:D3"/>
    <mergeCell ref="C5:D5"/>
    <mergeCell ref="C4:D4"/>
    <mergeCell ref="C31:D31"/>
    <mergeCell ref="C22:C23"/>
    <mergeCell ref="C28:C29"/>
    <mergeCell ref="C21:D21"/>
    <mergeCell ref="C24:C25"/>
    <mergeCell ref="C26:C27"/>
  </mergeCells>
  <phoneticPr fontId="5"/>
  <conditionalFormatting sqref="D9:D15">
    <cfRule type="cellIs" dxfId="61" priority="1" operator="equal">
      <formula>""</formula>
    </cfRule>
  </conditionalFormatting>
  <dataValidations xWindow="617" yWindow="810" count="10">
    <dataValidation type="list" allowBlank="1" showInputMessage="1" showErrorMessage="1" promptTitle="【大学院】を選択してください" prompt="プルダウンリストが表示されない場合は，管理者にお問い合わせください．_x000a_この情報は履修基準に用いられます．" sqref="D10" xr:uid="{51C338F9-16A5-479F-A0F5-B4B56933F13C}">
      <formula1>大学院</formula1>
    </dataValidation>
    <dataValidation type="list" allowBlank="1" showInputMessage="1" showErrorMessage="1" promptTitle="【学府】を選択してください" prompt="プルダウンリストが表示されない場合は，管理者にお問い合わせください．_x000a_この情報は履修基準に用いられます．" sqref="D11" xr:uid="{029ABBED-F5BE-4A38-8CA9-FD682E6A7650}">
      <formula1>学府</formula1>
    </dataValidation>
    <dataValidation type="list" allowBlank="1" showInputMessage="1" showErrorMessage="1" promptTitle="【課程】を選択してください" prompt="プルダウンリストが表示されない場合は，管理者にお問い合わせください．_x000a_この情報は履修基準に用いられます．" sqref="D12" xr:uid="{50FD6782-064F-48B9-ACF3-FB358D5F1837}">
      <formula1>課程</formula1>
    </dataValidation>
    <dataValidation type="list" allowBlank="1" showInputMessage="1" showErrorMessage="1" promptTitle="【専攻】を選択してください" prompt="プルダウンリストが表示されない場合は，【学府】を入力してください．_x000a_この情報は履修基準に用いられます．" sqref="D13" xr:uid="{E357A6ED-86B5-4B54-A08F-0AE0D0FC6EB2}">
      <formula1>INDIRECT($D$11)</formula1>
    </dataValidation>
    <dataValidation type="list" allowBlank="1" showInputMessage="1" showErrorMessage="1" promptTitle="【教育分野】を選択してください" prompt="プルダウンリストが表示されない場合は，【専攻】を入力してください．_x000a_この情報は履修基準に用いられます．" sqref="D14" xr:uid="{09F0FD1F-044B-4FB2-87CD-65F8E69118A5}">
      <formula1>INDIRECT($D$13)</formula1>
    </dataValidation>
    <dataValidation type="list" allowBlank="1" showInputMessage="1" showErrorMessage="1" promptTitle="【プログラム】を選択してください" prompt="プルダウンリストが表示されない場合は，【教育分野】を入力してください．_x000a_この情報は履修基準に用いられます．_x000a__x000a_＊プログラムとは_x000a_・TED：T型工学教育_x000a_・PED：Π型工学教育_x000a_・PSD：未来の工学を見据えた理学教育_x000a_・理学：理学プログラム" sqref="D15" xr:uid="{DC99EA51-4ED0-43B1-8EDF-3BB6B291E2AA}">
      <formula1>INDIRECT($D$14)</formula1>
    </dataValidation>
    <dataValidation allowBlank="1" showInputMessage="1" showErrorMessage="1" promptTitle="【氏名】を入力してください" prompt="未入力でも成績管理表は問題なく動作します．_x000a_この情報は用いられることはありません．" sqref="D7" xr:uid="{2D1A6AA6-767B-48FA-906C-B5A5438A1DBA}"/>
    <dataValidation allowBlank="1" showInputMessage="1" showErrorMessage="1" promptTitle="【学籍番号】を入力してください" prompt="未入力でも成績管理表は問題なく動作します．_x000a_この情報は用いられることはありません．" sqref="D8" xr:uid="{FE22BFE2-0493-47FB-95CF-7564D14B4273}"/>
    <dataValidation type="whole" allowBlank="1" showInputMessage="1" showErrorMessage="1" errorTitle="【入学年度】を入力してください" error="西暦で入力してください．_x000a_例）令和2年・2020年度入学_x000a_　　　→　「2020」" promptTitle="【入学年度】を入力してください" prompt="西暦で入力してください．_x000a_例）令和2年・2020年度入学_x000a_　　　→　「2020」_x000a_この情報は履修案内の参照に用いられます．" sqref="D9" xr:uid="{79DA45F1-B8F8-4330-A8E1-28F2E43762B2}">
      <formula1>2020</formula1>
      <formula2>2050</formula2>
    </dataValidation>
    <dataValidation type="list" allowBlank="1" showInputMessage="1" showErrorMessage="1" sqref="D19:E19" xr:uid="{01FE23A7-2906-49D2-A6FD-B9C3CED9B146}">
      <formula1>"使用言語に従う,日本語,英語"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5CC81-D716-4FB0-A25D-486DE3D8C7B3}">
  <sheetPr>
    <tabColor theme="8" tint="0.79998168889431442"/>
  </sheetPr>
  <dimension ref="A1:AK74"/>
  <sheetViews>
    <sheetView zoomScale="84" zoomScaleNormal="85" workbookViewId="0">
      <selection activeCell="B46" sqref="B46:E46"/>
    </sheetView>
  </sheetViews>
  <sheetFormatPr defaultColWidth="0" defaultRowHeight="0" customHeight="1" zeroHeight="1" x14ac:dyDescent="0.4"/>
  <cols>
    <col min="1" max="1" width="1.25" style="291" customWidth="1"/>
    <col min="2" max="30" width="8.625" style="95" customWidth="1"/>
    <col min="31" max="34" width="11.25" style="95" hidden="1" customWidth="1"/>
    <col min="35" max="35" width="1.25" style="291" customWidth="1"/>
    <col min="36" max="36" width="8.625" style="275" hidden="1" customWidth="1"/>
    <col min="37" max="37" width="9.125" style="275" hidden="1" customWidth="1"/>
    <col min="38" max="16384" width="8.625" style="275" hidden="1"/>
  </cols>
  <sheetData>
    <row r="1" spans="1:35" ht="7.5" customHeight="1" x14ac:dyDescent="0.4"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</row>
    <row r="2" spans="1:35" s="276" customFormat="1" ht="30" customHeight="1" x14ac:dyDescent="0.4">
      <c r="A2" s="70"/>
      <c r="B2" s="524" t="str">
        <f ca="1">"　"&amp;RIGHT(CELL("filename",A1),LEN(CELL("filename",A1))-FIND("]",CELL("filename",A1)))&amp;"　時間割表"</f>
        <v>　先取履修　時間割表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299"/>
      <c r="AD2" s="70"/>
      <c r="AE2" s="70"/>
      <c r="AF2" s="70"/>
      <c r="AG2" s="70"/>
      <c r="AH2" s="70"/>
      <c r="AI2" s="70"/>
    </row>
    <row r="3" spans="1:35" s="276" customFormat="1" ht="18.95" customHeight="1" x14ac:dyDescent="0.4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211" t="s">
        <v>707</v>
      </c>
      <c r="AA3" s="480">
        <f ca="1">NOW()</f>
        <v>43958.619198726854</v>
      </c>
      <c r="AB3" s="480"/>
      <c r="AC3" s="299"/>
      <c r="AD3" s="70"/>
      <c r="AE3" s="70"/>
      <c r="AF3" s="70"/>
      <c r="AG3" s="70"/>
      <c r="AH3" s="70"/>
      <c r="AI3" s="70"/>
    </row>
    <row r="4" spans="1:35" s="276" customFormat="1" ht="18.95" customHeight="1" thickBot="1" x14ac:dyDescent="0.4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211"/>
      <c r="AB4" s="299"/>
      <c r="AC4" s="299"/>
      <c r="AD4" s="70"/>
      <c r="AE4" s="70"/>
      <c r="AF4" s="70"/>
      <c r="AG4" s="70"/>
      <c r="AH4" s="70"/>
      <c r="AI4" s="70"/>
    </row>
    <row r="5" spans="1:35" s="277" customFormat="1" ht="18.95" customHeight="1" thickBot="1" x14ac:dyDescent="0.45">
      <c r="A5" s="68"/>
      <c r="B5" s="525"/>
      <c r="C5" s="526"/>
      <c r="D5" s="527" t="s">
        <v>988</v>
      </c>
      <c r="E5" s="528"/>
      <c r="F5" s="529"/>
      <c r="G5" s="527" t="s">
        <v>989</v>
      </c>
      <c r="H5" s="528"/>
      <c r="I5" s="529"/>
      <c r="J5" s="527" t="s">
        <v>990</v>
      </c>
      <c r="K5" s="528"/>
      <c r="L5" s="529"/>
      <c r="M5" s="527" t="s">
        <v>991</v>
      </c>
      <c r="N5" s="528"/>
      <c r="O5" s="529"/>
      <c r="P5" s="527" t="s">
        <v>992</v>
      </c>
      <c r="Q5" s="528"/>
      <c r="R5" s="529"/>
      <c r="S5" s="71"/>
      <c r="T5" s="530" t="s">
        <v>987</v>
      </c>
      <c r="U5" s="531"/>
      <c r="V5" s="532"/>
      <c r="W5" s="530" t="s">
        <v>2189</v>
      </c>
      <c r="X5" s="531"/>
      <c r="Y5" s="532"/>
      <c r="Z5" s="68"/>
      <c r="AA5" s="68"/>
      <c r="AB5" s="68"/>
      <c r="AC5" s="68"/>
      <c r="AD5" s="68"/>
      <c r="AE5" s="112"/>
      <c r="AF5" s="112"/>
      <c r="AG5" s="112"/>
      <c r="AH5" s="119"/>
      <c r="AI5" s="68"/>
    </row>
    <row r="6" spans="1:35" s="278" customFormat="1" ht="18.95" customHeight="1" x14ac:dyDescent="0.4">
      <c r="A6" s="72"/>
      <c r="B6" s="522">
        <v>1</v>
      </c>
      <c r="C6" s="523"/>
      <c r="D6" s="506" t="str">
        <f ca="1">IFERROR(IF(F10="ターム",INDIRECT($D$42&amp;D10)&amp;CHAR(10)&amp;INDIRECT($D$42&amp;E10),INDIRECT($D$42&amp;D10)),"")</f>
        <v/>
      </c>
      <c r="E6" s="507"/>
      <c r="F6" s="508"/>
      <c r="G6" s="506" t="str">
        <f t="shared" ref="G6" ca="1" si="0">IFERROR(IF(I10="ターム",INDIRECT($D$42&amp;G10)&amp;CHAR(10)&amp;INDIRECT($D$42&amp;H10),INDIRECT($D$42&amp;G10)),"")</f>
        <v/>
      </c>
      <c r="H6" s="507"/>
      <c r="I6" s="508"/>
      <c r="J6" s="506" t="str">
        <f t="shared" ref="J6" ca="1" si="1">IFERROR(IF(L10="ターム",INDIRECT($D$42&amp;J10)&amp;CHAR(10)&amp;INDIRECT($D$42&amp;K10),INDIRECT($D$42&amp;J10)),"")</f>
        <v/>
      </c>
      <c r="K6" s="507"/>
      <c r="L6" s="508"/>
      <c r="M6" s="506" t="str">
        <f t="shared" ref="M6" ca="1" si="2">IFERROR(IF(O10="ターム",INDIRECT($D$42&amp;M10)&amp;CHAR(10)&amp;INDIRECT($D$42&amp;N10),INDIRECT($D$42&amp;M10)),"")</f>
        <v/>
      </c>
      <c r="N6" s="507"/>
      <c r="O6" s="508"/>
      <c r="P6" s="506" t="str">
        <f t="shared" ref="P6" ca="1" si="3">IFERROR(IF(R10="ターム",INDIRECT($D$42&amp;P10)&amp;CHAR(10)&amp;INDIRECT($D$42&amp;Q10),INDIRECT($D$42&amp;P10)),"")</f>
        <v/>
      </c>
      <c r="Q6" s="507"/>
      <c r="R6" s="508"/>
      <c r="S6" s="72"/>
      <c r="T6" s="506" t="str">
        <f ca="1">IFERROR(IF(V10="ターム",INDIRECT($D$42&amp;T10)&amp;CHAR(10)&amp;INDIRECT($D$42&amp;U10),INDIRECT($D$42&amp;T10)),"")</f>
        <v/>
      </c>
      <c r="U6" s="507"/>
      <c r="V6" s="508"/>
      <c r="W6" s="506" t="str">
        <f ca="1">IFERROR(IF(Y10="ターム",INDIRECT($D$42&amp;W10)&amp;CHAR(10)&amp;INDIRECT($D$42&amp;X10),INDIRECT($D$42&amp;W10)),"")</f>
        <v/>
      </c>
      <c r="X6" s="507"/>
      <c r="Y6" s="508"/>
      <c r="Z6" s="72"/>
      <c r="AA6" s="72"/>
      <c r="AB6" s="72"/>
      <c r="AC6" s="72"/>
      <c r="AD6" s="72"/>
      <c r="AE6" s="113"/>
      <c r="AF6" s="113"/>
      <c r="AG6" s="113"/>
      <c r="AH6" s="358"/>
      <c r="AI6" s="72"/>
    </row>
    <row r="7" spans="1:35" s="278" customFormat="1" ht="18.95" customHeight="1" x14ac:dyDescent="0.4">
      <c r="A7" s="72"/>
      <c r="B7" s="502"/>
      <c r="C7" s="503"/>
      <c r="D7" s="509"/>
      <c r="E7" s="510"/>
      <c r="F7" s="511"/>
      <c r="G7" s="509"/>
      <c r="H7" s="510"/>
      <c r="I7" s="511"/>
      <c r="J7" s="509"/>
      <c r="K7" s="510"/>
      <c r="L7" s="511"/>
      <c r="M7" s="509"/>
      <c r="N7" s="510"/>
      <c r="O7" s="511"/>
      <c r="P7" s="509"/>
      <c r="Q7" s="510"/>
      <c r="R7" s="511"/>
      <c r="S7" s="72"/>
      <c r="T7" s="509"/>
      <c r="U7" s="510"/>
      <c r="V7" s="511"/>
      <c r="W7" s="509"/>
      <c r="X7" s="510"/>
      <c r="Y7" s="511"/>
      <c r="Z7" s="72"/>
      <c r="AA7" s="72"/>
      <c r="AB7" s="72"/>
      <c r="AC7" s="72"/>
      <c r="AD7" s="72"/>
      <c r="AE7" s="113"/>
      <c r="AF7" s="113"/>
      <c r="AG7" s="113"/>
      <c r="AH7" s="358"/>
      <c r="AI7" s="72"/>
    </row>
    <row r="8" spans="1:35" s="279" customFormat="1" ht="18.95" customHeight="1" x14ac:dyDescent="0.4">
      <c r="A8" s="114"/>
      <c r="B8" s="504"/>
      <c r="C8" s="505"/>
      <c r="D8" s="509"/>
      <c r="E8" s="510"/>
      <c r="F8" s="511"/>
      <c r="G8" s="509"/>
      <c r="H8" s="510"/>
      <c r="I8" s="511"/>
      <c r="J8" s="509"/>
      <c r="K8" s="510"/>
      <c r="L8" s="511"/>
      <c r="M8" s="509"/>
      <c r="N8" s="510"/>
      <c r="O8" s="511"/>
      <c r="P8" s="509"/>
      <c r="Q8" s="510"/>
      <c r="R8" s="511"/>
      <c r="S8" s="114"/>
      <c r="T8" s="509"/>
      <c r="U8" s="510"/>
      <c r="V8" s="511"/>
      <c r="W8" s="509"/>
      <c r="X8" s="510"/>
      <c r="Y8" s="511"/>
      <c r="Z8" s="114"/>
      <c r="AA8" s="114"/>
      <c r="AB8" s="114"/>
      <c r="AC8" s="114"/>
      <c r="AD8" s="114"/>
      <c r="AE8" s="115"/>
      <c r="AF8" s="115"/>
      <c r="AG8" s="115"/>
      <c r="AH8" s="359"/>
      <c r="AI8" s="114"/>
    </row>
    <row r="9" spans="1:35" s="278" customFormat="1" ht="18.95" customHeight="1" thickBot="1" x14ac:dyDescent="0.45">
      <c r="A9" s="72"/>
      <c r="B9" s="520" t="s">
        <v>982</v>
      </c>
      <c r="C9" s="521"/>
      <c r="D9" s="497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8"/>
      <c r="F9" s="499"/>
      <c r="G9" s="497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8"/>
      <c r="I9" s="499"/>
      <c r="J9" s="497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8"/>
      <c r="L9" s="499"/>
      <c r="M9" s="497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8"/>
      <c r="O9" s="499"/>
      <c r="P9" s="497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8"/>
      <c r="R9" s="499"/>
      <c r="S9" s="72"/>
      <c r="T9" s="497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8"/>
      <c r="V9" s="499"/>
      <c r="W9" s="497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8"/>
      <c r="Y9" s="499"/>
      <c r="Z9" s="72"/>
      <c r="AA9" s="72"/>
      <c r="AB9" s="72"/>
      <c r="AC9" s="72"/>
      <c r="AD9" s="72"/>
      <c r="AE9" s="113"/>
      <c r="AF9" s="113"/>
      <c r="AG9" s="113"/>
      <c r="AH9" s="358"/>
      <c r="AI9" s="72"/>
    </row>
    <row r="10" spans="1:35" s="278" customFormat="1" ht="18.95" hidden="1" customHeight="1" thickBot="1" x14ac:dyDescent="0.45">
      <c r="A10" s="72"/>
      <c r="B10" s="116" t="s">
        <v>2180</v>
      </c>
      <c r="C10" s="117" t="s">
        <v>2181</v>
      </c>
      <c r="D10" s="209" t="str">
        <f ca="1">IFERROR($AF$39+MATCH("*"&amp;D$5&amp;$B6&amp;"-1"&amp;"*",INDIRECT("$"&amp;$W$42&amp;$AF$39&amp;":"&amp;$W$42&amp;$AF$40),0)-1,"ー")</f>
        <v>ー</v>
      </c>
      <c r="E10" s="216" t="str">
        <f ca="1">IFERROR($AF$39+MATCH("*"&amp;D$5&amp;$B6&amp;"-2"&amp;"*",INDIRECT("$"&amp;$W$42&amp;$AF$39&amp;":"&amp;$W$42&amp;$AF$40),0)-1,"ー")</f>
        <v>ー</v>
      </c>
      <c r="F10" s="210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209" t="str">
        <f t="shared" ref="G10" ca="1" si="8">IFERROR($AF$39+MATCH("*"&amp;G$5&amp;$B6&amp;"-1"&amp;"*",INDIRECT("$"&amp;$W$42&amp;$AF$39&amp;":"&amp;$W$42&amp;$AF$40),0)-1,"ー")</f>
        <v>ー</v>
      </c>
      <c r="H10" s="216" t="str">
        <f t="shared" ref="H10" ca="1" si="9">IFERROR($AF$39+MATCH("*"&amp;G$5&amp;$B6&amp;"-2"&amp;"*",INDIRECT("$"&amp;$W$42&amp;$AF$39&amp;":"&amp;$W$42&amp;$AF$40),0)-1,"ー")</f>
        <v>ー</v>
      </c>
      <c r="I10" s="210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209" t="str">
        <f t="shared" ref="J10" ca="1" si="11">IFERROR($AF$39+MATCH("*"&amp;J$5&amp;$B6&amp;"-1"&amp;"*",INDIRECT("$"&amp;$W$42&amp;$AF$39&amp;":"&amp;$W$42&amp;$AF$40),0)-1,"ー")</f>
        <v>ー</v>
      </c>
      <c r="K10" s="216" t="str">
        <f t="shared" ref="K10" ca="1" si="12">IFERROR($AF$39+MATCH("*"&amp;J$5&amp;$B6&amp;"-2"&amp;"*",INDIRECT("$"&amp;$W$42&amp;$AF$39&amp;":"&amp;$W$42&amp;$AF$40),0)-1,"ー")</f>
        <v>ー</v>
      </c>
      <c r="L10" s="210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209" t="str">
        <f t="shared" ref="M10" ca="1" si="14">IFERROR($AF$39+MATCH("*"&amp;M$5&amp;$B6&amp;"-1"&amp;"*",INDIRECT("$"&amp;$W$42&amp;$AF$39&amp;":"&amp;$W$42&amp;$AF$40),0)-1,"ー")</f>
        <v>ー</v>
      </c>
      <c r="N10" s="216" t="str">
        <f t="shared" ref="N10" ca="1" si="15">IFERROR($AF$39+MATCH("*"&amp;M$5&amp;$B6&amp;"-2"&amp;"*",INDIRECT("$"&amp;$W$42&amp;$AF$39&amp;":"&amp;$W$42&amp;$AF$40),0)-1,"ー")</f>
        <v>ー</v>
      </c>
      <c r="O10" s="210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209" t="str">
        <f t="shared" ref="P10" ca="1" si="17">IFERROR($AF$39+MATCH("*"&amp;P$5&amp;$B6&amp;"-1"&amp;"*",INDIRECT("$"&amp;$W$42&amp;$AF$39&amp;":"&amp;$W$42&amp;$AF$40),0)-1,"ー")</f>
        <v>ー</v>
      </c>
      <c r="Q10" s="216" t="str">
        <f t="shared" ref="Q10" ca="1" si="18">IFERROR($AF$39+MATCH("*"&amp;P$5&amp;$B6&amp;"-2"&amp;"*",INDIRECT("$"&amp;$W$42&amp;$AF$39&amp;":"&amp;$W$42&amp;$AF$40),0)-1,"ー")</f>
        <v>ー</v>
      </c>
      <c r="R10" s="210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72"/>
      <c r="T10" s="209" t="str">
        <f ca="1">IFERROR($AF$39+MATCH(T$5&amp;"-"&amp;$B6,INDIRECT("$"&amp;$W$42&amp;$AF$39&amp;":"&amp;$W$42&amp;$AF$40),0)-1,"ー")</f>
        <v>ー</v>
      </c>
      <c r="U10" s="216" t="str">
        <f ca="1">IFERROR($AF$39+MATCH(T$5&amp;"-"&amp;(VALUE($B6)+5),INDIRECT("$"&amp;$W$42&amp;$AF$39&amp;":"&amp;$W$42&amp;$AF$40),0)-1,"ー")</f>
        <v>ー</v>
      </c>
      <c r="V10" s="210" t="str">
        <f ca="1">IF(U10="ー",
"重複なし",
IF(AND(T10&lt;&gt;"ー",U10&lt;&gt;"ー"),"ターム","重複あり")
)</f>
        <v>重複なし</v>
      </c>
      <c r="W10" s="209" t="str">
        <f ca="1">IFERROR($AF$39+MATCH(W$5&amp;"-"&amp;$B6,INDIRECT("$"&amp;$W$42&amp;$AF$39&amp;":"&amp;$W$42&amp;$AF$40),0)-1,"ー")</f>
        <v>ー</v>
      </c>
      <c r="X10" s="216" t="str">
        <f ca="1">IFERROR($AF$39+MATCH(W$5&amp;"-"&amp;(VALUE($B6)+5),INDIRECT("$"&amp;$W$42&amp;$AF$39&amp;":"&amp;$W$42&amp;$AF$40),0)-1,"ー")</f>
        <v>ー</v>
      </c>
      <c r="Y10" s="210" t="str">
        <f ca="1">IF(X10="ー",
"重複なし",
IF(AND(W10&lt;&gt;"ー",X10&lt;&gt;"ー"),"ターム","重複あり")
)</f>
        <v>重複なし</v>
      </c>
      <c r="Z10" s="72"/>
      <c r="AA10" s="72"/>
      <c r="AB10" s="72"/>
      <c r="AC10" s="72"/>
      <c r="AD10" s="72"/>
      <c r="AE10" s="113"/>
      <c r="AF10" s="113"/>
      <c r="AG10" s="113"/>
      <c r="AH10" s="358"/>
      <c r="AI10" s="72"/>
    </row>
    <row r="11" spans="1:35" s="278" customFormat="1" ht="18.95" customHeight="1" x14ac:dyDescent="0.4">
      <c r="A11" s="72"/>
      <c r="B11" s="500">
        <v>2</v>
      </c>
      <c r="C11" s="501"/>
      <c r="D11" s="506" t="str">
        <f t="shared" ref="D11" ca="1" si="20">IFERROR(IF(F15="ターム",INDIRECT($D$42&amp;D15)&amp;CHAR(10)&amp;INDIRECT($D$42&amp;E15),INDIRECT($D$42&amp;D15)),"")</f>
        <v/>
      </c>
      <c r="E11" s="507"/>
      <c r="F11" s="508"/>
      <c r="G11" s="506" t="str">
        <f t="shared" ref="G11" ca="1" si="21">IFERROR(IF(I15="ターム",INDIRECT($D$42&amp;G15)&amp;CHAR(10)&amp;INDIRECT($D$42&amp;H15),INDIRECT($D$42&amp;G15)),"")</f>
        <v/>
      </c>
      <c r="H11" s="507"/>
      <c r="I11" s="508"/>
      <c r="J11" s="506" t="str">
        <f t="shared" ref="J11" ca="1" si="22">IFERROR(IF(L15="ターム",INDIRECT($D$42&amp;J15)&amp;CHAR(10)&amp;INDIRECT($D$42&amp;K15),INDIRECT($D$42&amp;J15)),"")</f>
        <v/>
      </c>
      <c r="K11" s="507"/>
      <c r="L11" s="508"/>
      <c r="M11" s="506" t="str">
        <f t="shared" ref="M11" ca="1" si="23">IFERROR(IF(O15="ターム",INDIRECT($D$42&amp;M15)&amp;CHAR(10)&amp;INDIRECT($D$42&amp;N15),INDIRECT($D$42&amp;M15)),"")</f>
        <v/>
      </c>
      <c r="N11" s="507"/>
      <c r="O11" s="508"/>
      <c r="P11" s="506" t="str">
        <f t="shared" ref="P11" ca="1" si="24">IFERROR(IF(R15="ターム",INDIRECT($D$42&amp;P15)&amp;CHAR(10)&amp;INDIRECT($D$42&amp;Q15),INDIRECT($D$42&amp;P15)),"")</f>
        <v/>
      </c>
      <c r="Q11" s="507"/>
      <c r="R11" s="508"/>
      <c r="S11" s="72"/>
      <c r="T11" s="506" t="str">
        <f ca="1">IFERROR(IF(V15="ターム",INDIRECT($D$42&amp;T15)&amp;CHAR(10)&amp;INDIRECT($D$42&amp;U15),INDIRECT($D$42&amp;T15)),"")</f>
        <v/>
      </c>
      <c r="U11" s="507"/>
      <c r="V11" s="508"/>
      <c r="W11" s="506" t="str">
        <f t="shared" ref="W11" ca="1" si="25">IFERROR(IF(Y15="ターム",INDIRECT($D$42&amp;W15)&amp;CHAR(10)&amp;INDIRECT($D$42&amp;X15),INDIRECT($D$42&amp;W15)),"")</f>
        <v/>
      </c>
      <c r="X11" s="507"/>
      <c r="Y11" s="508"/>
      <c r="Z11" s="72"/>
      <c r="AA11" s="72"/>
      <c r="AB11" s="72"/>
      <c r="AC11" s="72"/>
      <c r="AD11" s="72"/>
      <c r="AE11" s="113"/>
      <c r="AF11" s="113"/>
      <c r="AG11" s="113"/>
      <c r="AH11" s="358"/>
      <c r="AI11" s="72"/>
    </row>
    <row r="12" spans="1:35" s="279" customFormat="1" ht="18.95" customHeight="1" x14ac:dyDescent="0.4">
      <c r="A12" s="114"/>
      <c r="B12" s="502"/>
      <c r="C12" s="503"/>
      <c r="D12" s="509"/>
      <c r="E12" s="510"/>
      <c r="F12" s="511"/>
      <c r="G12" s="509"/>
      <c r="H12" s="510"/>
      <c r="I12" s="511"/>
      <c r="J12" s="509"/>
      <c r="K12" s="510"/>
      <c r="L12" s="511"/>
      <c r="M12" s="509"/>
      <c r="N12" s="510"/>
      <c r="O12" s="511"/>
      <c r="P12" s="509"/>
      <c r="Q12" s="510"/>
      <c r="R12" s="511"/>
      <c r="S12" s="114"/>
      <c r="T12" s="509"/>
      <c r="U12" s="510"/>
      <c r="V12" s="511"/>
      <c r="W12" s="509"/>
      <c r="X12" s="510"/>
      <c r="Y12" s="511"/>
      <c r="Z12" s="114"/>
      <c r="AA12" s="114"/>
      <c r="AB12" s="114"/>
      <c r="AC12" s="114"/>
      <c r="AD12" s="114"/>
      <c r="AE12" s="115"/>
      <c r="AF12" s="115"/>
      <c r="AG12" s="115"/>
      <c r="AH12" s="359"/>
      <c r="AI12" s="114"/>
    </row>
    <row r="13" spans="1:35" s="278" customFormat="1" ht="18.95" customHeight="1" x14ac:dyDescent="0.4">
      <c r="A13" s="72"/>
      <c r="B13" s="504"/>
      <c r="C13" s="505"/>
      <c r="D13" s="509"/>
      <c r="E13" s="510"/>
      <c r="F13" s="511"/>
      <c r="G13" s="509"/>
      <c r="H13" s="510"/>
      <c r="I13" s="511"/>
      <c r="J13" s="509"/>
      <c r="K13" s="510"/>
      <c r="L13" s="511"/>
      <c r="M13" s="509"/>
      <c r="N13" s="510"/>
      <c r="O13" s="511"/>
      <c r="P13" s="509"/>
      <c r="Q13" s="510"/>
      <c r="R13" s="511"/>
      <c r="S13" s="72"/>
      <c r="T13" s="509"/>
      <c r="U13" s="510"/>
      <c r="V13" s="511"/>
      <c r="W13" s="509"/>
      <c r="X13" s="510"/>
      <c r="Y13" s="511"/>
      <c r="Z13" s="72"/>
      <c r="AA13" s="72"/>
      <c r="AB13" s="72"/>
      <c r="AC13" s="72"/>
      <c r="AD13" s="72"/>
      <c r="AE13" s="113"/>
      <c r="AF13" s="113"/>
      <c r="AG13" s="113"/>
      <c r="AH13" s="358"/>
      <c r="AI13" s="72"/>
    </row>
    <row r="14" spans="1:35" s="278" customFormat="1" ht="18.95" customHeight="1" thickBot="1" x14ac:dyDescent="0.45">
      <c r="A14" s="72"/>
      <c r="B14" s="495" t="s">
        <v>983</v>
      </c>
      <c r="C14" s="496"/>
      <c r="D14" s="497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8"/>
      <c r="F14" s="499"/>
      <c r="G14" s="497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8"/>
      <c r="I14" s="499"/>
      <c r="J14" s="497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8"/>
      <c r="L14" s="499"/>
      <c r="M14" s="497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8"/>
      <c r="O14" s="499"/>
      <c r="P14" s="497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8"/>
      <c r="R14" s="499"/>
      <c r="S14" s="72"/>
      <c r="T14" s="497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8"/>
      <c r="V14" s="499"/>
      <c r="W14" s="497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8"/>
      <c r="Y14" s="499"/>
      <c r="Z14" s="72"/>
      <c r="AA14" s="72"/>
      <c r="AB14" s="72"/>
      <c r="AC14" s="72"/>
      <c r="AD14" s="72"/>
      <c r="AE14" s="113"/>
      <c r="AF14" s="113"/>
      <c r="AG14" s="113"/>
      <c r="AH14" s="358"/>
      <c r="AI14" s="72"/>
    </row>
    <row r="15" spans="1:35" s="278" customFormat="1" ht="18.95" hidden="1" customHeight="1" thickBot="1" x14ac:dyDescent="0.45">
      <c r="A15" s="72"/>
      <c r="B15" s="116" t="s">
        <v>2180</v>
      </c>
      <c r="C15" s="117" t="s">
        <v>2181</v>
      </c>
      <c r="D15" s="209" t="str">
        <f t="shared" ref="D15" ca="1" si="31">IFERROR($AF$39+MATCH("*"&amp;D$5&amp;$B11&amp;"-1"&amp;"*",INDIRECT("$"&amp;$W$42&amp;$AF$39&amp;":"&amp;$W$42&amp;$AF$40),0)-1,"ー")</f>
        <v>ー</v>
      </c>
      <c r="E15" s="216" t="str">
        <f t="shared" ref="E15" ca="1" si="32">IFERROR($AF$39+MATCH("*"&amp;D$5&amp;$B11&amp;"-2"&amp;"*",INDIRECT("$"&amp;$W$42&amp;$AF$39&amp;":"&amp;$W$42&amp;$AF$40),0)-1,"ー")</f>
        <v>ー</v>
      </c>
      <c r="F15" s="210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209" t="str">
        <f t="shared" ref="G15:P15" ca="1" si="34">IFERROR($AF$39+MATCH("*"&amp;G$5&amp;$B11&amp;"-1"&amp;"*",INDIRECT("$"&amp;$W$42&amp;$AF$39&amp;":"&amp;$W$42&amp;$AF$40),0)-1,"ー")</f>
        <v>ー</v>
      </c>
      <c r="H15" s="216" t="str">
        <f t="shared" ref="H15:Q15" ca="1" si="35">IFERROR($AF$39+MATCH("*"&amp;G$5&amp;$B11&amp;"-2"&amp;"*",INDIRECT("$"&amp;$W$42&amp;$AF$39&amp;":"&amp;$W$42&amp;$AF$40),0)-1,"ー")</f>
        <v>ー</v>
      </c>
      <c r="I15" s="210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209" t="str">
        <f t="shared" ca="1" si="34"/>
        <v>ー</v>
      </c>
      <c r="K15" s="216" t="str">
        <f t="shared" ca="1" si="35"/>
        <v>ー</v>
      </c>
      <c r="L15" s="210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209" t="str">
        <f t="shared" ca="1" si="34"/>
        <v>ー</v>
      </c>
      <c r="N15" s="216" t="str">
        <f t="shared" ca="1" si="35"/>
        <v>ー</v>
      </c>
      <c r="O15" s="210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209" t="str">
        <f t="shared" ca="1" si="34"/>
        <v>ー</v>
      </c>
      <c r="Q15" s="216" t="str">
        <f t="shared" ca="1" si="35"/>
        <v>ー</v>
      </c>
      <c r="R15" s="210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72"/>
      <c r="T15" s="209" t="str">
        <f t="shared" ref="T15" ca="1" si="40">IFERROR($AF$39+MATCH(T$5&amp;"-"&amp;$B11,INDIRECT("$"&amp;$W$42&amp;$AF$39&amp;":"&amp;$W$42&amp;$AF$40),0)-1,"ー")</f>
        <v>ー</v>
      </c>
      <c r="U15" s="216" t="str">
        <f t="shared" ref="U15" ca="1" si="41">IFERROR($AF$39+MATCH(T$5&amp;"-"&amp;(VALUE($B11)+5),INDIRECT("$"&amp;$W$42&amp;$AF$39&amp;":"&amp;$W$42&amp;$AF$40),0)-1,"ー")</f>
        <v>ー</v>
      </c>
      <c r="V15" s="210" t="str">
        <f t="shared" ref="V15" ca="1" si="42">IF(U15="ー",
"重複なし",
IF(AND(T15&lt;&gt;"ー",U15&lt;&gt;"ー"),"ターム","重複あり")
)</f>
        <v>重複なし</v>
      </c>
      <c r="W15" s="209" t="str">
        <f t="shared" ref="W15" ca="1" si="43">IFERROR($AF$39+MATCH(W$5&amp;"-"&amp;$B11,INDIRECT("$"&amp;$W$42&amp;$AF$39&amp;":"&amp;$W$42&amp;$AF$40),0)-1,"ー")</f>
        <v>ー</v>
      </c>
      <c r="X15" s="216" t="str">
        <f t="shared" ref="X15" ca="1" si="44">IFERROR($AF$39+MATCH(W$5&amp;"-"&amp;(VALUE($B11)+5),INDIRECT("$"&amp;$W$42&amp;$AF$39&amp;":"&amp;$W$42&amp;$AF$40),0)-1,"ー")</f>
        <v>ー</v>
      </c>
      <c r="Y15" s="210" t="str">
        <f t="shared" ref="Y15" ca="1" si="45">IF(X15="ー",
"重複なし",
IF(AND(W15&lt;&gt;"ー",X15&lt;&gt;"ー"),"ターム","重複あり")
)</f>
        <v>重複なし</v>
      </c>
      <c r="Z15" s="72"/>
      <c r="AA15" s="72"/>
      <c r="AB15" s="72"/>
      <c r="AC15" s="72"/>
      <c r="AD15" s="72"/>
      <c r="AE15" s="113"/>
      <c r="AF15" s="113"/>
      <c r="AG15" s="113"/>
      <c r="AH15" s="358"/>
      <c r="AI15" s="72"/>
    </row>
    <row r="16" spans="1:35" s="279" customFormat="1" ht="18.95" customHeight="1" x14ac:dyDescent="0.4">
      <c r="A16" s="114"/>
      <c r="B16" s="500">
        <v>3</v>
      </c>
      <c r="C16" s="501"/>
      <c r="D16" s="506" t="str">
        <f t="shared" ref="D16" ca="1" si="46">IFERROR(IF(F20="ターム",INDIRECT($D$42&amp;D20)&amp;CHAR(10)&amp;INDIRECT($D$42&amp;E20),INDIRECT($D$42&amp;D20)),"")</f>
        <v/>
      </c>
      <c r="E16" s="507"/>
      <c r="F16" s="508"/>
      <c r="G16" s="506" t="str">
        <f t="shared" ref="G16" ca="1" si="47">IFERROR(IF(I20="ターム",INDIRECT($D$42&amp;G20)&amp;CHAR(10)&amp;INDIRECT($D$42&amp;H20),INDIRECT($D$42&amp;G20)),"")</f>
        <v/>
      </c>
      <c r="H16" s="507"/>
      <c r="I16" s="508"/>
      <c r="J16" s="506" t="str">
        <f t="shared" ref="J16" ca="1" si="48">IFERROR(IF(L20="ターム",INDIRECT($D$42&amp;J20)&amp;CHAR(10)&amp;INDIRECT($D$42&amp;K20),INDIRECT($D$42&amp;J20)),"")</f>
        <v/>
      </c>
      <c r="K16" s="507"/>
      <c r="L16" s="508"/>
      <c r="M16" s="506" t="str">
        <f t="shared" ref="M16" ca="1" si="49">IFERROR(IF(O20="ターム",INDIRECT($D$42&amp;M20)&amp;CHAR(10)&amp;INDIRECT($D$42&amp;N20),INDIRECT($D$42&amp;M20)),"")</f>
        <v/>
      </c>
      <c r="N16" s="507"/>
      <c r="O16" s="508"/>
      <c r="P16" s="506" t="str">
        <f t="shared" ref="P16" ca="1" si="50">IFERROR(IF(R20="ターム",INDIRECT($D$42&amp;P20)&amp;CHAR(10)&amp;INDIRECT($D$42&amp;Q20),INDIRECT($D$42&amp;P20)),"")</f>
        <v/>
      </c>
      <c r="Q16" s="507"/>
      <c r="R16" s="508"/>
      <c r="S16" s="114"/>
      <c r="T16" s="506" t="str">
        <f t="shared" ref="T16" ca="1" si="51">IFERROR(IF(V20="ターム",INDIRECT($D$42&amp;T20)&amp;CHAR(10)&amp;INDIRECT($D$42&amp;U20),INDIRECT($D$42&amp;T20)),"")</f>
        <v/>
      </c>
      <c r="U16" s="507"/>
      <c r="V16" s="508"/>
      <c r="W16" s="506" t="str">
        <f t="shared" ref="W16" ca="1" si="52">IFERROR(IF(Y20="ターム",INDIRECT($D$42&amp;W20)&amp;CHAR(10)&amp;INDIRECT($D$42&amp;X20),INDIRECT($D$42&amp;W20)),"")</f>
        <v/>
      </c>
      <c r="X16" s="507"/>
      <c r="Y16" s="508"/>
      <c r="Z16" s="114"/>
      <c r="AA16" s="114"/>
      <c r="AB16" s="114"/>
      <c r="AC16" s="114"/>
      <c r="AD16" s="114"/>
      <c r="AE16" s="115"/>
      <c r="AF16" s="115"/>
      <c r="AG16" s="115"/>
      <c r="AH16" s="359"/>
      <c r="AI16" s="114"/>
    </row>
    <row r="17" spans="1:35" s="278" customFormat="1" ht="18.95" customHeight="1" x14ac:dyDescent="0.4">
      <c r="A17" s="72"/>
      <c r="B17" s="502"/>
      <c r="C17" s="503"/>
      <c r="D17" s="509"/>
      <c r="E17" s="510"/>
      <c r="F17" s="511"/>
      <c r="G17" s="509"/>
      <c r="H17" s="510"/>
      <c r="I17" s="511"/>
      <c r="J17" s="509"/>
      <c r="K17" s="510"/>
      <c r="L17" s="511"/>
      <c r="M17" s="509"/>
      <c r="N17" s="510"/>
      <c r="O17" s="511"/>
      <c r="P17" s="509"/>
      <c r="Q17" s="510"/>
      <c r="R17" s="511"/>
      <c r="S17" s="72"/>
      <c r="T17" s="509"/>
      <c r="U17" s="510"/>
      <c r="V17" s="511"/>
      <c r="W17" s="509"/>
      <c r="X17" s="510"/>
      <c r="Y17" s="511"/>
      <c r="Z17" s="72"/>
      <c r="AA17" s="72"/>
      <c r="AB17" s="72"/>
      <c r="AC17" s="72"/>
      <c r="AD17" s="72"/>
      <c r="AE17" s="113"/>
      <c r="AF17" s="113"/>
      <c r="AG17" s="113"/>
      <c r="AH17" s="358"/>
      <c r="AI17" s="72"/>
    </row>
    <row r="18" spans="1:35" s="278" customFormat="1" ht="18.95" customHeight="1" x14ac:dyDescent="0.4">
      <c r="A18" s="72"/>
      <c r="B18" s="504"/>
      <c r="C18" s="505"/>
      <c r="D18" s="509"/>
      <c r="E18" s="510"/>
      <c r="F18" s="511"/>
      <c r="G18" s="509"/>
      <c r="H18" s="510"/>
      <c r="I18" s="511"/>
      <c r="J18" s="509"/>
      <c r="K18" s="510"/>
      <c r="L18" s="511"/>
      <c r="M18" s="509"/>
      <c r="N18" s="510"/>
      <c r="O18" s="511"/>
      <c r="P18" s="509"/>
      <c r="Q18" s="510"/>
      <c r="R18" s="511"/>
      <c r="S18" s="72"/>
      <c r="T18" s="509"/>
      <c r="U18" s="510"/>
      <c r="V18" s="511"/>
      <c r="W18" s="509"/>
      <c r="X18" s="510"/>
      <c r="Y18" s="511"/>
      <c r="Z18" s="72"/>
      <c r="AA18" s="72"/>
      <c r="AB18" s="72"/>
      <c r="AC18" s="72"/>
      <c r="AD18" s="72"/>
      <c r="AE18" s="113"/>
      <c r="AF18" s="113"/>
      <c r="AG18" s="113"/>
      <c r="AH18" s="358"/>
      <c r="AI18" s="72"/>
    </row>
    <row r="19" spans="1:35" s="279" customFormat="1" ht="18.95" customHeight="1" thickBot="1" x14ac:dyDescent="0.45">
      <c r="A19" s="114"/>
      <c r="B19" s="495" t="s">
        <v>984</v>
      </c>
      <c r="C19" s="496"/>
      <c r="D19" s="497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8"/>
      <c r="F19" s="499"/>
      <c r="G19" s="497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8"/>
      <c r="I19" s="499"/>
      <c r="J19" s="497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8"/>
      <c r="L19" s="499"/>
      <c r="M19" s="497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8"/>
      <c r="O19" s="499"/>
      <c r="P19" s="497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8"/>
      <c r="R19" s="499"/>
      <c r="S19" s="114"/>
      <c r="T19" s="497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8"/>
      <c r="V19" s="499"/>
      <c r="W19" s="497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8"/>
      <c r="Y19" s="499"/>
      <c r="Z19" s="114"/>
      <c r="AA19" s="114"/>
      <c r="AB19" s="114"/>
      <c r="AC19" s="114"/>
      <c r="AD19" s="114"/>
      <c r="AE19" s="115"/>
      <c r="AF19" s="115"/>
      <c r="AG19" s="115"/>
      <c r="AH19" s="359"/>
      <c r="AI19" s="114"/>
    </row>
    <row r="20" spans="1:35" s="278" customFormat="1" ht="18.95" hidden="1" customHeight="1" thickBot="1" x14ac:dyDescent="0.45">
      <c r="A20" s="72"/>
      <c r="B20" s="116" t="s">
        <v>2180</v>
      </c>
      <c r="C20" s="117" t="s">
        <v>2181</v>
      </c>
      <c r="D20" s="209" t="str">
        <f t="shared" ref="D20" ca="1" si="58">IFERROR($AF$39+MATCH("*"&amp;D$5&amp;$B16&amp;"-1"&amp;"*",INDIRECT("$"&amp;$W$42&amp;$AF$39&amp;":"&amp;$W$42&amp;$AF$40),0)-1,"ー")</f>
        <v>ー</v>
      </c>
      <c r="E20" s="216" t="str">
        <f t="shared" ref="E20" ca="1" si="59">IFERROR($AF$39+MATCH("*"&amp;D$5&amp;$B16&amp;"-2"&amp;"*",INDIRECT("$"&amp;$W$42&amp;$AF$39&amp;":"&amp;$W$42&amp;$AF$40),0)-1,"ー")</f>
        <v>ー</v>
      </c>
      <c r="F20" s="210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209" t="str">
        <f t="shared" ref="G20:P20" ca="1" si="61">IFERROR($AF$39+MATCH("*"&amp;G$5&amp;$B16&amp;"-1"&amp;"*",INDIRECT("$"&amp;$W$42&amp;$AF$39&amp;":"&amp;$W$42&amp;$AF$40),0)-1,"ー")</f>
        <v>ー</v>
      </c>
      <c r="H20" s="216" t="str">
        <f t="shared" ref="H20:Q20" ca="1" si="62">IFERROR($AF$39+MATCH("*"&amp;G$5&amp;$B16&amp;"-2"&amp;"*",INDIRECT("$"&amp;$W$42&amp;$AF$39&amp;":"&amp;$W$42&amp;$AF$40),0)-1,"ー")</f>
        <v>ー</v>
      </c>
      <c r="I20" s="210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209" t="str">
        <f t="shared" ca="1" si="61"/>
        <v>ー</v>
      </c>
      <c r="K20" s="216" t="str">
        <f t="shared" ca="1" si="62"/>
        <v>ー</v>
      </c>
      <c r="L20" s="210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209" t="str">
        <f t="shared" ca="1" si="61"/>
        <v>ー</v>
      </c>
      <c r="N20" s="216" t="str">
        <f t="shared" ca="1" si="62"/>
        <v>ー</v>
      </c>
      <c r="O20" s="210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209" t="str">
        <f t="shared" ca="1" si="61"/>
        <v>ー</v>
      </c>
      <c r="Q20" s="216" t="str">
        <f t="shared" ca="1" si="62"/>
        <v>ー</v>
      </c>
      <c r="R20" s="210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72"/>
      <c r="T20" s="209" t="str">
        <f t="shared" ref="T20" ca="1" si="67">IFERROR($AF$39+MATCH(T$5&amp;"-"&amp;$B16,INDIRECT("$"&amp;$W$42&amp;$AF$39&amp;":"&amp;$W$42&amp;$AF$40),0)-1,"ー")</f>
        <v>ー</v>
      </c>
      <c r="U20" s="216" t="str">
        <f t="shared" ref="U20" ca="1" si="68">IFERROR($AF$39+MATCH(T$5&amp;"-"&amp;(VALUE($B16)+5),INDIRECT("$"&amp;$W$42&amp;$AF$39&amp;":"&amp;$W$42&amp;$AF$40),0)-1,"ー")</f>
        <v>ー</v>
      </c>
      <c r="V20" s="210" t="str">
        <f t="shared" ref="V20" ca="1" si="69">IF(U20="ー",
"重複なし",
IF(AND(T20&lt;&gt;"ー",U20&lt;&gt;"ー"),"ターム","重複あり")
)</f>
        <v>重複なし</v>
      </c>
      <c r="W20" s="209" t="str">
        <f t="shared" ref="W20" ca="1" si="70">IFERROR($AF$39+MATCH(W$5&amp;"-"&amp;$B16,INDIRECT("$"&amp;$W$42&amp;$AF$39&amp;":"&amp;$W$42&amp;$AF$40),0)-1,"ー")</f>
        <v>ー</v>
      </c>
      <c r="X20" s="216" t="str">
        <f t="shared" ref="X20" ca="1" si="71">IFERROR($AF$39+MATCH(W$5&amp;"-"&amp;(VALUE($B16)+5),INDIRECT("$"&amp;$W$42&amp;$AF$39&amp;":"&amp;$W$42&amp;$AF$40),0)-1,"ー")</f>
        <v>ー</v>
      </c>
      <c r="Y20" s="210" t="str">
        <f t="shared" ref="Y20" ca="1" si="72">IF(X20="ー",
"重複なし",
IF(AND(W20&lt;&gt;"ー",X20&lt;&gt;"ー"),"ターム","重複あり")
)</f>
        <v>重複なし</v>
      </c>
      <c r="Z20" s="72"/>
      <c r="AA20" s="72"/>
      <c r="AB20" s="72"/>
      <c r="AC20" s="72"/>
      <c r="AD20" s="72"/>
      <c r="AE20" s="113"/>
      <c r="AF20" s="113"/>
      <c r="AG20" s="113"/>
      <c r="AH20" s="358"/>
      <c r="AI20" s="72"/>
    </row>
    <row r="21" spans="1:35" s="278" customFormat="1" ht="18.95" customHeight="1" x14ac:dyDescent="0.4">
      <c r="A21" s="72"/>
      <c r="B21" s="514">
        <v>4</v>
      </c>
      <c r="C21" s="515"/>
      <c r="D21" s="506" t="str">
        <f t="shared" ref="D21" ca="1" si="73">IFERROR(IF(F25="ターム",INDIRECT($D$42&amp;D25)&amp;CHAR(10)&amp;INDIRECT($D$42&amp;E25),INDIRECT($D$42&amp;D25)),"")</f>
        <v/>
      </c>
      <c r="E21" s="507"/>
      <c r="F21" s="508"/>
      <c r="G21" s="506" t="str">
        <f t="shared" ref="G21" ca="1" si="74">IFERROR(IF(I25="ターム",INDIRECT($D$42&amp;G25)&amp;CHAR(10)&amp;INDIRECT($D$42&amp;H25),INDIRECT($D$42&amp;G25)),"")</f>
        <v/>
      </c>
      <c r="H21" s="507"/>
      <c r="I21" s="508"/>
      <c r="J21" s="506" t="str">
        <f t="shared" ref="J21" ca="1" si="75">IFERROR(IF(L25="ターム",INDIRECT($D$42&amp;J25)&amp;CHAR(10)&amp;INDIRECT($D$42&amp;K25),INDIRECT($D$42&amp;J25)),"")</f>
        <v/>
      </c>
      <c r="K21" s="507"/>
      <c r="L21" s="508"/>
      <c r="M21" s="506" t="str">
        <f t="shared" ref="M21" ca="1" si="76">IFERROR(IF(O25="ターム",INDIRECT($D$42&amp;M25)&amp;CHAR(10)&amp;INDIRECT($D$42&amp;N25),INDIRECT($D$42&amp;M25)),"")</f>
        <v/>
      </c>
      <c r="N21" s="507"/>
      <c r="O21" s="508"/>
      <c r="P21" s="506" t="str">
        <f t="shared" ref="P21" ca="1" si="77">IFERROR(IF(R25="ターム",INDIRECT($D$42&amp;P25)&amp;CHAR(10)&amp;INDIRECT($D$42&amp;Q25),INDIRECT($D$42&amp;P25)),"")</f>
        <v/>
      </c>
      <c r="Q21" s="507"/>
      <c r="R21" s="508"/>
      <c r="S21" s="72"/>
      <c r="T21" s="506" t="str">
        <f t="shared" ref="T21" ca="1" si="78">IFERROR(IF(V25="ターム",INDIRECT($D$42&amp;T25)&amp;CHAR(10)&amp;INDIRECT($D$42&amp;U25),INDIRECT($D$42&amp;T25)),"")</f>
        <v/>
      </c>
      <c r="U21" s="507"/>
      <c r="V21" s="508"/>
      <c r="W21" s="506" t="str">
        <f t="shared" ref="W21" ca="1" si="79">IFERROR(IF(Y25="ターム",INDIRECT($D$42&amp;W25)&amp;CHAR(10)&amp;INDIRECT($D$42&amp;X25),INDIRECT($D$42&amp;W25)),"")</f>
        <v/>
      </c>
      <c r="X21" s="507"/>
      <c r="Y21" s="508"/>
      <c r="Z21" s="72"/>
      <c r="AA21" s="72"/>
      <c r="AB21" s="72"/>
      <c r="AC21" s="72"/>
      <c r="AD21" s="72"/>
      <c r="AE21" s="113"/>
      <c r="AF21" s="113"/>
      <c r="AG21" s="113"/>
      <c r="AH21" s="358"/>
      <c r="AI21" s="72"/>
    </row>
    <row r="22" spans="1:35" s="278" customFormat="1" ht="18.95" customHeight="1" thickBot="1" x14ac:dyDescent="0.45">
      <c r="A22" s="72"/>
      <c r="B22" s="516"/>
      <c r="C22" s="517"/>
      <c r="D22" s="509"/>
      <c r="E22" s="510"/>
      <c r="F22" s="511"/>
      <c r="G22" s="509"/>
      <c r="H22" s="510"/>
      <c r="I22" s="511"/>
      <c r="J22" s="509"/>
      <c r="K22" s="510"/>
      <c r="L22" s="511"/>
      <c r="M22" s="509"/>
      <c r="N22" s="510"/>
      <c r="O22" s="511"/>
      <c r="P22" s="509"/>
      <c r="Q22" s="510"/>
      <c r="R22" s="511"/>
      <c r="S22" s="72"/>
      <c r="T22" s="509"/>
      <c r="U22" s="510"/>
      <c r="V22" s="511"/>
      <c r="W22" s="509"/>
      <c r="X22" s="510"/>
      <c r="Y22" s="511"/>
      <c r="Z22" s="72"/>
      <c r="AA22" s="72"/>
      <c r="AB22" s="72"/>
      <c r="AC22" s="72"/>
      <c r="AD22" s="72"/>
      <c r="AE22" s="113"/>
      <c r="AF22" s="113"/>
      <c r="AG22" s="113"/>
      <c r="AH22" s="358"/>
      <c r="AI22" s="72"/>
    </row>
    <row r="23" spans="1:35" s="279" customFormat="1" ht="18.95" customHeight="1" x14ac:dyDescent="0.4">
      <c r="A23" s="114"/>
      <c r="B23" s="518"/>
      <c r="C23" s="519"/>
      <c r="D23" s="509"/>
      <c r="E23" s="510"/>
      <c r="F23" s="511"/>
      <c r="G23" s="509"/>
      <c r="H23" s="510"/>
      <c r="I23" s="511"/>
      <c r="J23" s="509"/>
      <c r="K23" s="510"/>
      <c r="L23" s="511"/>
      <c r="M23" s="509"/>
      <c r="N23" s="510"/>
      <c r="O23" s="511"/>
      <c r="P23" s="509"/>
      <c r="Q23" s="510"/>
      <c r="R23" s="511"/>
      <c r="S23" s="114"/>
      <c r="T23" s="509"/>
      <c r="U23" s="510"/>
      <c r="V23" s="511"/>
      <c r="W23" s="509"/>
      <c r="X23" s="510"/>
      <c r="Y23" s="511"/>
      <c r="Z23" s="114"/>
      <c r="AA23" s="512" t="s">
        <v>998</v>
      </c>
      <c r="AB23" s="513"/>
      <c r="AC23" s="114"/>
      <c r="AD23" s="114"/>
      <c r="AE23" s="115"/>
      <c r="AF23" s="115"/>
      <c r="AG23" s="115"/>
      <c r="AH23" s="359"/>
      <c r="AI23" s="114"/>
    </row>
    <row r="24" spans="1:35" s="279" customFormat="1" ht="18.95" customHeight="1" thickBot="1" x14ac:dyDescent="0.45">
      <c r="A24" s="114"/>
      <c r="B24" s="495" t="s">
        <v>985</v>
      </c>
      <c r="C24" s="496"/>
      <c r="D24" s="497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8"/>
      <c r="F24" s="499"/>
      <c r="G24" s="497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8"/>
      <c r="I24" s="499"/>
      <c r="J24" s="497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8"/>
      <c r="L24" s="499"/>
      <c r="M24" s="497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8"/>
      <c r="O24" s="499"/>
      <c r="P24" s="497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8"/>
      <c r="R24" s="499"/>
      <c r="S24" s="114"/>
      <c r="T24" s="497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8"/>
      <c r="V24" s="499"/>
      <c r="W24" s="497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8"/>
      <c r="Y24" s="499"/>
      <c r="Z24" s="114"/>
      <c r="AA24" s="491">
        <f ca="1">SUM(INDIRECT($M$42&amp;$AF$39&amp;":"&amp;$M$42&amp;$AF$40))</f>
        <v>0</v>
      </c>
      <c r="AB24" s="492"/>
      <c r="AC24" s="114"/>
      <c r="AD24" s="114"/>
      <c r="AE24" s="115"/>
      <c r="AF24" s="115"/>
      <c r="AG24" s="115"/>
      <c r="AH24" s="359"/>
      <c r="AI24" s="114"/>
    </row>
    <row r="25" spans="1:35" s="278" customFormat="1" ht="18.95" hidden="1" customHeight="1" thickBot="1" x14ac:dyDescent="0.45">
      <c r="A25" s="72"/>
      <c r="B25" s="116" t="s">
        <v>2180</v>
      </c>
      <c r="C25" s="117" t="s">
        <v>2181</v>
      </c>
      <c r="D25" s="209" t="str">
        <f t="shared" ref="D25" ca="1" si="85">IFERROR($AF$39+MATCH("*"&amp;D$5&amp;$B21&amp;"-1"&amp;"*",INDIRECT("$"&amp;$W$42&amp;$AF$39&amp;":"&amp;$W$42&amp;$AF$40),0)-1,"ー")</f>
        <v>ー</v>
      </c>
      <c r="E25" s="216" t="str">
        <f t="shared" ref="E25" ca="1" si="86">IFERROR($AF$39+MATCH("*"&amp;D$5&amp;$B21&amp;"-2"&amp;"*",INDIRECT("$"&amp;$W$42&amp;$AF$39&amp;":"&amp;$W$42&amp;$AF$40),0)-1,"ー")</f>
        <v>ー</v>
      </c>
      <c r="F25" s="210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209" t="str">
        <f t="shared" ref="G25:P25" ca="1" si="88">IFERROR($AF$39+MATCH("*"&amp;G$5&amp;$B21&amp;"-1"&amp;"*",INDIRECT("$"&amp;$W$42&amp;$AF$39&amp;":"&amp;$W$42&amp;$AF$40),0)-1,"ー")</f>
        <v>ー</v>
      </c>
      <c r="H25" s="216" t="str">
        <f t="shared" ref="H25:Q25" ca="1" si="89">IFERROR($AF$39+MATCH("*"&amp;G$5&amp;$B21&amp;"-2"&amp;"*",INDIRECT("$"&amp;$W$42&amp;$AF$39&amp;":"&amp;$W$42&amp;$AF$40),0)-1,"ー")</f>
        <v>ー</v>
      </c>
      <c r="I25" s="210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209" t="str">
        <f t="shared" ca="1" si="88"/>
        <v>ー</v>
      </c>
      <c r="K25" s="216" t="str">
        <f t="shared" ca="1" si="89"/>
        <v>ー</v>
      </c>
      <c r="L25" s="210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209" t="str">
        <f t="shared" ca="1" si="88"/>
        <v>ー</v>
      </c>
      <c r="N25" s="216" t="str">
        <f t="shared" ca="1" si="89"/>
        <v>ー</v>
      </c>
      <c r="O25" s="210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209" t="str">
        <f t="shared" ca="1" si="88"/>
        <v>ー</v>
      </c>
      <c r="Q25" s="216" t="str">
        <f t="shared" ca="1" si="89"/>
        <v>ー</v>
      </c>
      <c r="R25" s="210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72"/>
      <c r="T25" s="209" t="str">
        <f t="shared" ref="T25" ca="1" si="94">IFERROR($AF$39+MATCH(T$5&amp;"-"&amp;$B21,INDIRECT("$"&amp;$W$42&amp;$AF$39&amp;":"&amp;$W$42&amp;$AF$40),0)-1,"ー")</f>
        <v>ー</v>
      </c>
      <c r="U25" s="216" t="str">
        <f t="shared" ref="U25" ca="1" si="95">IFERROR($AF$39+MATCH(T$5&amp;"-"&amp;(VALUE($B21)+5),INDIRECT("$"&amp;$W$42&amp;$AF$39&amp;":"&amp;$W$42&amp;$AF$40),0)-1,"ー")</f>
        <v>ー</v>
      </c>
      <c r="V25" s="210" t="str">
        <f t="shared" ref="V25" ca="1" si="96">IF(U25="ー",
"重複なし",
IF(AND(T25&lt;&gt;"ー",U25&lt;&gt;"ー"),"ターム","重複あり")
)</f>
        <v>重複なし</v>
      </c>
      <c r="W25" s="209" t="str">
        <f t="shared" ref="W25" ca="1" si="97">IFERROR($AF$39+MATCH(W$5&amp;"-"&amp;$B21,INDIRECT("$"&amp;$W$42&amp;$AF$39&amp;":"&amp;$W$42&amp;$AF$40),0)-1,"ー")</f>
        <v>ー</v>
      </c>
      <c r="X25" s="216" t="str">
        <f t="shared" ref="X25" ca="1" si="98">IFERROR($AF$39+MATCH(W$5&amp;"-"&amp;(VALUE($B21)+5),INDIRECT("$"&amp;$W$42&amp;$AF$39&amp;":"&amp;$W$42&amp;$AF$40),0)-1,"ー")</f>
        <v>ー</v>
      </c>
      <c r="Y25" s="210" t="str">
        <f t="shared" ref="Y25" ca="1" si="99">IF(X25="ー",
"重複なし",
IF(AND(W25&lt;&gt;"ー",X25&lt;&gt;"ー"),"ターム","重複あり")
)</f>
        <v>重複なし</v>
      </c>
      <c r="Z25" s="72"/>
      <c r="AA25" s="491"/>
      <c r="AB25" s="492"/>
      <c r="AC25" s="72"/>
      <c r="AD25" s="72"/>
      <c r="AE25" s="113"/>
      <c r="AF25" s="113"/>
      <c r="AG25" s="113"/>
      <c r="AH25" s="358"/>
      <c r="AI25" s="72"/>
    </row>
    <row r="26" spans="1:35" s="279" customFormat="1" ht="18.95" customHeight="1" thickBot="1" x14ac:dyDescent="0.45">
      <c r="A26" s="114"/>
      <c r="B26" s="500">
        <v>5</v>
      </c>
      <c r="C26" s="501"/>
      <c r="D26" s="506" t="str">
        <f t="shared" ref="D26" ca="1" si="100">IFERROR(IF(F30="ターム",INDIRECT($D$42&amp;D30)&amp;CHAR(10)&amp;INDIRECT($D$42&amp;E30),INDIRECT($D$42&amp;D30)),"")</f>
        <v/>
      </c>
      <c r="E26" s="507"/>
      <c r="F26" s="508"/>
      <c r="G26" s="506" t="str">
        <f t="shared" ref="G26" ca="1" si="101">IFERROR(IF(I30="ターム",INDIRECT($D$42&amp;G30)&amp;CHAR(10)&amp;INDIRECT($D$42&amp;H30),INDIRECT($D$42&amp;G30)),"")</f>
        <v/>
      </c>
      <c r="H26" s="507"/>
      <c r="I26" s="508"/>
      <c r="J26" s="506" t="str">
        <f t="shared" ref="J26" ca="1" si="102">IFERROR(IF(L30="ターム",INDIRECT($D$42&amp;J30)&amp;CHAR(10)&amp;INDIRECT($D$42&amp;K30),INDIRECT($D$42&amp;J30)),"")</f>
        <v/>
      </c>
      <c r="K26" s="507"/>
      <c r="L26" s="508"/>
      <c r="M26" s="506" t="str">
        <f t="shared" ref="M26" ca="1" si="103">IFERROR(IF(O30="ターム",INDIRECT($D$42&amp;M30)&amp;CHAR(10)&amp;INDIRECT($D$42&amp;N30),INDIRECT($D$42&amp;M30)),"")</f>
        <v/>
      </c>
      <c r="N26" s="507"/>
      <c r="O26" s="508"/>
      <c r="P26" s="506" t="str">
        <f t="shared" ref="P26" ca="1" si="104">IFERROR(IF(R30="ターム",INDIRECT($D$42&amp;P30)&amp;CHAR(10)&amp;INDIRECT($D$42&amp;Q30),INDIRECT($D$42&amp;P30)),"")</f>
        <v/>
      </c>
      <c r="Q26" s="507"/>
      <c r="R26" s="508"/>
      <c r="S26" s="114"/>
      <c r="T26" s="506" t="str">
        <f t="shared" ref="T26" ca="1" si="105">IFERROR(IF(V30="ターム",INDIRECT($D$42&amp;T30)&amp;CHAR(10)&amp;INDIRECT($D$42&amp;U30),INDIRECT($D$42&amp;T30)),"")</f>
        <v/>
      </c>
      <c r="U26" s="507"/>
      <c r="V26" s="508"/>
      <c r="W26" s="506" t="str">
        <f t="shared" ref="W26" ca="1" si="106">IFERROR(IF(Y30="ターム",INDIRECT($D$42&amp;W30)&amp;CHAR(10)&amp;INDIRECT($D$42&amp;X30),INDIRECT($D$42&amp;W30)),"")</f>
        <v/>
      </c>
      <c r="X26" s="507"/>
      <c r="Y26" s="508"/>
      <c r="Z26" s="114"/>
      <c r="AA26" s="493"/>
      <c r="AB26" s="494"/>
      <c r="AC26" s="114"/>
      <c r="AD26" s="114"/>
      <c r="AE26" s="115"/>
      <c r="AF26" s="115"/>
      <c r="AG26" s="115"/>
      <c r="AH26" s="359"/>
      <c r="AI26" s="114"/>
    </row>
    <row r="27" spans="1:35" s="279" customFormat="1" ht="18.95" customHeight="1" x14ac:dyDescent="0.4">
      <c r="A27" s="114"/>
      <c r="B27" s="502"/>
      <c r="C27" s="503"/>
      <c r="D27" s="509"/>
      <c r="E27" s="510"/>
      <c r="F27" s="511"/>
      <c r="G27" s="509"/>
      <c r="H27" s="510"/>
      <c r="I27" s="511"/>
      <c r="J27" s="509"/>
      <c r="K27" s="510"/>
      <c r="L27" s="511"/>
      <c r="M27" s="509"/>
      <c r="N27" s="510"/>
      <c r="O27" s="511"/>
      <c r="P27" s="509"/>
      <c r="Q27" s="510"/>
      <c r="R27" s="511"/>
      <c r="S27" s="114"/>
      <c r="T27" s="509"/>
      <c r="U27" s="510"/>
      <c r="V27" s="511"/>
      <c r="W27" s="509"/>
      <c r="X27" s="510"/>
      <c r="Y27" s="511"/>
      <c r="Z27" s="114"/>
      <c r="AA27" s="489" t="s">
        <v>999</v>
      </c>
      <c r="AB27" s="490"/>
      <c r="AC27" s="114"/>
      <c r="AD27" s="114"/>
      <c r="AE27" s="115"/>
      <c r="AF27" s="115"/>
      <c r="AG27" s="115"/>
      <c r="AH27" s="359"/>
      <c r="AI27" s="114"/>
    </row>
    <row r="28" spans="1:35" s="277" customFormat="1" ht="18.75" customHeight="1" x14ac:dyDescent="0.4">
      <c r="A28" s="68"/>
      <c r="B28" s="504"/>
      <c r="C28" s="505"/>
      <c r="D28" s="509"/>
      <c r="E28" s="510"/>
      <c r="F28" s="511"/>
      <c r="G28" s="509"/>
      <c r="H28" s="510"/>
      <c r="I28" s="511"/>
      <c r="J28" s="509"/>
      <c r="K28" s="510"/>
      <c r="L28" s="511"/>
      <c r="M28" s="509"/>
      <c r="N28" s="510"/>
      <c r="O28" s="511"/>
      <c r="P28" s="509"/>
      <c r="Q28" s="510"/>
      <c r="R28" s="511"/>
      <c r="S28" s="68"/>
      <c r="T28" s="509"/>
      <c r="U28" s="510"/>
      <c r="V28" s="511"/>
      <c r="W28" s="509"/>
      <c r="X28" s="510"/>
      <c r="Y28" s="511"/>
      <c r="Z28" s="68"/>
      <c r="AA28" s="491">
        <f ca="1">SUMIF(INDIRECT($N$42&amp;$AF$39&amp;":"&amp;$N$42&amp;$AF$40),"??",INDIRECT($M$42&amp;$AF$39&amp;":"&amp;$M$42&amp;$AF$40))</f>
        <v>0</v>
      </c>
      <c r="AB28" s="492"/>
      <c r="AC28" s="68"/>
      <c r="AD28" s="68"/>
      <c r="AE28" s="112"/>
      <c r="AF28" s="112"/>
      <c r="AG28" s="112"/>
      <c r="AH28" s="119"/>
      <c r="AI28" s="68"/>
    </row>
    <row r="29" spans="1:35" s="277" customFormat="1" ht="19.5" thickBot="1" x14ac:dyDescent="0.45">
      <c r="A29" s="68"/>
      <c r="B29" s="495" t="s">
        <v>986</v>
      </c>
      <c r="C29" s="496"/>
      <c r="D29" s="497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8"/>
      <c r="F29" s="499"/>
      <c r="G29" s="497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8"/>
      <c r="I29" s="499"/>
      <c r="J29" s="497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8"/>
      <c r="L29" s="499"/>
      <c r="M29" s="497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8"/>
      <c r="O29" s="499"/>
      <c r="P29" s="497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8"/>
      <c r="R29" s="499"/>
      <c r="S29" s="68"/>
      <c r="T29" s="497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8"/>
      <c r="V29" s="499"/>
      <c r="W29" s="497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8"/>
      <c r="Y29" s="499"/>
      <c r="Z29" s="68"/>
      <c r="AA29" s="493"/>
      <c r="AB29" s="494"/>
      <c r="AC29" s="68"/>
      <c r="AD29" s="68"/>
      <c r="AE29" s="112"/>
      <c r="AF29" s="112"/>
      <c r="AG29" s="112"/>
      <c r="AH29" s="119"/>
      <c r="AI29" s="68"/>
    </row>
    <row r="30" spans="1:35" s="278" customFormat="1" ht="19.5" hidden="1" thickBot="1" x14ac:dyDescent="0.45">
      <c r="A30" s="72"/>
      <c r="B30" s="116" t="s">
        <v>2180</v>
      </c>
      <c r="C30" s="117" t="s">
        <v>2181</v>
      </c>
      <c r="D30" s="207" t="str">
        <f t="shared" ref="D30" ca="1" si="112">IFERROR($AF$39+MATCH("*"&amp;D$5&amp;$B26&amp;"-1"&amp;"*",INDIRECT("$"&amp;$W$42&amp;$AF$39&amp;":"&amp;$W$42&amp;$AF$40),0)-1,"ー")</f>
        <v>ー</v>
      </c>
      <c r="E30" s="217" t="str">
        <f t="shared" ref="E30" ca="1" si="113">IFERROR($AF$39+MATCH("*"&amp;D$5&amp;$B26&amp;"-2"&amp;"*",INDIRECT("$"&amp;$W$42&amp;$AF$39&amp;":"&amp;$W$42&amp;$AF$40),0)-1,"ー")</f>
        <v>ー</v>
      </c>
      <c r="F30" s="208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207" t="str">
        <f t="shared" ref="G30:P30" ca="1" si="115">IFERROR($AF$39+MATCH("*"&amp;G$5&amp;$B26&amp;"-1"&amp;"*",INDIRECT("$"&amp;$W$42&amp;$AF$39&amp;":"&amp;$W$42&amp;$AF$40),0)-1,"ー")</f>
        <v>ー</v>
      </c>
      <c r="H30" s="217" t="str">
        <f t="shared" ref="H30:Q30" ca="1" si="116">IFERROR($AF$39+MATCH("*"&amp;G$5&amp;$B26&amp;"-2"&amp;"*",INDIRECT("$"&amp;$W$42&amp;$AF$39&amp;":"&amp;$W$42&amp;$AF$40),0)-1,"ー")</f>
        <v>ー</v>
      </c>
      <c r="I30" s="208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207" t="str">
        <f t="shared" ca="1" si="115"/>
        <v>ー</v>
      </c>
      <c r="K30" s="217" t="str">
        <f t="shared" ca="1" si="116"/>
        <v>ー</v>
      </c>
      <c r="L30" s="208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207" t="str">
        <f t="shared" ca="1" si="115"/>
        <v>ー</v>
      </c>
      <c r="N30" s="217" t="str">
        <f t="shared" ca="1" si="116"/>
        <v>ー</v>
      </c>
      <c r="O30" s="208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207" t="str">
        <f t="shared" ca="1" si="115"/>
        <v>ー</v>
      </c>
      <c r="Q30" s="217" t="str">
        <f t="shared" ca="1" si="116"/>
        <v>ー</v>
      </c>
      <c r="R30" s="208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72"/>
      <c r="T30" s="207" t="str">
        <f t="shared" ref="T30" ca="1" si="121">IFERROR($AF$39+MATCH(T$5&amp;"-"&amp;$B26,INDIRECT("$"&amp;$W$42&amp;$AF$39&amp;":"&amp;$W$42&amp;$AF$40),0)-1,"ー")</f>
        <v>ー</v>
      </c>
      <c r="U30" s="217" t="str">
        <f t="shared" ref="U30" ca="1" si="122">IFERROR($AF$39+MATCH(T$5&amp;"-"&amp;(VALUE($B26)+5),INDIRECT("$"&amp;$W$42&amp;$AF$39&amp;":"&amp;$W$42&amp;$AF$40),0)-1,"ー")</f>
        <v>ー</v>
      </c>
      <c r="V30" s="208" t="str">
        <f t="shared" ref="V30" ca="1" si="123">IF(U30="ー",
"重複なし",
IF(AND(T30&lt;&gt;"ー",U30&lt;&gt;"ー"),"ターム","重複あり")
)</f>
        <v>重複なし</v>
      </c>
      <c r="W30" s="207" t="str">
        <f t="shared" ref="W30" ca="1" si="124">IFERROR($AF$39+MATCH(W$5&amp;"-"&amp;$B26,INDIRECT("$"&amp;$W$42&amp;$AF$39&amp;":"&amp;$W$42&amp;$AF$40),0)-1,"ー")</f>
        <v>ー</v>
      </c>
      <c r="X30" s="217" t="str">
        <f t="shared" ref="X30" ca="1" si="125">IFERROR($AF$39+MATCH(W$5&amp;"-"&amp;(VALUE($B26)+5),INDIRECT("$"&amp;$W$42&amp;$AF$39&amp;":"&amp;$W$42&amp;$AF$40),0)-1,"ー")</f>
        <v>ー</v>
      </c>
      <c r="Y30" s="208" t="str">
        <f t="shared" ref="Y30" ca="1" si="126">IF(X30="ー",
"重複なし",
IF(AND(W30&lt;&gt;"ー",X30&lt;&gt;"ー"),"ターム","重複あり")
)</f>
        <v>重複なし</v>
      </c>
      <c r="Z30" s="72"/>
      <c r="AA30" s="72"/>
      <c r="AB30" s="72"/>
      <c r="AC30" s="72"/>
      <c r="AD30" s="72"/>
      <c r="AE30" s="113"/>
      <c r="AF30" s="113"/>
      <c r="AG30" s="113"/>
      <c r="AH30" s="358"/>
      <c r="AI30" s="72"/>
    </row>
    <row r="31" spans="1:35" s="277" customFormat="1" ht="18.75" x14ac:dyDescent="0.4">
      <c r="A31" s="68"/>
      <c r="B31" s="68"/>
      <c r="C31" s="68"/>
      <c r="D31" s="70"/>
      <c r="E31" s="70"/>
      <c r="F31" s="70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112"/>
      <c r="AF31" s="112"/>
      <c r="AG31" s="112"/>
      <c r="AH31" s="119"/>
      <c r="AI31" s="68"/>
    </row>
    <row r="32" spans="1:35" s="277" customFormat="1" ht="18.75" x14ac:dyDescent="0.4">
      <c r="A32" s="68"/>
      <c r="B32" s="68"/>
      <c r="C32" s="68"/>
      <c r="D32" s="70"/>
      <c r="E32" s="70"/>
      <c r="F32" s="70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112"/>
      <c r="AF32" s="112"/>
      <c r="AG32" s="112"/>
      <c r="AH32" s="119"/>
      <c r="AI32" s="68"/>
    </row>
    <row r="33" spans="1:35" s="277" customFormat="1" ht="30" x14ac:dyDescent="0.4">
      <c r="A33" s="68"/>
      <c r="B33" s="479" t="str">
        <f ca="1">"　"&amp;RIGHT(CELL("filename",A1),LEN(CELL("filename",A1))-FIND("]",CELL("filename",A1)))&amp;"　単位表"</f>
        <v>　先取履修　単位表</v>
      </c>
      <c r="C33" s="479"/>
      <c r="D33" s="479"/>
      <c r="E33" s="479"/>
      <c r="F33" s="479"/>
      <c r="G33" s="479"/>
      <c r="H33" s="479"/>
      <c r="I33" s="479"/>
      <c r="J33" s="479"/>
      <c r="K33" s="479"/>
      <c r="L33" s="479"/>
      <c r="M33" s="479"/>
      <c r="N33" s="479"/>
      <c r="O33" s="479"/>
      <c r="P33" s="479"/>
      <c r="Q33" s="479"/>
      <c r="R33" s="479"/>
      <c r="S33" s="479"/>
      <c r="T33" s="479"/>
      <c r="U33" s="479"/>
      <c r="V33" s="479"/>
      <c r="W33" s="479"/>
      <c r="X33" s="479"/>
      <c r="Y33" s="479"/>
      <c r="Z33" s="479"/>
      <c r="AA33" s="479"/>
      <c r="AB33" s="479"/>
      <c r="AC33" s="479"/>
      <c r="AD33" s="479"/>
      <c r="AE33" s="112"/>
      <c r="AF33" s="112"/>
      <c r="AG33" s="112"/>
      <c r="AH33" s="119"/>
      <c r="AI33" s="68"/>
    </row>
    <row r="34" spans="1:35" s="276" customFormat="1" ht="18" customHeight="1" x14ac:dyDescent="0.4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211"/>
      <c r="AB34" s="211" t="s">
        <v>707</v>
      </c>
      <c r="AC34" s="480">
        <f ca="1">NOW()</f>
        <v>43958.619198726854</v>
      </c>
      <c r="AD34" s="480"/>
      <c r="AE34" s="119"/>
      <c r="AF34" s="119"/>
      <c r="AG34" s="119"/>
      <c r="AH34" s="119"/>
      <c r="AI34" s="70"/>
    </row>
    <row r="35" spans="1:35" ht="19.5" thickBot="1" x14ac:dyDescent="0.45"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120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121"/>
      <c r="AF35" s="121"/>
      <c r="AG35" s="121"/>
      <c r="AH35" s="121"/>
    </row>
    <row r="36" spans="1:35" ht="19.5" thickBot="1" x14ac:dyDescent="0.45">
      <c r="B36" s="481">
        <v>2019</v>
      </c>
      <c r="C36" s="482"/>
      <c r="D36" s="280" t="s">
        <v>970</v>
      </c>
      <c r="E36" s="482" t="s">
        <v>979</v>
      </c>
      <c r="F36" s="482"/>
      <c r="G36" s="281" t="s">
        <v>978</v>
      </c>
      <c r="H36" s="483"/>
      <c r="I36" s="483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121"/>
      <c r="AF36" s="121"/>
      <c r="AG36" s="121"/>
      <c r="AH36" s="121"/>
    </row>
    <row r="37" spans="1:35" ht="19.5" thickBot="1" x14ac:dyDescent="0.45">
      <c r="B37" s="484" t="s">
        <v>967</v>
      </c>
      <c r="C37" s="485"/>
      <c r="D37" s="485"/>
      <c r="E37" s="485"/>
      <c r="F37" s="485"/>
      <c r="G37" s="485"/>
      <c r="H37" s="485"/>
      <c r="I37" s="485"/>
      <c r="J37" s="485"/>
      <c r="K37" s="485"/>
      <c r="L37" s="485"/>
      <c r="M37" s="485"/>
      <c r="N37" s="485"/>
      <c r="O37" s="485"/>
      <c r="P37" s="485"/>
      <c r="Q37" s="485"/>
      <c r="R37" s="485"/>
      <c r="S37" s="485"/>
      <c r="T37" s="485"/>
      <c r="U37" s="485"/>
      <c r="V37" s="486" t="s">
        <v>968</v>
      </c>
      <c r="W37" s="487"/>
      <c r="X37" s="487"/>
      <c r="Y37" s="487"/>
      <c r="Z37" s="487"/>
      <c r="AA37" s="487"/>
      <c r="AB37" s="487"/>
      <c r="AC37" s="487"/>
      <c r="AD37" s="488"/>
      <c r="AE37" s="472" t="s">
        <v>993</v>
      </c>
      <c r="AF37" s="473"/>
      <c r="AG37" s="473"/>
      <c r="AH37" s="474"/>
    </row>
    <row r="38" spans="1:35" ht="19.5" hidden="1" thickBot="1" x14ac:dyDescent="0.45">
      <c r="B38" s="434" t="s">
        <v>2174</v>
      </c>
      <c r="C38" s="435"/>
      <c r="D38" s="475" t="str">
        <f>$E$36</f>
        <v>秋</v>
      </c>
      <c r="E38" s="476"/>
      <c r="F38" s="477" t="str">
        <f>IF($D$38="春","第１ターム",IF($D$38="秋","第４ターム",""))</f>
        <v>第４ターム</v>
      </c>
      <c r="G38" s="477"/>
      <c r="H38" s="477" t="str">
        <f>IF($D$38="春","第２ターム",IF($D$38="秋","第５ターム",""))</f>
        <v>第５ターム</v>
      </c>
      <c r="I38" s="478"/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460"/>
      <c r="U38" s="460"/>
      <c r="V38" s="460"/>
      <c r="W38" s="460"/>
      <c r="X38" s="460"/>
      <c r="Y38" s="460"/>
      <c r="Z38" s="460"/>
      <c r="AA38" s="460"/>
      <c r="AB38" s="460"/>
      <c r="AC38" s="460"/>
      <c r="AD38" s="460"/>
      <c r="AE38" s="298"/>
      <c r="AF38" s="298"/>
      <c r="AG38" s="298"/>
      <c r="AH38" s="298"/>
    </row>
    <row r="39" spans="1:35" ht="18.600000000000001" hidden="1" customHeight="1" thickBot="1" x14ac:dyDescent="0.45">
      <c r="B39" s="432" t="s">
        <v>977</v>
      </c>
      <c r="C39" s="461"/>
      <c r="D39" s="464" t="s">
        <v>970</v>
      </c>
      <c r="E39" s="465"/>
      <c r="F39" s="466">
        <f>$B$36</f>
        <v>2019</v>
      </c>
      <c r="G39" s="467"/>
      <c r="H39" s="468" t="s">
        <v>971</v>
      </c>
      <c r="I39" s="469"/>
      <c r="J39" s="470" t="s">
        <v>972</v>
      </c>
      <c r="K39" s="471"/>
      <c r="L39" s="450" t="s">
        <v>58</v>
      </c>
      <c r="M39" s="450"/>
      <c r="N39" s="451" t="s">
        <v>973</v>
      </c>
      <c r="O39" s="452"/>
      <c r="P39" s="448" t="s">
        <v>975</v>
      </c>
      <c r="Q39" s="453"/>
      <c r="R39" s="454" t="s">
        <v>974</v>
      </c>
      <c r="S39" s="455"/>
      <c r="T39" s="456" t="s">
        <v>972</v>
      </c>
      <c r="U39" s="457"/>
      <c r="V39" s="458" t="s">
        <v>500</v>
      </c>
      <c r="W39" s="459"/>
      <c r="X39" s="440" t="s">
        <v>973</v>
      </c>
      <c r="Y39" s="441"/>
      <c r="Z39" s="442" t="s">
        <v>976</v>
      </c>
      <c r="AA39" s="443"/>
      <c r="AB39" s="282"/>
      <c r="AC39" s="282"/>
      <c r="AD39" s="282"/>
      <c r="AE39" s="360" t="s">
        <v>994</v>
      </c>
      <c r="AF39" s="122">
        <f>ROW(AE43)+1</f>
        <v>44</v>
      </c>
      <c r="AG39" s="298"/>
      <c r="AH39" s="298"/>
    </row>
    <row r="40" spans="1:35" ht="19.5" hidden="1" thickBot="1" x14ac:dyDescent="0.45">
      <c r="B40" s="462"/>
      <c r="C40" s="463"/>
      <c r="D40" s="444" t="s">
        <v>969</v>
      </c>
      <c r="E40" s="445"/>
      <c r="F40" s="446">
        <v>3</v>
      </c>
      <c r="G40" s="447"/>
      <c r="H40" s="448">
        <v>2</v>
      </c>
      <c r="I40" s="447"/>
      <c r="J40" s="448">
        <v>2</v>
      </c>
      <c r="K40" s="447"/>
      <c r="L40" s="448">
        <v>3</v>
      </c>
      <c r="M40" s="447"/>
      <c r="N40" s="297">
        <v>7</v>
      </c>
      <c r="O40" s="297">
        <v>8</v>
      </c>
      <c r="P40" s="297">
        <v>10</v>
      </c>
      <c r="Q40" s="448">
        <v>11</v>
      </c>
      <c r="R40" s="447"/>
      <c r="S40" s="297">
        <v>6</v>
      </c>
      <c r="T40" s="297" t="s">
        <v>11</v>
      </c>
      <c r="U40" s="297" t="s">
        <v>11</v>
      </c>
      <c r="V40" s="123">
        <v>12</v>
      </c>
      <c r="W40" s="206">
        <v>4</v>
      </c>
      <c r="X40" s="206">
        <v>5</v>
      </c>
      <c r="Y40" s="206">
        <v>6</v>
      </c>
      <c r="Z40" s="430">
        <v>7</v>
      </c>
      <c r="AA40" s="449"/>
      <c r="AB40" s="430">
        <v>8</v>
      </c>
      <c r="AC40" s="431"/>
      <c r="AD40" s="431"/>
      <c r="AE40" s="361" t="s">
        <v>995</v>
      </c>
      <c r="AF40" s="124">
        <f ca="1">AF39+COUNTA(AF44:AF108)-1</f>
        <v>73</v>
      </c>
      <c r="AG40" s="298"/>
      <c r="AH40" s="298"/>
    </row>
    <row r="41" spans="1:35" ht="19.5" hidden="1" thickBot="1" x14ac:dyDescent="0.45">
      <c r="B41" s="432" t="s">
        <v>1005</v>
      </c>
      <c r="C41" s="433"/>
      <c r="D41" s="196" t="s">
        <v>939</v>
      </c>
      <c r="E41" s="197" t="s">
        <v>941</v>
      </c>
      <c r="F41" s="197" t="s">
        <v>940</v>
      </c>
      <c r="G41" s="197" t="s">
        <v>944</v>
      </c>
      <c r="H41" s="197" t="s">
        <v>954</v>
      </c>
      <c r="I41" s="197" t="s">
        <v>958</v>
      </c>
      <c r="J41" s="197" t="s">
        <v>960</v>
      </c>
      <c r="K41" s="197" t="s">
        <v>957</v>
      </c>
      <c r="L41" s="197" t="s">
        <v>961</v>
      </c>
      <c r="M41" s="197" t="s">
        <v>15</v>
      </c>
      <c r="N41" s="197" t="s">
        <v>9</v>
      </c>
      <c r="O41" s="197" t="s">
        <v>16</v>
      </c>
      <c r="P41" s="198" t="s">
        <v>959</v>
      </c>
      <c r="Q41" s="198" t="s">
        <v>962</v>
      </c>
      <c r="R41" s="198" t="s">
        <v>945</v>
      </c>
      <c r="S41" s="198" t="s">
        <v>946</v>
      </c>
      <c r="T41" s="198" t="s">
        <v>947</v>
      </c>
      <c r="U41" s="198" t="s">
        <v>948</v>
      </c>
      <c r="V41" s="199" t="s">
        <v>996</v>
      </c>
      <c r="W41" s="200" t="s">
        <v>997</v>
      </c>
      <c r="X41" s="195"/>
      <c r="Y41" s="195"/>
      <c r="Z41" s="296"/>
      <c r="AA41" s="296"/>
      <c r="AB41" s="296"/>
      <c r="AC41" s="296"/>
      <c r="AD41" s="296"/>
      <c r="AE41" s="298"/>
      <c r="AF41" s="298"/>
      <c r="AG41" s="298"/>
      <c r="AH41" s="298"/>
    </row>
    <row r="42" spans="1:35" ht="19.5" hidden="1" thickBot="1" x14ac:dyDescent="0.45">
      <c r="B42" s="434"/>
      <c r="C42" s="435"/>
      <c r="D42" s="201" t="str">
        <f>LEFT(ADDRESS(1,COLUMN($B$43),2),FIND("$",ADDRESS(1,COLUMN($B$43),2))-1)</f>
        <v>B</v>
      </c>
      <c r="E42" s="202" t="str">
        <f>LEFT(ADDRESS(1,COLUMN($F$43),2),FIND("$",ADDRESS(1,COLUMN($F$43),2))-1)</f>
        <v>F</v>
      </c>
      <c r="F42" s="203" t="str">
        <f>LEFT(ADDRESS(1,COLUMN($H$43),2),FIND("$",ADDRESS(1,COLUMN($H$43),2))-1)</f>
        <v>H</v>
      </c>
      <c r="G42" s="203" t="str">
        <f>LEFT(ADDRESS(1,COLUMN($J$43),2),FIND("$",ADDRESS(1,COLUMN($J$43),2))-1)</f>
        <v>J</v>
      </c>
      <c r="H42" s="203" t="str">
        <f>LEFT(ADDRESS(1,COLUMN($L$43),2),FIND("$",ADDRESS(1,COLUMN($L$43),2))-1)</f>
        <v>L</v>
      </c>
      <c r="I42" s="203" t="str">
        <f>LEFT(ADDRESS(1,COLUMN($N$43),2),FIND("$",ADDRESS(1,COLUMN($N$43),2))-1)</f>
        <v>N</v>
      </c>
      <c r="J42" s="203" t="str">
        <f>LEFT(ADDRESS(1,COLUMN($O$43),2),FIND("$",ADDRESS(1,COLUMN($O$43),2))-1)</f>
        <v>O</v>
      </c>
      <c r="K42" s="203" t="str">
        <f>LEFT(ADDRESS(1,COLUMN($P$43),2),FIND("$",ADDRESS(1,COLUMN($P$43),2))-1)</f>
        <v>P</v>
      </c>
      <c r="L42" s="203" t="str">
        <f>LEFT(ADDRESS(1,COLUMN($Q$43),2),FIND("$",ADDRESS(1,COLUMN($Q$43),2))-1)</f>
        <v>Q</v>
      </c>
      <c r="M42" s="202" t="str">
        <f>LEFT(ADDRESS(1,COLUMN($S$43),2),FIND("$",ADDRESS(1,COLUMN($S$43),2))-1)</f>
        <v>S</v>
      </c>
      <c r="N42" s="202" t="str">
        <f>LEFT(ADDRESS(1,COLUMN($T$43),2),FIND("$",ADDRESS(1,COLUMN($T$43),2))-1)</f>
        <v>T</v>
      </c>
      <c r="O42" s="202" t="str">
        <f>LEFT(ADDRESS(1,COLUMN($U$43),2),FIND("$",ADDRESS(1,COLUMN($U$43),2))-1)</f>
        <v>U</v>
      </c>
      <c r="P42" s="204" t="str">
        <f>LEFT(ADDRESS(1,COLUMN($V$43),2),FIND("$",ADDRESS(1,COLUMN($V$43),2))-1)</f>
        <v>V</v>
      </c>
      <c r="Q42" s="204" t="str">
        <f>LEFT(ADDRESS(1,COLUMN($W$43),2),FIND("$",ADDRESS(1,COLUMN($W$43),2))-1)</f>
        <v>W</v>
      </c>
      <c r="R42" s="204" t="str">
        <f>LEFT(ADDRESS(1,COLUMN($X$43),2),FIND("$",ADDRESS(1,COLUMN($X$43),2))-1)</f>
        <v>X</v>
      </c>
      <c r="S42" s="204" t="str">
        <f>LEFT(ADDRESS(1,COLUMN($Y$43),2),FIND("$",ADDRESS(1,COLUMN($Y$43),2))-1)</f>
        <v>Y</v>
      </c>
      <c r="T42" s="205" t="str">
        <f>LEFT(ADDRESS(1,COLUMN($Z$43),2),FIND("$",ADDRESS(1,COLUMN($Z$43),2))-1)</f>
        <v>Z</v>
      </c>
      <c r="U42" s="205" t="str">
        <f>LEFT(ADDRESS(1,COLUMN($AB$43),2),FIND("$",ADDRESS(1,COLUMN($AB$43),2))-1)</f>
        <v>AB</v>
      </c>
      <c r="V42" s="125" t="str">
        <f>LEFT(ADDRESS(1,COLUMN($AE$43),2),FIND("$",ADDRESS(1,COLUMN($AE$43),2))-1)</f>
        <v>AE</v>
      </c>
      <c r="W42" s="126" t="str">
        <f>LEFT(ADDRESS(1,COLUMN($AF$43),2),FIND("$",ADDRESS(1,COLUMN($AF$43),2))-1)</f>
        <v>AF</v>
      </c>
      <c r="X42" s="127"/>
      <c r="Y42" s="127"/>
      <c r="Z42" s="296"/>
      <c r="AA42" s="296"/>
      <c r="AB42" s="296"/>
      <c r="AC42" s="296"/>
      <c r="AD42" s="296"/>
      <c r="AE42" s="298"/>
      <c r="AF42" s="298"/>
      <c r="AG42" s="298"/>
      <c r="AH42" s="298"/>
    </row>
    <row r="43" spans="1:35" ht="19.5" thickBot="1" x14ac:dyDescent="0.45">
      <c r="B43" s="436" t="s">
        <v>939</v>
      </c>
      <c r="C43" s="437"/>
      <c r="D43" s="437"/>
      <c r="E43" s="437"/>
      <c r="F43" s="437" t="s">
        <v>941</v>
      </c>
      <c r="G43" s="437"/>
      <c r="H43" s="437" t="s">
        <v>940</v>
      </c>
      <c r="I43" s="437"/>
      <c r="J43" s="437" t="s">
        <v>944</v>
      </c>
      <c r="K43" s="437"/>
      <c r="L43" s="437" t="s">
        <v>954</v>
      </c>
      <c r="M43" s="437"/>
      <c r="N43" s="294" t="s">
        <v>958</v>
      </c>
      <c r="O43" s="294" t="s">
        <v>960</v>
      </c>
      <c r="P43" s="294" t="s">
        <v>957</v>
      </c>
      <c r="Q43" s="437" t="s">
        <v>961</v>
      </c>
      <c r="R43" s="437"/>
      <c r="S43" s="294" t="s">
        <v>15</v>
      </c>
      <c r="T43" s="294" t="s">
        <v>9</v>
      </c>
      <c r="U43" s="189" t="s">
        <v>16</v>
      </c>
      <c r="V43" s="128" t="s">
        <v>959</v>
      </c>
      <c r="W43" s="295" t="s">
        <v>962</v>
      </c>
      <c r="X43" s="295" t="s">
        <v>945</v>
      </c>
      <c r="Y43" s="295" t="s">
        <v>946</v>
      </c>
      <c r="Z43" s="438" t="s">
        <v>947</v>
      </c>
      <c r="AA43" s="438"/>
      <c r="AB43" s="438" t="s">
        <v>948</v>
      </c>
      <c r="AC43" s="438"/>
      <c r="AD43" s="439"/>
      <c r="AE43" s="355" t="s">
        <v>996</v>
      </c>
      <c r="AF43" s="357" t="s">
        <v>997</v>
      </c>
      <c r="AG43" s="357" t="s">
        <v>2179</v>
      </c>
      <c r="AH43" s="356" t="s">
        <v>2508</v>
      </c>
    </row>
    <row r="44" spans="1:35" ht="19.5" thickTop="1" x14ac:dyDescent="0.4">
      <c r="B44" s="424"/>
      <c r="C44" s="425"/>
      <c r="D44" s="425"/>
      <c r="E44" s="425"/>
      <c r="F44" s="410" t="str">
        <f ca="1">IFERROR(VLOOKUP($B44,INDIRECT(CONCATENATE("'",$F$39,$V$39,"'!",$Z$39)),$F$40,FALSE)&amp;"","")</f>
        <v/>
      </c>
      <c r="G44" s="410"/>
      <c r="H44" s="429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429"/>
      <c r="J44" s="410" t="str">
        <f ca="1">IFERROR(VLOOKUP($B44,INDIRECT(CONCATENATE("'",成績管理表!$D$9,$L$39,"'!",$P$39)),$J$40,FALSE)&amp;"","")</f>
        <v/>
      </c>
      <c r="K44" s="410"/>
      <c r="L44" s="410" t="str">
        <f ca="1">IFERROR(VLOOKUP($B44,INDIRECT(CONCATENATE("'",成績管理表!$D$9,$L$39,"'!",$P$39)),$L$40,FALSE)&amp;"","")</f>
        <v/>
      </c>
      <c r="M44" s="410"/>
      <c r="N44" s="292" t="str">
        <f ca="1">IFERROR(VLOOKUP($B44,INDIRECT(CONCATENATE("'",成績管理表!$D$9,$L$39,"'!",$P$39)),$N$40,FALSE)&amp;"","")</f>
        <v/>
      </c>
      <c r="O44" s="292" t="str">
        <f ca="1">IFERROR(VLOOKUP($B44,INDIRECT(CONCATENATE("'",成績管理表!$D$9,$L$39,"'!",$P$39)),$O$40,FALSE)&amp;"","")</f>
        <v/>
      </c>
      <c r="P44" s="292" t="str">
        <f ca="1">IFERROR(VLOOKUP($B44,INDIRECT(CONCATENATE("'",成績管理表!$D$9,$L$39,"'!",$P$39)),$P$40,FALSE)&amp;"","")</f>
        <v/>
      </c>
      <c r="Q44" s="410" t="str">
        <f ca="1">IFERROR(VLOOKUP($B44,INDIRECT(CONCATENATE("'",成績管理表!$D$9,$L$39,"'!",$P$39)),$Q$40,FALSE)&amp;"","")</f>
        <v/>
      </c>
      <c r="R44" s="410"/>
      <c r="S44" s="129" t="str">
        <f ca="1">IFERROR(VLOOKUP($B44,INDIRECT(CONCATENATE("'",成績管理表!$D$9,$L$39,"'!",$P$39)),$S$40,FALSE),"")</f>
        <v/>
      </c>
      <c r="T44" s="110"/>
      <c r="U44" s="190" t="str">
        <f>IF($T44="秀",4.5*$S44,IF($T44="優",4*$S44,IF($T44="良",3*$S44,IF($T44="可",2*$S44,IF($T44="不可",0,"")))))</f>
        <v/>
      </c>
      <c r="V44" s="130" t="str">
        <f ca="1">IFERROR(VLOOKUP($B44,INDIRECT(CONCATENATE("'",成績管理表!$D$9,$L$39,"'!",$P$39)),$V$40,FALSE)&amp;"","")</f>
        <v/>
      </c>
      <c r="W44" s="292" t="str">
        <f ca="1">IFERROR(VLOOKUP($B44,INDIRECT(CONCATENATE("'",$F$39,$V$39,"'!",$Z$39)),$W$40,FALSE)&amp;"","")</f>
        <v/>
      </c>
      <c r="X44" s="292" t="str">
        <f ca="1">IFERROR(VLOOKUP($B44,INDIRECT(CONCATENATE("'",$F$39,$V$39,"'!",$Z$39)),$X$40,FALSE)&amp;"","")</f>
        <v/>
      </c>
      <c r="Y44" s="292" t="str">
        <f ca="1">IFERROR(VLOOKUP($B44,INDIRECT(CONCATENATE("'",$F$39,$V$39,"'!",$Z$39)),$Y$40,FALSE)&amp;"","")</f>
        <v/>
      </c>
      <c r="Z44" s="410" t="str">
        <f ca="1">IFERROR(VLOOKUP($B44,INDIRECT(CONCATENATE("'",$F$39,$V$39,"'!",$Z$39)),$Z$40,FALSE)&amp;"","")</f>
        <v/>
      </c>
      <c r="AA44" s="410"/>
      <c r="AB44" s="411" t="str">
        <f ca="1">IFERROR(VLOOKUP($B44,INDIRECT(CONCATENATE("'",$F$39,$V$39,"'!",$Z$39)),$AB$40,FALSE)&amp;"","")</f>
        <v/>
      </c>
      <c r="AC44" s="411"/>
      <c r="AD44" s="412"/>
      <c r="AE44" s="130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9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92" t="b">
        <f ca="1">OR(OR($W44=$D$38,$W44=$F$38,$W44=$H$38),LEN($W44)=0)</f>
        <v>1</v>
      </c>
      <c r="AH44" s="131" t="b">
        <f ca="1">OR(LEN(AF44)=0,
$AE44="集中講義等",
$AE44="演習",
IF(COUNTIF($AF44,"*/*")=1,COUNTIF($AF44,"*-1*-1*")=1,COUNTIF($AF44,"*-1*")=1)
)</f>
        <v>1</v>
      </c>
      <c r="AI44" s="132"/>
    </row>
    <row r="45" spans="1:35" ht="18.75" x14ac:dyDescent="0.4">
      <c r="B45" s="426"/>
      <c r="C45" s="427"/>
      <c r="D45" s="427"/>
      <c r="E45" s="428"/>
      <c r="F45" s="422" t="str">
        <f t="shared" ref="F45:F73" ca="1" si="127">IFERROR(VLOOKUP($B45,INDIRECT(CONCATENATE("'",$F$39,$V$39,"'!",$Z$39)),$F$40,FALSE)&amp;"","")</f>
        <v/>
      </c>
      <c r="G45" s="422"/>
      <c r="H45" s="42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423"/>
      <c r="J45" s="410" t="str">
        <f ca="1">IFERROR(VLOOKUP($B45,INDIRECT(CONCATENATE("'",成績管理表!$D$9,$L$39,"'!",$P$39)),$J$40,FALSE)&amp;"","")</f>
        <v/>
      </c>
      <c r="K45" s="410"/>
      <c r="L45" s="410" t="str">
        <f ca="1">IFERROR(VLOOKUP($B45,INDIRECT(CONCATENATE("'",成績管理表!$D$9,$L$39,"'!",$P$39)),$L$40,FALSE)&amp;"","")</f>
        <v/>
      </c>
      <c r="M45" s="410"/>
      <c r="N45" s="292" t="str">
        <f ca="1">IFERROR(VLOOKUP($B45,INDIRECT(CONCATENATE("'",成績管理表!$D$9,$L$39,"'!",$P$39)),$N$40,FALSE)&amp;"","")</f>
        <v/>
      </c>
      <c r="O45" s="292" t="str">
        <f ca="1">IFERROR(VLOOKUP($B45,INDIRECT(CONCATENATE("'",成績管理表!$D$9,$L$39,"'!",$P$39)),$O$40,FALSE)&amp;"","")</f>
        <v/>
      </c>
      <c r="P45" s="292" t="str">
        <f ca="1">IFERROR(VLOOKUP($B45,INDIRECT(CONCATENATE("'",成績管理表!$D$9,$L$39,"'!",$P$39)),$P$40,FALSE)&amp;"","")</f>
        <v/>
      </c>
      <c r="Q45" s="410" t="str">
        <f ca="1">IFERROR(VLOOKUP($B45,INDIRECT(CONCATENATE("'",成績管理表!$D$9,$L$39,"'!",$P$39)),$Q$40,FALSE)&amp;"","")</f>
        <v/>
      </c>
      <c r="R45" s="410"/>
      <c r="S45" s="129" t="str">
        <f ca="1">IFERROR(VLOOKUP($B45,INDIRECT(CONCATENATE("'",成績管理表!$D$9,$L$39,"'!",$P$39)),$S$40,FALSE),"")</f>
        <v/>
      </c>
      <c r="T45" s="110"/>
      <c r="U45" s="190" t="str">
        <f t="shared" ref="U45:U73" si="128">IF($T45="秀",4.5*$S45,IF($T45="優",4*$S45,IF($T45="良",3*$S45,IF($T45="可",2*$S45,IF($T45="不可",0,"")))))</f>
        <v/>
      </c>
      <c r="V45" s="130" t="str">
        <f ca="1">IFERROR(VLOOKUP($B45,INDIRECT(CONCATENATE("'",成績管理表!$D$9,$L$39,"'!",$P$39)),$V$40,FALSE)&amp;"","")</f>
        <v/>
      </c>
      <c r="W45" s="292" t="str">
        <f t="shared" ref="W45:W73" ca="1" si="129">IFERROR(VLOOKUP($B45,INDIRECT(CONCATENATE("'",$F$39,$V$39,"'!",$Z$39)),$W$40,FALSE)&amp;"","")</f>
        <v/>
      </c>
      <c r="X45" s="292" t="str">
        <f t="shared" ref="X45:X73" ca="1" si="130">IFERROR(VLOOKUP($B45,INDIRECT(CONCATENATE("'",$F$39,$V$39,"'!",$Z$39)),$X$40,FALSE)&amp;"","")</f>
        <v/>
      </c>
      <c r="Y45" s="292" t="str">
        <f t="shared" ref="Y45:Y73" ca="1" si="131">IFERROR(VLOOKUP($B45,INDIRECT(CONCATENATE("'",$F$39,$V$39,"'!",$Z$39)),$Y$40,FALSE)&amp;"","")</f>
        <v/>
      </c>
      <c r="Z45" s="410" t="str">
        <f t="shared" ref="Z45:Z73" ca="1" si="132">IFERROR(VLOOKUP($B45,INDIRECT(CONCATENATE("'",$F$39,$V$39,"'!",$Z$39)),$Z$40,FALSE)&amp;"","")</f>
        <v/>
      </c>
      <c r="AA45" s="410"/>
      <c r="AB45" s="411" t="str">
        <f t="shared" ref="AB45:AB73" ca="1" si="133">IFERROR(VLOOKUP($B45,INDIRECT(CONCATENATE("'",$F$39,$V$39,"'!",$Z$39)),$AB$40,FALSE)&amp;"","")</f>
        <v/>
      </c>
      <c r="AC45" s="411"/>
      <c r="AD45" s="412"/>
      <c r="AE45" s="273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9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93" t="b">
        <f t="shared" ref="AG45:AG73" ca="1" si="135">OR(OR($W45=$D$38,$W45=$F$38,$W45=$H$38),LEN($W45)=0)</f>
        <v>1</v>
      </c>
      <c r="AH45" s="131" t="b">
        <f t="shared" ref="AH45:AH73" ca="1" si="136">OR(LEN(AF45)=0,
$AE45="集中講義等",
$AE45="演習",
IF(COUNTIF($AF45,"*/*")=1,COUNTIF($AF45,"*-1*-1*")=1,COUNTIF($AF45,"*-1*")=1)
)</f>
        <v>1</v>
      </c>
      <c r="AI45" s="132"/>
    </row>
    <row r="46" spans="1:35" ht="18.75" x14ac:dyDescent="0.4">
      <c r="B46" s="426"/>
      <c r="C46" s="427"/>
      <c r="D46" s="427"/>
      <c r="E46" s="428"/>
      <c r="F46" s="422" t="str">
        <f t="shared" ca="1" si="127"/>
        <v/>
      </c>
      <c r="G46" s="422"/>
      <c r="H46" s="42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423"/>
      <c r="J46" s="410" t="str">
        <f ca="1">IFERROR(VLOOKUP($B46,INDIRECT(CONCATENATE("'",成績管理表!$D$9,$L$39,"'!",$P$39)),$J$40,FALSE)&amp;"","")</f>
        <v/>
      </c>
      <c r="K46" s="410"/>
      <c r="L46" s="410" t="str">
        <f ca="1">IFERROR(VLOOKUP($B46,INDIRECT(CONCATENATE("'",成績管理表!$D$9,$L$39,"'!",$P$39)),$L$40,FALSE)&amp;"","")</f>
        <v/>
      </c>
      <c r="M46" s="410"/>
      <c r="N46" s="292" t="str">
        <f ca="1">IFERROR(VLOOKUP($B46,INDIRECT(CONCATENATE("'",成績管理表!$D$9,$L$39,"'!",$P$39)),$N$40,FALSE)&amp;"","")</f>
        <v/>
      </c>
      <c r="O46" s="292" t="str">
        <f ca="1">IFERROR(VLOOKUP($B46,INDIRECT(CONCATENATE("'",成績管理表!$D$9,$L$39,"'!",$P$39)),$O$40,FALSE)&amp;"","")</f>
        <v/>
      </c>
      <c r="P46" s="292" t="str">
        <f ca="1">IFERROR(VLOOKUP($B46,INDIRECT(CONCATENATE("'",成績管理表!$D$9,$L$39,"'!",$P$39)),$P$40,FALSE)&amp;"","")</f>
        <v/>
      </c>
      <c r="Q46" s="410" t="str">
        <f ca="1">IFERROR(VLOOKUP($B46,INDIRECT(CONCATENATE("'",成績管理表!$D$9,$L$39,"'!",$P$39)),$Q$40,FALSE)&amp;"","")</f>
        <v/>
      </c>
      <c r="R46" s="410"/>
      <c r="S46" s="129" t="str">
        <f ca="1">IFERROR(VLOOKUP($B46,INDIRECT(CONCATENATE("'",成績管理表!$D$9,$L$39,"'!",$P$39)),$S$40,FALSE),"")</f>
        <v/>
      </c>
      <c r="T46" s="110"/>
      <c r="U46" s="190" t="str">
        <f t="shared" si="128"/>
        <v/>
      </c>
      <c r="V46" s="130" t="str">
        <f ca="1">IFERROR(VLOOKUP($B46,INDIRECT(CONCATENATE("'",成績管理表!$D$9,$L$39,"'!",$P$39)),$V$40,FALSE)&amp;"","")</f>
        <v/>
      </c>
      <c r="W46" s="292" t="str">
        <f t="shared" ca="1" si="129"/>
        <v/>
      </c>
      <c r="X46" s="292" t="str">
        <f t="shared" ca="1" si="130"/>
        <v/>
      </c>
      <c r="Y46" s="292" t="str">
        <f t="shared" ca="1" si="131"/>
        <v/>
      </c>
      <c r="Z46" s="410" t="str">
        <f t="shared" ca="1" si="132"/>
        <v/>
      </c>
      <c r="AA46" s="410"/>
      <c r="AB46" s="411" t="str">
        <f t="shared" ca="1" si="133"/>
        <v/>
      </c>
      <c r="AC46" s="411"/>
      <c r="AD46" s="412"/>
      <c r="AE46" s="273" t="str">
        <f t="shared" ca="1" si="134"/>
        <v/>
      </c>
      <c r="AF46" s="29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93" t="b">
        <f t="shared" ca="1" si="135"/>
        <v>1</v>
      </c>
      <c r="AH46" s="131" t="b">
        <f t="shared" ca="1" si="136"/>
        <v>1</v>
      </c>
      <c r="AI46" s="132"/>
    </row>
    <row r="47" spans="1:35" ht="18.75" x14ac:dyDescent="0.4">
      <c r="B47" s="426"/>
      <c r="C47" s="427"/>
      <c r="D47" s="427"/>
      <c r="E47" s="428"/>
      <c r="F47" s="422" t="str">
        <f t="shared" ca="1" si="127"/>
        <v/>
      </c>
      <c r="G47" s="422"/>
      <c r="H47" s="42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423"/>
      <c r="J47" s="410" t="str">
        <f ca="1">IFERROR(VLOOKUP($B47,INDIRECT(CONCATENATE("'",成績管理表!$D$9,$L$39,"'!",$P$39)),$J$40,FALSE)&amp;"","")</f>
        <v/>
      </c>
      <c r="K47" s="410"/>
      <c r="L47" s="410" t="str">
        <f ca="1">IFERROR(VLOOKUP($B47,INDIRECT(CONCATENATE("'",成績管理表!$D$9,$L$39,"'!",$P$39)),$L$40,FALSE)&amp;"","")</f>
        <v/>
      </c>
      <c r="M47" s="410"/>
      <c r="N47" s="292" t="str">
        <f ca="1">IFERROR(VLOOKUP($B47,INDIRECT(CONCATENATE("'",成績管理表!$D$9,$L$39,"'!",$P$39)),$N$40,FALSE)&amp;"","")</f>
        <v/>
      </c>
      <c r="O47" s="292" t="str">
        <f ca="1">IFERROR(VLOOKUP($B47,INDIRECT(CONCATENATE("'",成績管理表!$D$9,$L$39,"'!",$P$39)),$O$40,FALSE)&amp;"","")</f>
        <v/>
      </c>
      <c r="P47" s="292" t="str">
        <f ca="1">IFERROR(VLOOKUP($B47,INDIRECT(CONCATENATE("'",成績管理表!$D$9,$L$39,"'!",$P$39)),$P$40,FALSE)&amp;"","")</f>
        <v/>
      </c>
      <c r="Q47" s="410" t="str">
        <f ca="1">IFERROR(VLOOKUP($B47,INDIRECT(CONCATENATE("'",成績管理表!$D$9,$L$39,"'!",$P$39)),$Q$40,FALSE)&amp;"","")</f>
        <v/>
      </c>
      <c r="R47" s="410"/>
      <c r="S47" s="129" t="str">
        <f ca="1">IFERROR(VLOOKUP($B47,INDIRECT(CONCATENATE("'",成績管理表!$D$9,$L$39,"'!",$P$39)),$S$40,FALSE),"")</f>
        <v/>
      </c>
      <c r="T47" s="110"/>
      <c r="U47" s="190" t="str">
        <f t="shared" si="128"/>
        <v/>
      </c>
      <c r="V47" s="130" t="str">
        <f ca="1">IFERROR(VLOOKUP($B47,INDIRECT(CONCATENATE("'",成績管理表!$D$9,$L$39,"'!",$P$39)),$V$40,FALSE)&amp;"","")</f>
        <v/>
      </c>
      <c r="W47" s="292" t="str">
        <f ca="1">IFERROR(VLOOKUP($B47,INDIRECT(CONCATENATE("'",$F$39,$V$39,"'!",$Z$39)),$W$40,FALSE)&amp;"","")</f>
        <v/>
      </c>
      <c r="X47" s="292" t="str">
        <f t="shared" ca="1" si="130"/>
        <v/>
      </c>
      <c r="Y47" s="292" t="str">
        <f t="shared" ca="1" si="131"/>
        <v/>
      </c>
      <c r="Z47" s="410" t="str">
        <f t="shared" ca="1" si="132"/>
        <v/>
      </c>
      <c r="AA47" s="410"/>
      <c r="AB47" s="411" t="str">
        <f t="shared" ca="1" si="133"/>
        <v/>
      </c>
      <c r="AC47" s="411"/>
      <c r="AD47" s="412"/>
      <c r="AE47" s="273" t="str">
        <f t="shared" ca="1" si="134"/>
        <v/>
      </c>
      <c r="AF47" s="29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93" t="b">
        <f t="shared" ca="1" si="135"/>
        <v>1</v>
      </c>
      <c r="AH47" s="131" t="b">
        <f t="shared" ca="1" si="136"/>
        <v>1</v>
      </c>
      <c r="AI47" s="132"/>
    </row>
    <row r="48" spans="1:35" ht="18.75" x14ac:dyDescent="0.4">
      <c r="B48" s="420"/>
      <c r="C48" s="421"/>
      <c r="D48" s="421"/>
      <c r="E48" s="421"/>
      <c r="F48" s="422" t="str">
        <f t="shared" ca="1" si="127"/>
        <v/>
      </c>
      <c r="G48" s="422"/>
      <c r="H48" s="42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423"/>
      <c r="J48" s="410" t="str">
        <f ca="1">IFERROR(VLOOKUP($B48,INDIRECT(CONCATENATE("'",成績管理表!$D$9,$L$39,"'!",$P$39)),$J$40,FALSE)&amp;"","")</f>
        <v/>
      </c>
      <c r="K48" s="410"/>
      <c r="L48" s="410" t="str">
        <f ca="1">IFERROR(VLOOKUP($B48,INDIRECT(CONCATENATE("'",成績管理表!$D$9,$L$39,"'!",$P$39)),$L$40,FALSE)&amp;"","")</f>
        <v/>
      </c>
      <c r="M48" s="410"/>
      <c r="N48" s="292" t="str">
        <f ca="1">IFERROR(VLOOKUP($B48,INDIRECT(CONCATENATE("'",成績管理表!$D$9,$L$39,"'!",$P$39)),$N$40,FALSE)&amp;"","")</f>
        <v/>
      </c>
      <c r="O48" s="292" t="str">
        <f ca="1">IFERROR(VLOOKUP($B48,INDIRECT(CONCATENATE("'",成績管理表!$D$9,$L$39,"'!",$P$39)),$O$40,FALSE)&amp;"","")</f>
        <v/>
      </c>
      <c r="P48" s="292" t="str">
        <f ca="1">IFERROR(VLOOKUP($B48,INDIRECT(CONCATENATE("'",成績管理表!$D$9,$L$39,"'!",$P$39)),$P$40,FALSE)&amp;"","")</f>
        <v/>
      </c>
      <c r="Q48" s="410" t="str">
        <f ca="1">IFERROR(VLOOKUP($B48,INDIRECT(CONCATENATE("'",成績管理表!$D$9,$L$39,"'!",$P$39)),$Q$40,FALSE)&amp;"","")</f>
        <v/>
      </c>
      <c r="R48" s="410"/>
      <c r="S48" s="129" t="str">
        <f ca="1">IFERROR(VLOOKUP($B48,INDIRECT(CONCATENATE("'",成績管理表!$D$9,$L$39,"'!",$P$39)),$S$40,FALSE),"")</f>
        <v/>
      </c>
      <c r="T48" s="110"/>
      <c r="U48" s="190" t="str">
        <f t="shared" si="128"/>
        <v/>
      </c>
      <c r="V48" s="130" t="str">
        <f ca="1">IFERROR(VLOOKUP($B48,INDIRECT(CONCATENATE("'",成績管理表!$D$9,$L$39,"'!",$P$39)),$V$40,FALSE)&amp;"","")</f>
        <v/>
      </c>
      <c r="W48" s="292" t="str">
        <f t="shared" ca="1" si="129"/>
        <v/>
      </c>
      <c r="X48" s="292" t="str">
        <f t="shared" ca="1" si="130"/>
        <v/>
      </c>
      <c r="Y48" s="292" t="str">
        <f t="shared" ca="1" si="131"/>
        <v/>
      </c>
      <c r="Z48" s="410" t="str">
        <f t="shared" ca="1" si="132"/>
        <v/>
      </c>
      <c r="AA48" s="410"/>
      <c r="AB48" s="411" t="str">
        <f t="shared" ca="1" si="133"/>
        <v/>
      </c>
      <c r="AC48" s="411"/>
      <c r="AD48" s="412"/>
      <c r="AE48" s="273" t="str">
        <f t="shared" ca="1" si="134"/>
        <v/>
      </c>
      <c r="AF48" s="29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93" t="b">
        <f t="shared" ca="1" si="135"/>
        <v>1</v>
      </c>
      <c r="AH48" s="131" t="b">
        <f t="shared" ca="1" si="136"/>
        <v>1</v>
      </c>
      <c r="AI48" s="132"/>
    </row>
    <row r="49" spans="2:35" ht="18.75" x14ac:dyDescent="0.4">
      <c r="B49" s="426"/>
      <c r="C49" s="427"/>
      <c r="D49" s="427"/>
      <c r="E49" s="428"/>
      <c r="F49" s="422" t="str">
        <f t="shared" ca="1" si="127"/>
        <v/>
      </c>
      <c r="G49" s="422"/>
      <c r="H49" s="42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423"/>
      <c r="J49" s="410" t="str">
        <f ca="1">IFERROR(VLOOKUP($B49,INDIRECT(CONCATENATE("'",成績管理表!$D$9,$L$39,"'!",$P$39)),$J$40,FALSE)&amp;"","")</f>
        <v/>
      </c>
      <c r="K49" s="410"/>
      <c r="L49" s="410" t="str">
        <f ca="1">IFERROR(VLOOKUP($B49,INDIRECT(CONCATENATE("'",成績管理表!$D$9,$L$39,"'!",$P$39)),$L$40,FALSE)&amp;"","")</f>
        <v/>
      </c>
      <c r="M49" s="410"/>
      <c r="N49" s="292" t="str">
        <f ca="1">IFERROR(VLOOKUP($B49,INDIRECT(CONCATENATE("'",成績管理表!$D$9,$L$39,"'!",$P$39)),$N$40,FALSE)&amp;"","")</f>
        <v/>
      </c>
      <c r="O49" s="292" t="str">
        <f ca="1">IFERROR(VLOOKUP($B49,INDIRECT(CONCATENATE("'",成績管理表!$D$9,$L$39,"'!",$P$39)),$O$40,FALSE)&amp;"","")</f>
        <v/>
      </c>
      <c r="P49" s="292" t="str">
        <f ca="1">IFERROR(VLOOKUP($B49,INDIRECT(CONCATENATE("'",成績管理表!$D$9,$L$39,"'!",$P$39)),$P$40,FALSE)&amp;"","")</f>
        <v/>
      </c>
      <c r="Q49" s="410" t="str">
        <f ca="1">IFERROR(VLOOKUP($B49,INDIRECT(CONCATENATE("'",成績管理表!$D$9,$L$39,"'!",$P$39)),$Q$40,FALSE)&amp;"","")</f>
        <v/>
      </c>
      <c r="R49" s="410"/>
      <c r="S49" s="129" t="str">
        <f ca="1">IFERROR(VLOOKUP($B49,INDIRECT(CONCATENATE("'",成績管理表!$D$9,$L$39,"'!",$P$39)),$S$40,FALSE),"")</f>
        <v/>
      </c>
      <c r="T49" s="110"/>
      <c r="U49" s="190" t="str">
        <f t="shared" si="128"/>
        <v/>
      </c>
      <c r="V49" s="130" t="str">
        <f ca="1">IFERROR(VLOOKUP($B49,INDIRECT(CONCATENATE("'",成績管理表!$D$9,$L$39,"'!",$P$39)),$V$40,FALSE)&amp;"","")</f>
        <v/>
      </c>
      <c r="W49" s="292" t="str">
        <f t="shared" ca="1" si="129"/>
        <v/>
      </c>
      <c r="X49" s="292" t="str">
        <f t="shared" ca="1" si="130"/>
        <v/>
      </c>
      <c r="Y49" s="292" t="str">
        <f t="shared" ca="1" si="131"/>
        <v/>
      </c>
      <c r="Z49" s="410" t="str">
        <f t="shared" ca="1" si="132"/>
        <v/>
      </c>
      <c r="AA49" s="410"/>
      <c r="AB49" s="411" t="str">
        <f t="shared" ca="1" si="133"/>
        <v/>
      </c>
      <c r="AC49" s="411"/>
      <c r="AD49" s="412"/>
      <c r="AE49" s="273" t="str">
        <f t="shared" ca="1" si="134"/>
        <v/>
      </c>
      <c r="AF49" s="29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93" t="b">
        <f t="shared" ca="1" si="135"/>
        <v>1</v>
      </c>
      <c r="AH49" s="131" t="b">
        <f t="shared" ca="1" si="136"/>
        <v>1</v>
      </c>
      <c r="AI49" s="132"/>
    </row>
    <row r="50" spans="2:35" ht="18.75" x14ac:dyDescent="0.4">
      <c r="B50" s="426"/>
      <c r="C50" s="427"/>
      <c r="D50" s="427"/>
      <c r="E50" s="428"/>
      <c r="F50" s="422" t="str">
        <f t="shared" ca="1" si="127"/>
        <v/>
      </c>
      <c r="G50" s="422"/>
      <c r="H50" s="42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423"/>
      <c r="J50" s="410" t="str">
        <f ca="1">IFERROR(VLOOKUP($B50,INDIRECT(CONCATENATE("'",成績管理表!$D$9,$L$39,"'!",$P$39)),$J$40,FALSE)&amp;"","")</f>
        <v/>
      </c>
      <c r="K50" s="410"/>
      <c r="L50" s="410" t="str">
        <f ca="1">IFERROR(VLOOKUP($B50,INDIRECT(CONCATENATE("'",成績管理表!$D$9,$L$39,"'!",$P$39)),$L$40,FALSE)&amp;"","")</f>
        <v/>
      </c>
      <c r="M50" s="410"/>
      <c r="N50" s="292" t="str">
        <f ca="1">IFERROR(VLOOKUP($B50,INDIRECT(CONCATENATE("'",成績管理表!$D$9,$L$39,"'!",$P$39)),$N$40,FALSE)&amp;"","")</f>
        <v/>
      </c>
      <c r="O50" s="292" t="str">
        <f ca="1">IFERROR(VLOOKUP($B50,INDIRECT(CONCATENATE("'",成績管理表!$D$9,$L$39,"'!",$P$39)),$O$40,FALSE)&amp;"","")</f>
        <v/>
      </c>
      <c r="P50" s="292" t="str">
        <f ca="1">IFERROR(VLOOKUP($B50,INDIRECT(CONCATENATE("'",成績管理表!$D$9,$L$39,"'!",$P$39)),$P$40,FALSE)&amp;"","")</f>
        <v/>
      </c>
      <c r="Q50" s="410" t="str">
        <f ca="1">IFERROR(VLOOKUP($B50,INDIRECT(CONCATENATE("'",成績管理表!$D$9,$L$39,"'!",$P$39)),$Q$40,FALSE)&amp;"","")</f>
        <v/>
      </c>
      <c r="R50" s="410"/>
      <c r="S50" s="129" t="str">
        <f ca="1">IFERROR(VLOOKUP($B50,INDIRECT(CONCATENATE("'",成績管理表!$D$9,$L$39,"'!",$P$39)),$S$40,FALSE),"")</f>
        <v/>
      </c>
      <c r="T50" s="110"/>
      <c r="U50" s="190" t="str">
        <f t="shared" si="128"/>
        <v/>
      </c>
      <c r="V50" s="130" t="str">
        <f ca="1">IFERROR(VLOOKUP($B50,INDIRECT(CONCATENATE("'",成績管理表!$D$9,$L$39,"'!",$P$39)),$V$40,FALSE)&amp;"","")</f>
        <v/>
      </c>
      <c r="W50" s="292" t="str">
        <f t="shared" ca="1" si="129"/>
        <v/>
      </c>
      <c r="X50" s="292" t="str">
        <f t="shared" ca="1" si="130"/>
        <v/>
      </c>
      <c r="Y50" s="292" t="str">
        <f t="shared" ca="1" si="131"/>
        <v/>
      </c>
      <c r="Z50" s="410" t="str">
        <f t="shared" ca="1" si="132"/>
        <v/>
      </c>
      <c r="AA50" s="410"/>
      <c r="AB50" s="411" t="str">
        <f t="shared" ca="1" si="133"/>
        <v/>
      </c>
      <c r="AC50" s="411"/>
      <c r="AD50" s="412"/>
      <c r="AE50" s="273" t="str">
        <f t="shared" ca="1" si="134"/>
        <v/>
      </c>
      <c r="AF50" s="29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93" t="b">
        <f t="shared" ca="1" si="135"/>
        <v>1</v>
      </c>
      <c r="AH50" s="131" t="b">
        <f t="shared" ca="1" si="136"/>
        <v>1</v>
      </c>
      <c r="AI50" s="132"/>
    </row>
    <row r="51" spans="2:35" ht="18.75" x14ac:dyDescent="0.4">
      <c r="B51" s="420"/>
      <c r="C51" s="421"/>
      <c r="D51" s="421"/>
      <c r="E51" s="421"/>
      <c r="F51" s="422" t="str">
        <f t="shared" ca="1" si="127"/>
        <v/>
      </c>
      <c r="G51" s="422"/>
      <c r="H51" s="42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423"/>
      <c r="J51" s="410" t="str">
        <f ca="1">IFERROR(VLOOKUP($B51,INDIRECT(CONCATENATE("'",成績管理表!$D$9,$L$39,"'!",$P$39)),$J$40,FALSE)&amp;"","")</f>
        <v/>
      </c>
      <c r="K51" s="410"/>
      <c r="L51" s="410" t="str">
        <f ca="1">IFERROR(VLOOKUP($B51,INDIRECT(CONCATENATE("'",成績管理表!$D$9,$L$39,"'!",$P$39)),$L$40,FALSE)&amp;"","")</f>
        <v/>
      </c>
      <c r="M51" s="410"/>
      <c r="N51" s="292" t="str">
        <f ca="1">IFERROR(VLOOKUP($B51,INDIRECT(CONCATENATE("'",成績管理表!$D$9,$L$39,"'!",$P$39)),$N$40,FALSE)&amp;"","")</f>
        <v/>
      </c>
      <c r="O51" s="292" t="str">
        <f ca="1">IFERROR(VLOOKUP($B51,INDIRECT(CONCATENATE("'",成績管理表!$D$9,$L$39,"'!",$P$39)),$O$40,FALSE)&amp;"","")</f>
        <v/>
      </c>
      <c r="P51" s="292" t="str">
        <f ca="1">IFERROR(VLOOKUP($B51,INDIRECT(CONCATENATE("'",成績管理表!$D$9,$L$39,"'!",$P$39)),$P$40,FALSE)&amp;"","")</f>
        <v/>
      </c>
      <c r="Q51" s="410" t="str">
        <f ca="1">IFERROR(VLOOKUP($B51,INDIRECT(CONCATENATE("'",成績管理表!$D$9,$L$39,"'!",$P$39)),$Q$40,FALSE)&amp;"","")</f>
        <v/>
      </c>
      <c r="R51" s="410"/>
      <c r="S51" s="129" t="str">
        <f ca="1">IFERROR(VLOOKUP($B51,INDIRECT(CONCATENATE("'",成績管理表!$D$9,$L$39,"'!",$P$39)),$S$40,FALSE),"")</f>
        <v/>
      </c>
      <c r="T51" s="110"/>
      <c r="U51" s="190" t="str">
        <f t="shared" si="128"/>
        <v/>
      </c>
      <c r="V51" s="130" t="str">
        <f ca="1">IFERROR(VLOOKUP($B51,INDIRECT(CONCATENATE("'",成績管理表!$D$9,$L$39,"'!",$P$39)),$V$40,FALSE)&amp;"","")</f>
        <v/>
      </c>
      <c r="W51" s="292" t="str">
        <f t="shared" ca="1" si="129"/>
        <v/>
      </c>
      <c r="X51" s="292" t="str">
        <f t="shared" ca="1" si="130"/>
        <v/>
      </c>
      <c r="Y51" s="292" t="str">
        <f t="shared" ca="1" si="131"/>
        <v/>
      </c>
      <c r="Z51" s="410" t="str">
        <f t="shared" ca="1" si="132"/>
        <v/>
      </c>
      <c r="AA51" s="410"/>
      <c r="AB51" s="411" t="str">
        <f t="shared" ca="1" si="133"/>
        <v/>
      </c>
      <c r="AC51" s="411"/>
      <c r="AD51" s="412"/>
      <c r="AE51" s="273" t="str">
        <f t="shared" ca="1" si="134"/>
        <v/>
      </c>
      <c r="AF51" s="29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93" t="b">
        <f t="shared" ca="1" si="135"/>
        <v>1</v>
      </c>
      <c r="AH51" s="131" t="b">
        <f t="shared" ca="1" si="136"/>
        <v>1</v>
      </c>
      <c r="AI51" s="132"/>
    </row>
    <row r="52" spans="2:35" ht="18.75" x14ac:dyDescent="0.4">
      <c r="B52" s="420"/>
      <c r="C52" s="421"/>
      <c r="D52" s="421"/>
      <c r="E52" s="421"/>
      <c r="F52" s="422" t="str">
        <f t="shared" ca="1" si="127"/>
        <v/>
      </c>
      <c r="G52" s="422"/>
      <c r="H52" s="42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423"/>
      <c r="J52" s="410" t="str">
        <f ca="1">IFERROR(VLOOKUP($B52,INDIRECT(CONCATENATE("'",成績管理表!$D$9,$L$39,"'!",$P$39)),$J$40,FALSE)&amp;"","")</f>
        <v/>
      </c>
      <c r="K52" s="410"/>
      <c r="L52" s="410" t="str">
        <f ca="1">IFERROR(VLOOKUP($B52,INDIRECT(CONCATENATE("'",成績管理表!$D$9,$L$39,"'!",$P$39)),$L$40,FALSE)&amp;"","")</f>
        <v/>
      </c>
      <c r="M52" s="410"/>
      <c r="N52" s="292" t="str">
        <f ca="1">IFERROR(VLOOKUP($B52,INDIRECT(CONCATENATE("'",成績管理表!$D$9,$L$39,"'!",$P$39)),$N$40,FALSE)&amp;"","")</f>
        <v/>
      </c>
      <c r="O52" s="292" t="str">
        <f ca="1">IFERROR(VLOOKUP($B52,INDIRECT(CONCATENATE("'",成績管理表!$D$9,$L$39,"'!",$P$39)),$O$40,FALSE)&amp;"","")</f>
        <v/>
      </c>
      <c r="P52" s="292" t="str">
        <f ca="1">IFERROR(VLOOKUP($B52,INDIRECT(CONCATENATE("'",成績管理表!$D$9,$L$39,"'!",$P$39)),$P$40,FALSE)&amp;"","")</f>
        <v/>
      </c>
      <c r="Q52" s="410" t="str">
        <f ca="1">IFERROR(VLOOKUP($B52,INDIRECT(CONCATENATE("'",成績管理表!$D$9,$L$39,"'!",$P$39)),$Q$40,FALSE)&amp;"","")</f>
        <v/>
      </c>
      <c r="R52" s="410"/>
      <c r="S52" s="129" t="str">
        <f ca="1">IFERROR(VLOOKUP($B52,INDIRECT(CONCATENATE("'",成績管理表!$D$9,$L$39,"'!",$P$39)),$S$40,FALSE),"")</f>
        <v/>
      </c>
      <c r="T52" s="110"/>
      <c r="U52" s="190" t="str">
        <f t="shared" si="128"/>
        <v/>
      </c>
      <c r="V52" s="130" t="str">
        <f ca="1">IFERROR(VLOOKUP($B52,INDIRECT(CONCATENATE("'",成績管理表!$D$9,$L$39,"'!",$P$39)),$V$40,FALSE)&amp;"","")</f>
        <v/>
      </c>
      <c r="W52" s="292" t="str">
        <f t="shared" ca="1" si="129"/>
        <v/>
      </c>
      <c r="X52" s="292" t="str">
        <f t="shared" ca="1" si="130"/>
        <v/>
      </c>
      <c r="Y52" s="292" t="str">
        <f t="shared" ca="1" si="131"/>
        <v/>
      </c>
      <c r="Z52" s="410" t="str">
        <f t="shared" ca="1" si="132"/>
        <v/>
      </c>
      <c r="AA52" s="410"/>
      <c r="AB52" s="411" t="str">
        <f t="shared" ca="1" si="133"/>
        <v/>
      </c>
      <c r="AC52" s="411"/>
      <c r="AD52" s="412"/>
      <c r="AE52" s="273" t="str">
        <f t="shared" ca="1" si="134"/>
        <v/>
      </c>
      <c r="AF52" s="29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93" t="b">
        <f t="shared" ca="1" si="135"/>
        <v>1</v>
      </c>
      <c r="AH52" s="131" t="b">
        <f t="shared" ca="1" si="136"/>
        <v>1</v>
      </c>
      <c r="AI52" s="132"/>
    </row>
    <row r="53" spans="2:35" ht="18.75" x14ac:dyDescent="0.4">
      <c r="B53" s="420"/>
      <c r="C53" s="421"/>
      <c r="D53" s="421"/>
      <c r="E53" s="421"/>
      <c r="F53" s="422" t="str">
        <f t="shared" ca="1" si="127"/>
        <v/>
      </c>
      <c r="G53" s="422"/>
      <c r="H53" s="42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423"/>
      <c r="J53" s="410" t="str">
        <f ca="1">IFERROR(VLOOKUP($B53,INDIRECT(CONCATENATE("'",成績管理表!$D$9,$L$39,"'!",$P$39)),$J$40,FALSE)&amp;"","")</f>
        <v/>
      </c>
      <c r="K53" s="410"/>
      <c r="L53" s="410" t="str">
        <f ca="1">IFERROR(VLOOKUP($B53,INDIRECT(CONCATENATE("'",成績管理表!$D$9,$L$39,"'!",$P$39)),$L$40,FALSE)&amp;"","")</f>
        <v/>
      </c>
      <c r="M53" s="410"/>
      <c r="N53" s="292" t="str">
        <f ca="1">IFERROR(VLOOKUP($B53,INDIRECT(CONCATENATE("'",成績管理表!$D$9,$L$39,"'!",$P$39)),$N$40,FALSE)&amp;"","")</f>
        <v/>
      </c>
      <c r="O53" s="292" t="str">
        <f ca="1">IFERROR(VLOOKUP($B53,INDIRECT(CONCATENATE("'",成績管理表!$D$9,$L$39,"'!",$P$39)),$O$40,FALSE)&amp;"","")</f>
        <v/>
      </c>
      <c r="P53" s="292" t="str">
        <f ca="1">IFERROR(VLOOKUP($B53,INDIRECT(CONCATENATE("'",成績管理表!$D$9,$L$39,"'!",$P$39)),$P$40,FALSE)&amp;"","")</f>
        <v/>
      </c>
      <c r="Q53" s="410" t="str">
        <f ca="1">IFERROR(VLOOKUP($B53,INDIRECT(CONCATENATE("'",成績管理表!$D$9,$L$39,"'!",$P$39)),$Q$40,FALSE)&amp;"","")</f>
        <v/>
      </c>
      <c r="R53" s="410"/>
      <c r="S53" s="129" t="str">
        <f ca="1">IFERROR(VLOOKUP($B53,INDIRECT(CONCATENATE("'",成績管理表!$D$9,$L$39,"'!",$P$39)),$S$40,FALSE),"")</f>
        <v/>
      </c>
      <c r="T53" s="110"/>
      <c r="U53" s="190" t="str">
        <f t="shared" si="128"/>
        <v/>
      </c>
      <c r="V53" s="130" t="str">
        <f ca="1">IFERROR(VLOOKUP($B53,INDIRECT(CONCATENATE("'",成績管理表!$D$9,$L$39,"'!",$P$39)),$V$40,FALSE)&amp;"","")</f>
        <v/>
      </c>
      <c r="W53" s="292" t="str">
        <f t="shared" ca="1" si="129"/>
        <v/>
      </c>
      <c r="X53" s="292" t="str">
        <f t="shared" ca="1" si="130"/>
        <v/>
      </c>
      <c r="Y53" s="292" t="str">
        <f t="shared" ca="1" si="131"/>
        <v/>
      </c>
      <c r="Z53" s="410" t="str">
        <f t="shared" ca="1" si="132"/>
        <v/>
      </c>
      <c r="AA53" s="410"/>
      <c r="AB53" s="411" t="str">
        <f t="shared" ca="1" si="133"/>
        <v/>
      </c>
      <c r="AC53" s="411"/>
      <c r="AD53" s="412"/>
      <c r="AE53" s="273" t="str">
        <f t="shared" ca="1" si="134"/>
        <v/>
      </c>
      <c r="AF53" s="29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93" t="b">
        <f t="shared" ca="1" si="135"/>
        <v>1</v>
      </c>
      <c r="AH53" s="131" t="b">
        <f t="shared" ca="1" si="136"/>
        <v>1</v>
      </c>
      <c r="AI53" s="132"/>
    </row>
    <row r="54" spans="2:35" ht="18.75" x14ac:dyDescent="0.4">
      <c r="B54" s="420"/>
      <c r="C54" s="421"/>
      <c r="D54" s="421"/>
      <c r="E54" s="421"/>
      <c r="F54" s="422" t="str">
        <f t="shared" ca="1" si="127"/>
        <v/>
      </c>
      <c r="G54" s="422"/>
      <c r="H54" s="42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423"/>
      <c r="J54" s="410" t="str">
        <f ca="1">IFERROR(VLOOKUP($B54,INDIRECT(CONCATENATE("'",成績管理表!$D$9,$L$39,"'!",$P$39)),$J$40,FALSE)&amp;"","")</f>
        <v/>
      </c>
      <c r="K54" s="410"/>
      <c r="L54" s="410" t="str">
        <f ca="1">IFERROR(VLOOKUP($B54,INDIRECT(CONCATENATE("'",成績管理表!$D$9,$L$39,"'!",$P$39)),$L$40,FALSE)&amp;"","")</f>
        <v/>
      </c>
      <c r="M54" s="410"/>
      <c r="N54" s="292" t="str">
        <f ca="1">IFERROR(VLOOKUP($B54,INDIRECT(CONCATENATE("'",成績管理表!$D$9,$L$39,"'!",$P$39)),$N$40,FALSE)&amp;"","")</f>
        <v/>
      </c>
      <c r="O54" s="292" t="str">
        <f ca="1">IFERROR(VLOOKUP($B54,INDIRECT(CONCATENATE("'",成績管理表!$D$9,$L$39,"'!",$P$39)),$O$40,FALSE)&amp;"","")</f>
        <v/>
      </c>
      <c r="P54" s="292" t="str">
        <f ca="1">IFERROR(VLOOKUP($B54,INDIRECT(CONCATENATE("'",成績管理表!$D$9,$L$39,"'!",$P$39)),$P$40,FALSE)&amp;"","")</f>
        <v/>
      </c>
      <c r="Q54" s="410" t="str">
        <f ca="1">IFERROR(VLOOKUP($B54,INDIRECT(CONCATENATE("'",成績管理表!$D$9,$L$39,"'!",$P$39)),$Q$40,FALSE)&amp;"","")</f>
        <v/>
      </c>
      <c r="R54" s="410"/>
      <c r="S54" s="129" t="str">
        <f ca="1">IFERROR(VLOOKUP($B54,INDIRECT(CONCATENATE("'",成績管理表!$D$9,$L$39,"'!",$P$39)),$S$40,FALSE),"")</f>
        <v/>
      </c>
      <c r="T54" s="110"/>
      <c r="U54" s="190" t="str">
        <f t="shared" si="128"/>
        <v/>
      </c>
      <c r="V54" s="130" t="str">
        <f ca="1">IFERROR(VLOOKUP($B54,INDIRECT(CONCATENATE("'",成績管理表!$D$9,$L$39,"'!",$P$39)),$V$40,FALSE)&amp;"","")</f>
        <v/>
      </c>
      <c r="W54" s="292" t="str">
        <f t="shared" ca="1" si="129"/>
        <v/>
      </c>
      <c r="X54" s="292" t="str">
        <f t="shared" ca="1" si="130"/>
        <v/>
      </c>
      <c r="Y54" s="292" t="str">
        <f t="shared" ca="1" si="131"/>
        <v/>
      </c>
      <c r="Z54" s="410" t="str">
        <f t="shared" ca="1" si="132"/>
        <v/>
      </c>
      <c r="AA54" s="410"/>
      <c r="AB54" s="411" t="str">
        <f t="shared" ca="1" si="133"/>
        <v/>
      </c>
      <c r="AC54" s="411"/>
      <c r="AD54" s="412"/>
      <c r="AE54" s="273" t="str">
        <f t="shared" ca="1" si="134"/>
        <v/>
      </c>
      <c r="AF54" s="29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93" t="b">
        <f t="shared" ca="1" si="135"/>
        <v>1</v>
      </c>
      <c r="AH54" s="131" t="b">
        <f t="shared" ca="1" si="136"/>
        <v>1</v>
      </c>
      <c r="AI54" s="132"/>
    </row>
    <row r="55" spans="2:35" ht="18.75" x14ac:dyDescent="0.4">
      <c r="B55" s="426"/>
      <c r="C55" s="427"/>
      <c r="D55" s="427"/>
      <c r="E55" s="428"/>
      <c r="F55" s="422" t="str">
        <f t="shared" ca="1" si="127"/>
        <v/>
      </c>
      <c r="G55" s="422"/>
      <c r="H55" s="42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423"/>
      <c r="J55" s="410" t="str">
        <f ca="1">IFERROR(VLOOKUP($B55,INDIRECT(CONCATENATE("'",成績管理表!$D$9,$L$39,"'!",$P$39)),$J$40,FALSE)&amp;"","")</f>
        <v/>
      </c>
      <c r="K55" s="410"/>
      <c r="L55" s="410" t="str">
        <f ca="1">IFERROR(VLOOKUP($B55,INDIRECT(CONCATENATE("'",成績管理表!$D$9,$L$39,"'!",$P$39)),$L$40,FALSE)&amp;"","")</f>
        <v/>
      </c>
      <c r="M55" s="410"/>
      <c r="N55" s="292" t="str">
        <f ca="1">IFERROR(VLOOKUP($B55,INDIRECT(CONCATENATE("'",成績管理表!$D$9,$L$39,"'!",$P$39)),$N$40,FALSE)&amp;"","")</f>
        <v/>
      </c>
      <c r="O55" s="292" t="str">
        <f ca="1">IFERROR(VLOOKUP($B55,INDIRECT(CONCATENATE("'",成績管理表!$D$9,$L$39,"'!",$P$39)),$O$40,FALSE)&amp;"","")</f>
        <v/>
      </c>
      <c r="P55" s="292" t="str">
        <f ca="1">IFERROR(VLOOKUP($B55,INDIRECT(CONCATENATE("'",成績管理表!$D$9,$L$39,"'!",$P$39)),$P$40,FALSE)&amp;"","")</f>
        <v/>
      </c>
      <c r="Q55" s="410" t="str">
        <f ca="1">IFERROR(VLOOKUP($B55,INDIRECT(CONCATENATE("'",成績管理表!$D$9,$L$39,"'!",$P$39)),$Q$40,FALSE)&amp;"","")</f>
        <v/>
      </c>
      <c r="R55" s="410"/>
      <c r="S55" s="129" t="str">
        <f ca="1">IFERROR(VLOOKUP($B55,INDIRECT(CONCATENATE("'",成績管理表!$D$9,$L$39,"'!",$P$39)),$S$40,FALSE),"")</f>
        <v/>
      </c>
      <c r="T55" s="110"/>
      <c r="U55" s="190" t="str">
        <f t="shared" si="128"/>
        <v/>
      </c>
      <c r="V55" s="130" t="str">
        <f ca="1">IFERROR(VLOOKUP($B55,INDIRECT(CONCATENATE("'",成績管理表!$D$9,$L$39,"'!",$P$39)),$V$40,FALSE)&amp;"","")</f>
        <v/>
      </c>
      <c r="W55" s="292" t="str">
        <f t="shared" ca="1" si="129"/>
        <v/>
      </c>
      <c r="X55" s="292" t="str">
        <f t="shared" ca="1" si="130"/>
        <v/>
      </c>
      <c r="Y55" s="292" t="str">
        <f t="shared" ca="1" si="131"/>
        <v/>
      </c>
      <c r="Z55" s="410" t="str">
        <f t="shared" ca="1" si="132"/>
        <v/>
      </c>
      <c r="AA55" s="410"/>
      <c r="AB55" s="411" t="str">
        <f t="shared" ca="1" si="133"/>
        <v/>
      </c>
      <c r="AC55" s="411"/>
      <c r="AD55" s="412"/>
      <c r="AE55" s="273" t="str">
        <f t="shared" ca="1" si="134"/>
        <v/>
      </c>
      <c r="AF55" s="29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93" t="b">
        <f t="shared" ca="1" si="135"/>
        <v>1</v>
      </c>
      <c r="AH55" s="131" t="b">
        <f t="shared" ca="1" si="136"/>
        <v>1</v>
      </c>
      <c r="AI55" s="132"/>
    </row>
    <row r="56" spans="2:35" ht="18.75" x14ac:dyDescent="0.4">
      <c r="B56" s="426"/>
      <c r="C56" s="427"/>
      <c r="D56" s="427"/>
      <c r="E56" s="428"/>
      <c r="F56" s="422" t="str">
        <f t="shared" ca="1" si="127"/>
        <v/>
      </c>
      <c r="G56" s="422"/>
      <c r="H56" s="42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423"/>
      <c r="J56" s="410" t="str">
        <f ca="1">IFERROR(VLOOKUP($B56,INDIRECT(CONCATENATE("'",成績管理表!$D$9,$L$39,"'!",$P$39)),$J$40,FALSE)&amp;"","")</f>
        <v/>
      </c>
      <c r="K56" s="410"/>
      <c r="L56" s="410" t="str">
        <f ca="1">IFERROR(VLOOKUP($B56,INDIRECT(CONCATENATE("'",成績管理表!$D$9,$L$39,"'!",$P$39)),$L$40,FALSE)&amp;"","")</f>
        <v/>
      </c>
      <c r="M56" s="410"/>
      <c r="N56" s="292" t="str">
        <f ca="1">IFERROR(VLOOKUP($B56,INDIRECT(CONCATENATE("'",成績管理表!$D$9,$L$39,"'!",$P$39)),$N$40,FALSE)&amp;"","")</f>
        <v/>
      </c>
      <c r="O56" s="292" t="str">
        <f ca="1">IFERROR(VLOOKUP($B56,INDIRECT(CONCATENATE("'",成績管理表!$D$9,$L$39,"'!",$P$39)),$O$40,FALSE)&amp;"","")</f>
        <v/>
      </c>
      <c r="P56" s="292" t="str">
        <f ca="1">IFERROR(VLOOKUP($B56,INDIRECT(CONCATENATE("'",成績管理表!$D$9,$L$39,"'!",$P$39)),$P$40,FALSE)&amp;"","")</f>
        <v/>
      </c>
      <c r="Q56" s="410" t="str">
        <f ca="1">IFERROR(VLOOKUP($B56,INDIRECT(CONCATENATE("'",成績管理表!$D$9,$L$39,"'!",$P$39)),$Q$40,FALSE)&amp;"","")</f>
        <v/>
      </c>
      <c r="R56" s="410"/>
      <c r="S56" s="129" t="str">
        <f ca="1">IFERROR(VLOOKUP($B56,INDIRECT(CONCATENATE("'",成績管理表!$D$9,$L$39,"'!",$P$39)),$S$40,FALSE),"")</f>
        <v/>
      </c>
      <c r="T56" s="110"/>
      <c r="U56" s="190" t="str">
        <f t="shared" si="128"/>
        <v/>
      </c>
      <c r="V56" s="130" t="str">
        <f ca="1">IFERROR(VLOOKUP($B56,INDIRECT(CONCATENATE("'",成績管理表!$D$9,$L$39,"'!",$P$39)),$V$40,FALSE)&amp;"","")</f>
        <v/>
      </c>
      <c r="W56" s="292" t="str">
        <f t="shared" ca="1" si="129"/>
        <v/>
      </c>
      <c r="X56" s="292" t="str">
        <f t="shared" ca="1" si="130"/>
        <v/>
      </c>
      <c r="Y56" s="292" t="str">
        <f t="shared" ca="1" si="131"/>
        <v/>
      </c>
      <c r="Z56" s="410" t="str">
        <f t="shared" ca="1" si="132"/>
        <v/>
      </c>
      <c r="AA56" s="410"/>
      <c r="AB56" s="411" t="str">
        <f t="shared" ca="1" si="133"/>
        <v/>
      </c>
      <c r="AC56" s="411"/>
      <c r="AD56" s="412"/>
      <c r="AE56" s="273" t="str">
        <f t="shared" ca="1" si="134"/>
        <v/>
      </c>
      <c r="AF56" s="29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93" t="b">
        <f t="shared" ca="1" si="135"/>
        <v>1</v>
      </c>
      <c r="AH56" s="131" t="b">
        <f t="shared" ca="1" si="136"/>
        <v>1</v>
      </c>
      <c r="AI56" s="132"/>
    </row>
    <row r="57" spans="2:35" ht="18.75" x14ac:dyDescent="0.4">
      <c r="B57" s="426"/>
      <c r="C57" s="427"/>
      <c r="D57" s="427"/>
      <c r="E57" s="428"/>
      <c r="F57" s="422" t="str">
        <f t="shared" ca="1" si="127"/>
        <v/>
      </c>
      <c r="G57" s="422"/>
      <c r="H57" s="42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423"/>
      <c r="J57" s="410" t="str">
        <f ca="1">IFERROR(VLOOKUP($B57,INDIRECT(CONCATENATE("'",成績管理表!$D$9,$L$39,"'!",$P$39)),$J$40,FALSE)&amp;"","")</f>
        <v/>
      </c>
      <c r="K57" s="410"/>
      <c r="L57" s="410" t="str">
        <f ca="1">IFERROR(VLOOKUP($B57,INDIRECT(CONCATENATE("'",成績管理表!$D$9,$L$39,"'!",$P$39)),$L$40,FALSE)&amp;"","")</f>
        <v/>
      </c>
      <c r="M57" s="410"/>
      <c r="N57" s="292" t="str">
        <f ca="1">IFERROR(VLOOKUP($B57,INDIRECT(CONCATENATE("'",成績管理表!$D$9,$L$39,"'!",$P$39)),$N$40,FALSE)&amp;"","")</f>
        <v/>
      </c>
      <c r="O57" s="292" t="str">
        <f ca="1">IFERROR(VLOOKUP($B57,INDIRECT(CONCATENATE("'",成績管理表!$D$9,$L$39,"'!",$P$39)),$O$40,FALSE)&amp;"","")</f>
        <v/>
      </c>
      <c r="P57" s="292" t="str">
        <f ca="1">IFERROR(VLOOKUP($B57,INDIRECT(CONCATENATE("'",成績管理表!$D$9,$L$39,"'!",$P$39)),$P$40,FALSE)&amp;"","")</f>
        <v/>
      </c>
      <c r="Q57" s="410" t="str">
        <f ca="1">IFERROR(VLOOKUP($B57,INDIRECT(CONCATENATE("'",成績管理表!$D$9,$L$39,"'!",$P$39)),$Q$40,FALSE)&amp;"","")</f>
        <v/>
      </c>
      <c r="R57" s="410"/>
      <c r="S57" s="129" t="str">
        <f ca="1">IFERROR(VLOOKUP($B57,INDIRECT(CONCATENATE("'",成績管理表!$D$9,$L$39,"'!",$P$39)),$S$40,FALSE),"")</f>
        <v/>
      </c>
      <c r="T57" s="110"/>
      <c r="U57" s="190" t="str">
        <f t="shared" si="128"/>
        <v/>
      </c>
      <c r="V57" s="130" t="str">
        <f ca="1">IFERROR(VLOOKUP($B57,INDIRECT(CONCATENATE("'",成績管理表!$D$9,$L$39,"'!",$P$39)),$V$40,FALSE)&amp;"","")</f>
        <v/>
      </c>
      <c r="W57" s="292" t="str">
        <f t="shared" ca="1" si="129"/>
        <v/>
      </c>
      <c r="X57" s="292" t="str">
        <f t="shared" ca="1" si="130"/>
        <v/>
      </c>
      <c r="Y57" s="292" t="str">
        <f t="shared" ca="1" si="131"/>
        <v/>
      </c>
      <c r="Z57" s="410" t="str">
        <f t="shared" ca="1" si="132"/>
        <v/>
      </c>
      <c r="AA57" s="410"/>
      <c r="AB57" s="411" t="str">
        <f t="shared" ca="1" si="133"/>
        <v/>
      </c>
      <c r="AC57" s="411"/>
      <c r="AD57" s="412"/>
      <c r="AE57" s="273" t="str">
        <f t="shared" ca="1" si="134"/>
        <v/>
      </c>
      <c r="AF57" s="29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93" t="b">
        <f t="shared" ca="1" si="135"/>
        <v>1</v>
      </c>
      <c r="AH57" s="131" t="b">
        <f t="shared" ca="1" si="136"/>
        <v>1</v>
      </c>
      <c r="AI57" s="132"/>
    </row>
    <row r="58" spans="2:35" ht="18.75" x14ac:dyDescent="0.4">
      <c r="B58" s="420"/>
      <c r="C58" s="421"/>
      <c r="D58" s="421"/>
      <c r="E58" s="421"/>
      <c r="F58" s="422" t="str">
        <f t="shared" ca="1" si="127"/>
        <v/>
      </c>
      <c r="G58" s="422"/>
      <c r="H58" s="42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423"/>
      <c r="J58" s="410" t="str">
        <f ca="1">IFERROR(VLOOKUP($B58,INDIRECT(CONCATENATE("'",成績管理表!$D$9,$L$39,"'!",$P$39)),$J$40,FALSE)&amp;"","")</f>
        <v/>
      </c>
      <c r="K58" s="410"/>
      <c r="L58" s="410" t="str">
        <f ca="1">IFERROR(VLOOKUP($B58,INDIRECT(CONCATENATE("'",成績管理表!$D$9,$L$39,"'!",$P$39)),$L$40,FALSE)&amp;"","")</f>
        <v/>
      </c>
      <c r="M58" s="410"/>
      <c r="N58" s="292" t="str">
        <f ca="1">IFERROR(VLOOKUP($B58,INDIRECT(CONCATENATE("'",成績管理表!$D$9,$L$39,"'!",$P$39)),$N$40,FALSE)&amp;"","")</f>
        <v/>
      </c>
      <c r="O58" s="292" t="str">
        <f ca="1">IFERROR(VLOOKUP($B58,INDIRECT(CONCATENATE("'",成績管理表!$D$9,$L$39,"'!",$P$39)),$O$40,FALSE)&amp;"","")</f>
        <v/>
      </c>
      <c r="P58" s="292" t="str">
        <f ca="1">IFERROR(VLOOKUP($B58,INDIRECT(CONCATENATE("'",成績管理表!$D$9,$L$39,"'!",$P$39)),$P$40,FALSE)&amp;"","")</f>
        <v/>
      </c>
      <c r="Q58" s="410" t="str">
        <f ca="1">IFERROR(VLOOKUP($B58,INDIRECT(CONCATENATE("'",成績管理表!$D$9,$L$39,"'!",$P$39)),$Q$40,FALSE)&amp;"","")</f>
        <v/>
      </c>
      <c r="R58" s="410"/>
      <c r="S58" s="129" t="str">
        <f ca="1">IFERROR(VLOOKUP($B58,INDIRECT(CONCATENATE("'",成績管理表!$D$9,$L$39,"'!",$P$39)),$S$40,FALSE),"")</f>
        <v/>
      </c>
      <c r="T58" s="110"/>
      <c r="U58" s="190" t="str">
        <f t="shared" si="128"/>
        <v/>
      </c>
      <c r="V58" s="130" t="str">
        <f ca="1">IFERROR(VLOOKUP($B58,INDIRECT(CONCATENATE("'",成績管理表!$D$9,$L$39,"'!",$P$39)),$V$40,FALSE)&amp;"","")</f>
        <v/>
      </c>
      <c r="W58" s="292" t="str">
        <f t="shared" ca="1" si="129"/>
        <v/>
      </c>
      <c r="X58" s="292" t="str">
        <f t="shared" ca="1" si="130"/>
        <v/>
      </c>
      <c r="Y58" s="292" t="str">
        <f t="shared" ca="1" si="131"/>
        <v/>
      </c>
      <c r="Z58" s="410" t="str">
        <f t="shared" ca="1" si="132"/>
        <v/>
      </c>
      <c r="AA58" s="410"/>
      <c r="AB58" s="411" t="str">
        <f t="shared" ca="1" si="133"/>
        <v/>
      </c>
      <c r="AC58" s="411"/>
      <c r="AD58" s="412"/>
      <c r="AE58" s="273" t="str">
        <f t="shared" ca="1" si="134"/>
        <v/>
      </c>
      <c r="AF58" s="29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93" t="b">
        <f t="shared" ca="1" si="135"/>
        <v>1</v>
      </c>
      <c r="AH58" s="131" t="b">
        <f t="shared" ca="1" si="136"/>
        <v>1</v>
      </c>
      <c r="AI58" s="132"/>
    </row>
    <row r="59" spans="2:35" ht="18.75" x14ac:dyDescent="0.4">
      <c r="B59" s="426"/>
      <c r="C59" s="427"/>
      <c r="D59" s="427"/>
      <c r="E59" s="428"/>
      <c r="F59" s="422" t="str">
        <f t="shared" ca="1" si="127"/>
        <v/>
      </c>
      <c r="G59" s="422"/>
      <c r="H59" s="42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423"/>
      <c r="J59" s="410" t="str">
        <f ca="1">IFERROR(VLOOKUP($B59,INDIRECT(CONCATENATE("'",成績管理表!$D$9,$L$39,"'!",$P$39)),$J$40,FALSE)&amp;"","")</f>
        <v/>
      </c>
      <c r="K59" s="410"/>
      <c r="L59" s="410" t="str">
        <f ca="1">IFERROR(VLOOKUP($B59,INDIRECT(CONCATENATE("'",成績管理表!$D$9,$L$39,"'!",$P$39)),$L$40,FALSE)&amp;"","")</f>
        <v/>
      </c>
      <c r="M59" s="410"/>
      <c r="N59" s="292" t="str">
        <f ca="1">IFERROR(VLOOKUP($B59,INDIRECT(CONCATENATE("'",成績管理表!$D$9,$L$39,"'!",$P$39)),$N$40,FALSE)&amp;"","")</f>
        <v/>
      </c>
      <c r="O59" s="292" t="str">
        <f ca="1">IFERROR(VLOOKUP($B59,INDIRECT(CONCATENATE("'",成績管理表!$D$9,$L$39,"'!",$P$39)),$O$40,FALSE)&amp;"","")</f>
        <v/>
      </c>
      <c r="P59" s="292" t="str">
        <f ca="1">IFERROR(VLOOKUP($B59,INDIRECT(CONCATENATE("'",成績管理表!$D$9,$L$39,"'!",$P$39)),$P$40,FALSE)&amp;"","")</f>
        <v/>
      </c>
      <c r="Q59" s="410" t="str">
        <f ca="1">IFERROR(VLOOKUP($B59,INDIRECT(CONCATENATE("'",成績管理表!$D$9,$L$39,"'!",$P$39)),$Q$40,FALSE)&amp;"","")</f>
        <v/>
      </c>
      <c r="R59" s="410"/>
      <c r="S59" s="129" t="str">
        <f ca="1">IFERROR(VLOOKUP($B59,INDIRECT(CONCATENATE("'",成績管理表!$D$9,$L$39,"'!",$P$39)),$S$40,FALSE),"")</f>
        <v/>
      </c>
      <c r="T59" s="110"/>
      <c r="U59" s="190" t="str">
        <f t="shared" si="128"/>
        <v/>
      </c>
      <c r="V59" s="130" t="str">
        <f ca="1">IFERROR(VLOOKUP($B59,INDIRECT(CONCATENATE("'",成績管理表!$D$9,$L$39,"'!",$P$39)),$V$40,FALSE)&amp;"","")</f>
        <v/>
      </c>
      <c r="W59" s="292" t="str">
        <f t="shared" ca="1" si="129"/>
        <v/>
      </c>
      <c r="X59" s="292" t="str">
        <f t="shared" ca="1" si="130"/>
        <v/>
      </c>
      <c r="Y59" s="292" t="str">
        <f t="shared" ca="1" si="131"/>
        <v/>
      </c>
      <c r="Z59" s="410" t="str">
        <f t="shared" ca="1" si="132"/>
        <v/>
      </c>
      <c r="AA59" s="410"/>
      <c r="AB59" s="411" t="str">
        <f t="shared" ca="1" si="133"/>
        <v/>
      </c>
      <c r="AC59" s="411"/>
      <c r="AD59" s="412"/>
      <c r="AE59" s="273" t="str">
        <f t="shared" ca="1" si="134"/>
        <v/>
      </c>
      <c r="AF59" s="29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93" t="b">
        <f t="shared" ca="1" si="135"/>
        <v>1</v>
      </c>
      <c r="AH59" s="131" t="b">
        <f t="shared" ca="1" si="136"/>
        <v>1</v>
      </c>
    </row>
    <row r="60" spans="2:35" ht="18.75" x14ac:dyDescent="0.4">
      <c r="B60" s="424"/>
      <c r="C60" s="425"/>
      <c r="D60" s="425"/>
      <c r="E60" s="425"/>
      <c r="F60" s="422" t="str">
        <f t="shared" ca="1" si="127"/>
        <v/>
      </c>
      <c r="G60" s="422"/>
      <c r="H60" s="42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423"/>
      <c r="J60" s="410" t="str">
        <f ca="1">IFERROR(VLOOKUP($B60,INDIRECT(CONCATENATE("'",成績管理表!$D$9,$L$39,"'!",$P$39)),$J$40,FALSE)&amp;"","")</f>
        <v/>
      </c>
      <c r="K60" s="410"/>
      <c r="L60" s="410" t="str">
        <f ca="1">IFERROR(VLOOKUP($B60,INDIRECT(CONCATENATE("'",成績管理表!$D$9,$L$39,"'!",$P$39)),$L$40,FALSE)&amp;"","")</f>
        <v/>
      </c>
      <c r="M60" s="410"/>
      <c r="N60" s="292" t="str">
        <f ca="1">IFERROR(VLOOKUP($B60,INDIRECT(CONCATENATE("'",成績管理表!$D$9,$L$39,"'!",$P$39)),$N$40,FALSE)&amp;"","")</f>
        <v/>
      </c>
      <c r="O60" s="292" t="str">
        <f ca="1">IFERROR(VLOOKUP($B60,INDIRECT(CONCATENATE("'",成績管理表!$D$9,$L$39,"'!",$P$39)),$O$40,FALSE)&amp;"","")</f>
        <v/>
      </c>
      <c r="P60" s="292" t="str">
        <f ca="1">IFERROR(VLOOKUP($B60,INDIRECT(CONCATENATE("'",成績管理表!$D$9,$L$39,"'!",$P$39)),$P$40,FALSE)&amp;"","")</f>
        <v/>
      </c>
      <c r="Q60" s="410" t="str">
        <f ca="1">IFERROR(VLOOKUP($B60,INDIRECT(CONCATENATE("'",成績管理表!$D$9,$L$39,"'!",$P$39)),$Q$40,FALSE)&amp;"","")</f>
        <v/>
      </c>
      <c r="R60" s="410"/>
      <c r="S60" s="129" t="str">
        <f ca="1">IFERROR(VLOOKUP($B60,INDIRECT(CONCATENATE("'",成績管理表!$D$9,$L$39,"'!",$P$39)),$S$40,FALSE),"")</f>
        <v/>
      </c>
      <c r="T60" s="110"/>
      <c r="U60" s="190" t="str">
        <f t="shared" si="128"/>
        <v/>
      </c>
      <c r="V60" s="130" t="str">
        <f ca="1">IFERROR(VLOOKUP($B60,INDIRECT(CONCATENATE("'",成績管理表!$D$9,$L$39,"'!",$P$39)),$V$40,FALSE)&amp;"","")</f>
        <v/>
      </c>
      <c r="W60" s="292" t="str">
        <f t="shared" ca="1" si="129"/>
        <v/>
      </c>
      <c r="X60" s="292" t="str">
        <f t="shared" ca="1" si="130"/>
        <v/>
      </c>
      <c r="Y60" s="292" t="str">
        <f t="shared" ca="1" si="131"/>
        <v/>
      </c>
      <c r="Z60" s="410" t="str">
        <f t="shared" ca="1" si="132"/>
        <v/>
      </c>
      <c r="AA60" s="410"/>
      <c r="AB60" s="411" t="str">
        <f t="shared" ca="1" si="133"/>
        <v/>
      </c>
      <c r="AC60" s="411"/>
      <c r="AD60" s="412"/>
      <c r="AE60" s="273" t="str">
        <f t="shared" ca="1" si="134"/>
        <v/>
      </c>
      <c r="AF60" s="29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93" t="b">
        <f t="shared" ca="1" si="135"/>
        <v>1</v>
      </c>
      <c r="AH60" s="131" t="b">
        <f t="shared" ca="1" si="136"/>
        <v>1</v>
      </c>
    </row>
    <row r="61" spans="2:35" ht="18.75" x14ac:dyDescent="0.4">
      <c r="B61" s="424"/>
      <c r="C61" s="425"/>
      <c r="D61" s="425"/>
      <c r="E61" s="425"/>
      <c r="F61" s="422" t="str">
        <f t="shared" ca="1" si="127"/>
        <v/>
      </c>
      <c r="G61" s="422"/>
      <c r="H61" s="42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423"/>
      <c r="J61" s="410" t="str">
        <f ca="1">IFERROR(VLOOKUP($B61,INDIRECT(CONCATENATE("'",成績管理表!$D$9,$L$39,"'!",$P$39)),$J$40,FALSE)&amp;"","")</f>
        <v/>
      </c>
      <c r="K61" s="410"/>
      <c r="L61" s="410" t="str">
        <f ca="1">IFERROR(VLOOKUP($B61,INDIRECT(CONCATENATE("'",成績管理表!$D$9,$L$39,"'!",$P$39)),$L$40,FALSE)&amp;"","")</f>
        <v/>
      </c>
      <c r="M61" s="410"/>
      <c r="N61" s="292" t="str">
        <f ca="1">IFERROR(VLOOKUP($B61,INDIRECT(CONCATENATE("'",成績管理表!$D$9,$L$39,"'!",$P$39)),$N$40,FALSE)&amp;"","")</f>
        <v/>
      </c>
      <c r="O61" s="292" t="str">
        <f ca="1">IFERROR(VLOOKUP($B61,INDIRECT(CONCATENATE("'",成績管理表!$D$9,$L$39,"'!",$P$39)),$O$40,FALSE)&amp;"","")</f>
        <v/>
      </c>
      <c r="P61" s="292" t="str">
        <f ca="1">IFERROR(VLOOKUP($B61,INDIRECT(CONCATENATE("'",成績管理表!$D$9,$L$39,"'!",$P$39)),$P$40,FALSE)&amp;"","")</f>
        <v/>
      </c>
      <c r="Q61" s="410" t="str">
        <f ca="1">IFERROR(VLOOKUP($B61,INDIRECT(CONCATENATE("'",成績管理表!$D$9,$L$39,"'!",$P$39)),$Q$40,FALSE)&amp;"","")</f>
        <v/>
      </c>
      <c r="R61" s="410"/>
      <c r="S61" s="129" t="str">
        <f ca="1">IFERROR(VLOOKUP($B61,INDIRECT(CONCATENATE("'",成績管理表!$D$9,$L$39,"'!",$P$39)),$S$40,FALSE),"")</f>
        <v/>
      </c>
      <c r="T61" s="110"/>
      <c r="U61" s="190" t="str">
        <f t="shared" si="128"/>
        <v/>
      </c>
      <c r="V61" s="130" t="str">
        <f ca="1">IFERROR(VLOOKUP($B61,INDIRECT(CONCATENATE("'",成績管理表!$D$9,$L$39,"'!",$P$39)),$V$40,FALSE)&amp;"","")</f>
        <v/>
      </c>
      <c r="W61" s="292" t="str">
        <f t="shared" ca="1" si="129"/>
        <v/>
      </c>
      <c r="X61" s="292" t="str">
        <f t="shared" ca="1" si="130"/>
        <v/>
      </c>
      <c r="Y61" s="292" t="str">
        <f t="shared" ca="1" si="131"/>
        <v/>
      </c>
      <c r="Z61" s="410" t="str">
        <f t="shared" ca="1" si="132"/>
        <v/>
      </c>
      <c r="AA61" s="410"/>
      <c r="AB61" s="411" t="str">
        <f t="shared" ca="1" si="133"/>
        <v/>
      </c>
      <c r="AC61" s="411"/>
      <c r="AD61" s="412"/>
      <c r="AE61" s="273" t="str">
        <f t="shared" ca="1" si="134"/>
        <v/>
      </c>
      <c r="AF61" s="29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93" t="b">
        <f t="shared" ca="1" si="135"/>
        <v>1</v>
      </c>
      <c r="AH61" s="131" t="b">
        <f t="shared" ca="1" si="136"/>
        <v>1</v>
      </c>
      <c r="AI61" s="291" t="s">
        <v>1000</v>
      </c>
    </row>
    <row r="62" spans="2:35" ht="18.75" x14ac:dyDescent="0.4">
      <c r="B62" s="420"/>
      <c r="C62" s="421"/>
      <c r="D62" s="421"/>
      <c r="E62" s="421"/>
      <c r="F62" s="422" t="str">
        <f t="shared" ca="1" si="127"/>
        <v/>
      </c>
      <c r="G62" s="422"/>
      <c r="H62" s="42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423"/>
      <c r="J62" s="410" t="str">
        <f ca="1">IFERROR(VLOOKUP($B62,INDIRECT(CONCATENATE("'",成績管理表!$D$9,$L$39,"'!",$P$39)),$J$40,FALSE)&amp;"","")</f>
        <v/>
      </c>
      <c r="K62" s="410"/>
      <c r="L62" s="410" t="str">
        <f ca="1">IFERROR(VLOOKUP($B62,INDIRECT(CONCATENATE("'",成績管理表!$D$9,$L$39,"'!",$P$39)),$L$40,FALSE)&amp;"","")</f>
        <v/>
      </c>
      <c r="M62" s="410"/>
      <c r="N62" s="292" t="str">
        <f ca="1">IFERROR(VLOOKUP($B62,INDIRECT(CONCATENATE("'",成績管理表!$D$9,$L$39,"'!",$P$39)),$N$40,FALSE)&amp;"","")</f>
        <v/>
      </c>
      <c r="O62" s="292" t="str">
        <f ca="1">IFERROR(VLOOKUP($B62,INDIRECT(CONCATENATE("'",成績管理表!$D$9,$L$39,"'!",$P$39)),$O$40,FALSE)&amp;"","")</f>
        <v/>
      </c>
      <c r="P62" s="292" t="str">
        <f ca="1">IFERROR(VLOOKUP($B62,INDIRECT(CONCATENATE("'",成績管理表!$D$9,$L$39,"'!",$P$39)),$P$40,FALSE)&amp;"","")</f>
        <v/>
      </c>
      <c r="Q62" s="410" t="str">
        <f ca="1">IFERROR(VLOOKUP($B62,INDIRECT(CONCATENATE("'",成績管理表!$D$9,$L$39,"'!",$P$39)),$Q$40,FALSE)&amp;"","")</f>
        <v/>
      </c>
      <c r="R62" s="410"/>
      <c r="S62" s="129" t="str">
        <f ca="1">IFERROR(VLOOKUP($B62,INDIRECT(CONCATENATE("'",成績管理表!$D$9,$L$39,"'!",$P$39)),$S$40,FALSE),"")</f>
        <v/>
      </c>
      <c r="T62" s="110"/>
      <c r="U62" s="190" t="str">
        <f t="shared" si="128"/>
        <v/>
      </c>
      <c r="V62" s="130" t="str">
        <f ca="1">IFERROR(VLOOKUP($B62,INDIRECT(CONCATENATE("'",成績管理表!$D$9,$L$39,"'!",$P$39)),$V$40,FALSE)&amp;"","")</f>
        <v/>
      </c>
      <c r="W62" s="292" t="str">
        <f t="shared" ca="1" si="129"/>
        <v/>
      </c>
      <c r="X62" s="292" t="str">
        <f t="shared" ca="1" si="130"/>
        <v/>
      </c>
      <c r="Y62" s="292" t="str">
        <f t="shared" ca="1" si="131"/>
        <v/>
      </c>
      <c r="Z62" s="410" t="str">
        <f t="shared" ca="1" si="132"/>
        <v/>
      </c>
      <c r="AA62" s="410"/>
      <c r="AB62" s="411" t="str">
        <f t="shared" ca="1" si="133"/>
        <v/>
      </c>
      <c r="AC62" s="411"/>
      <c r="AD62" s="412"/>
      <c r="AE62" s="273" t="str">
        <f t="shared" ca="1" si="134"/>
        <v/>
      </c>
      <c r="AF62" s="29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93" t="b">
        <f t="shared" ca="1" si="135"/>
        <v>1</v>
      </c>
      <c r="AH62" s="131" t="b">
        <f t="shared" ca="1" si="136"/>
        <v>1</v>
      </c>
      <c r="AI62" s="291" t="s">
        <v>1000</v>
      </c>
    </row>
    <row r="63" spans="2:35" ht="18.75" x14ac:dyDescent="0.4">
      <c r="B63" s="420"/>
      <c r="C63" s="421"/>
      <c r="D63" s="421"/>
      <c r="E63" s="421"/>
      <c r="F63" s="422" t="str">
        <f t="shared" ca="1" si="127"/>
        <v/>
      </c>
      <c r="G63" s="422"/>
      <c r="H63" s="42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423"/>
      <c r="J63" s="410" t="str">
        <f ca="1">IFERROR(VLOOKUP($B63,INDIRECT(CONCATENATE("'",成績管理表!$D$9,$L$39,"'!",$P$39)),$J$40,FALSE)&amp;"","")</f>
        <v/>
      </c>
      <c r="K63" s="410"/>
      <c r="L63" s="410" t="str">
        <f ca="1">IFERROR(VLOOKUP($B63,INDIRECT(CONCATENATE("'",成績管理表!$D$9,$L$39,"'!",$P$39)),$L$40,FALSE)&amp;"","")</f>
        <v/>
      </c>
      <c r="M63" s="410"/>
      <c r="N63" s="292" t="str">
        <f ca="1">IFERROR(VLOOKUP($B63,INDIRECT(CONCATENATE("'",成績管理表!$D$9,$L$39,"'!",$P$39)),$N$40,FALSE)&amp;"","")</f>
        <v/>
      </c>
      <c r="O63" s="292" t="str">
        <f ca="1">IFERROR(VLOOKUP($B63,INDIRECT(CONCATENATE("'",成績管理表!$D$9,$L$39,"'!",$P$39)),$O$40,FALSE)&amp;"","")</f>
        <v/>
      </c>
      <c r="P63" s="292" t="str">
        <f ca="1">IFERROR(VLOOKUP($B63,INDIRECT(CONCATENATE("'",成績管理表!$D$9,$L$39,"'!",$P$39)),$P$40,FALSE)&amp;"","")</f>
        <v/>
      </c>
      <c r="Q63" s="410" t="str">
        <f ca="1">IFERROR(VLOOKUP($B63,INDIRECT(CONCATENATE("'",成績管理表!$D$9,$L$39,"'!",$P$39)),$Q$40,FALSE)&amp;"","")</f>
        <v/>
      </c>
      <c r="R63" s="410"/>
      <c r="S63" s="129" t="str">
        <f ca="1">IFERROR(VLOOKUP($B63,INDIRECT(CONCATENATE("'",成績管理表!$D$9,$L$39,"'!",$P$39)),$S$40,FALSE),"")</f>
        <v/>
      </c>
      <c r="T63" s="110"/>
      <c r="U63" s="190" t="str">
        <f t="shared" si="128"/>
        <v/>
      </c>
      <c r="V63" s="130" t="str">
        <f ca="1">IFERROR(VLOOKUP($B63,INDIRECT(CONCATENATE("'",成績管理表!$D$9,$L$39,"'!",$P$39)),$V$40,FALSE)&amp;"","")</f>
        <v/>
      </c>
      <c r="W63" s="292" t="str">
        <f t="shared" ca="1" si="129"/>
        <v/>
      </c>
      <c r="X63" s="292" t="str">
        <f t="shared" ca="1" si="130"/>
        <v/>
      </c>
      <c r="Y63" s="292" t="str">
        <f t="shared" ca="1" si="131"/>
        <v/>
      </c>
      <c r="Z63" s="410" t="str">
        <f t="shared" ca="1" si="132"/>
        <v/>
      </c>
      <c r="AA63" s="410"/>
      <c r="AB63" s="411" t="str">
        <f t="shared" ca="1" si="133"/>
        <v/>
      </c>
      <c r="AC63" s="411"/>
      <c r="AD63" s="412"/>
      <c r="AE63" s="273" t="str">
        <f t="shared" ca="1" si="134"/>
        <v/>
      </c>
      <c r="AF63" s="29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93" t="b">
        <f t="shared" ca="1" si="135"/>
        <v>1</v>
      </c>
      <c r="AH63" s="131" t="b">
        <f t="shared" ca="1" si="136"/>
        <v>1</v>
      </c>
      <c r="AI63" s="291" t="s">
        <v>1000</v>
      </c>
    </row>
    <row r="64" spans="2:35" ht="18.75" x14ac:dyDescent="0.4">
      <c r="B64" s="420"/>
      <c r="C64" s="421"/>
      <c r="D64" s="421"/>
      <c r="E64" s="421"/>
      <c r="F64" s="422" t="str">
        <f t="shared" ca="1" si="127"/>
        <v/>
      </c>
      <c r="G64" s="422"/>
      <c r="H64" s="42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423"/>
      <c r="J64" s="410" t="str">
        <f ca="1">IFERROR(VLOOKUP($B64,INDIRECT(CONCATENATE("'",成績管理表!$D$9,$L$39,"'!",$P$39)),$J$40,FALSE)&amp;"","")</f>
        <v/>
      </c>
      <c r="K64" s="410"/>
      <c r="L64" s="410" t="str">
        <f ca="1">IFERROR(VLOOKUP($B64,INDIRECT(CONCATENATE("'",成績管理表!$D$9,$L$39,"'!",$P$39)),$L$40,FALSE)&amp;"","")</f>
        <v/>
      </c>
      <c r="M64" s="410"/>
      <c r="N64" s="292" t="str">
        <f ca="1">IFERROR(VLOOKUP($B64,INDIRECT(CONCATENATE("'",成績管理表!$D$9,$L$39,"'!",$P$39)),$N$40,FALSE)&amp;"","")</f>
        <v/>
      </c>
      <c r="O64" s="292" t="str">
        <f ca="1">IFERROR(VLOOKUP($B64,INDIRECT(CONCATENATE("'",成績管理表!$D$9,$L$39,"'!",$P$39)),$O$40,FALSE)&amp;"","")</f>
        <v/>
      </c>
      <c r="P64" s="292" t="str">
        <f ca="1">IFERROR(VLOOKUP($B64,INDIRECT(CONCATENATE("'",成績管理表!$D$9,$L$39,"'!",$P$39)),$P$40,FALSE)&amp;"","")</f>
        <v/>
      </c>
      <c r="Q64" s="410" t="str">
        <f ca="1">IFERROR(VLOOKUP($B64,INDIRECT(CONCATENATE("'",成績管理表!$D$9,$L$39,"'!",$P$39)),$Q$40,FALSE)&amp;"","")</f>
        <v/>
      </c>
      <c r="R64" s="410"/>
      <c r="S64" s="129" t="str">
        <f ca="1">IFERROR(VLOOKUP($B64,INDIRECT(CONCATENATE("'",成績管理表!$D$9,$L$39,"'!",$P$39)),$S$40,FALSE),"")</f>
        <v/>
      </c>
      <c r="T64" s="110"/>
      <c r="U64" s="190" t="str">
        <f t="shared" si="128"/>
        <v/>
      </c>
      <c r="V64" s="130" t="str">
        <f ca="1">IFERROR(VLOOKUP($B64,INDIRECT(CONCATENATE("'",成績管理表!$D$9,$L$39,"'!",$P$39)),$V$40,FALSE)&amp;"","")</f>
        <v/>
      </c>
      <c r="W64" s="292" t="str">
        <f t="shared" ca="1" si="129"/>
        <v/>
      </c>
      <c r="X64" s="292" t="str">
        <f t="shared" ca="1" si="130"/>
        <v/>
      </c>
      <c r="Y64" s="292" t="str">
        <f t="shared" ca="1" si="131"/>
        <v/>
      </c>
      <c r="Z64" s="410" t="str">
        <f t="shared" ca="1" si="132"/>
        <v/>
      </c>
      <c r="AA64" s="410"/>
      <c r="AB64" s="411" t="str">
        <f t="shared" ca="1" si="133"/>
        <v/>
      </c>
      <c r="AC64" s="411"/>
      <c r="AD64" s="412"/>
      <c r="AE64" s="273" t="str">
        <f t="shared" ca="1" si="134"/>
        <v/>
      </c>
      <c r="AF64" s="29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93" t="b">
        <f t="shared" ca="1" si="135"/>
        <v>1</v>
      </c>
      <c r="AH64" s="131" t="b">
        <f t="shared" ca="1" si="136"/>
        <v>1</v>
      </c>
      <c r="AI64" s="291" t="s">
        <v>1000</v>
      </c>
    </row>
    <row r="65" spans="2:35" ht="18.75" x14ac:dyDescent="0.4">
      <c r="B65" s="420"/>
      <c r="C65" s="421"/>
      <c r="D65" s="421"/>
      <c r="E65" s="421"/>
      <c r="F65" s="422" t="str">
        <f t="shared" ca="1" si="127"/>
        <v/>
      </c>
      <c r="G65" s="422"/>
      <c r="H65" s="42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423"/>
      <c r="J65" s="410" t="str">
        <f ca="1">IFERROR(VLOOKUP($B65,INDIRECT(CONCATENATE("'",成績管理表!$D$9,$L$39,"'!",$P$39)),$J$40,FALSE)&amp;"","")</f>
        <v/>
      </c>
      <c r="K65" s="410"/>
      <c r="L65" s="410" t="str">
        <f ca="1">IFERROR(VLOOKUP($B65,INDIRECT(CONCATENATE("'",成績管理表!$D$9,$L$39,"'!",$P$39)),$L$40,FALSE)&amp;"","")</f>
        <v/>
      </c>
      <c r="M65" s="410"/>
      <c r="N65" s="292" t="str">
        <f ca="1">IFERROR(VLOOKUP($B65,INDIRECT(CONCATENATE("'",成績管理表!$D$9,$L$39,"'!",$P$39)),$N$40,FALSE)&amp;"","")</f>
        <v/>
      </c>
      <c r="O65" s="292" t="str">
        <f ca="1">IFERROR(VLOOKUP($B65,INDIRECT(CONCATENATE("'",成績管理表!$D$9,$L$39,"'!",$P$39)),$O$40,FALSE)&amp;"","")</f>
        <v/>
      </c>
      <c r="P65" s="292" t="str">
        <f ca="1">IFERROR(VLOOKUP($B65,INDIRECT(CONCATENATE("'",成績管理表!$D$9,$L$39,"'!",$P$39)),$P$40,FALSE)&amp;"","")</f>
        <v/>
      </c>
      <c r="Q65" s="410" t="str">
        <f ca="1">IFERROR(VLOOKUP($B65,INDIRECT(CONCATENATE("'",成績管理表!$D$9,$L$39,"'!",$P$39)),$Q$40,FALSE)&amp;"","")</f>
        <v/>
      </c>
      <c r="R65" s="410"/>
      <c r="S65" s="129" t="str">
        <f ca="1">IFERROR(VLOOKUP($B65,INDIRECT(CONCATENATE("'",成績管理表!$D$9,$L$39,"'!",$P$39)),$S$40,FALSE),"")</f>
        <v/>
      </c>
      <c r="T65" s="110"/>
      <c r="U65" s="190" t="str">
        <f t="shared" si="128"/>
        <v/>
      </c>
      <c r="V65" s="130" t="str">
        <f ca="1">IFERROR(VLOOKUP($B65,INDIRECT(CONCATENATE("'",成績管理表!$D$9,$L$39,"'!",$P$39)),$V$40,FALSE)&amp;"","")</f>
        <v/>
      </c>
      <c r="W65" s="292" t="str">
        <f t="shared" ca="1" si="129"/>
        <v/>
      </c>
      <c r="X65" s="292" t="str">
        <f t="shared" ca="1" si="130"/>
        <v/>
      </c>
      <c r="Y65" s="292" t="str">
        <f t="shared" ca="1" si="131"/>
        <v/>
      </c>
      <c r="Z65" s="410" t="str">
        <f t="shared" ca="1" si="132"/>
        <v/>
      </c>
      <c r="AA65" s="410"/>
      <c r="AB65" s="411" t="str">
        <f t="shared" ca="1" si="133"/>
        <v/>
      </c>
      <c r="AC65" s="411"/>
      <c r="AD65" s="412"/>
      <c r="AE65" s="273" t="str">
        <f t="shared" ca="1" si="134"/>
        <v/>
      </c>
      <c r="AF65" s="29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93" t="b">
        <f t="shared" ca="1" si="135"/>
        <v>1</v>
      </c>
      <c r="AH65" s="131" t="b">
        <f t="shared" ca="1" si="136"/>
        <v>1</v>
      </c>
      <c r="AI65" s="291" t="s">
        <v>1000</v>
      </c>
    </row>
    <row r="66" spans="2:35" ht="18.75" x14ac:dyDescent="0.4">
      <c r="B66" s="420"/>
      <c r="C66" s="421"/>
      <c r="D66" s="421"/>
      <c r="E66" s="421"/>
      <c r="F66" s="422" t="str">
        <f t="shared" ca="1" si="127"/>
        <v/>
      </c>
      <c r="G66" s="422"/>
      <c r="H66" s="42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423"/>
      <c r="J66" s="410" t="str">
        <f ca="1">IFERROR(VLOOKUP($B66,INDIRECT(CONCATENATE("'",成績管理表!$D$9,$L$39,"'!",$P$39)),$J$40,FALSE)&amp;"","")</f>
        <v/>
      </c>
      <c r="K66" s="410"/>
      <c r="L66" s="410" t="str">
        <f ca="1">IFERROR(VLOOKUP($B66,INDIRECT(CONCATENATE("'",成績管理表!$D$9,$L$39,"'!",$P$39)),$L$40,FALSE)&amp;"","")</f>
        <v/>
      </c>
      <c r="M66" s="410"/>
      <c r="N66" s="292" t="str">
        <f ca="1">IFERROR(VLOOKUP($B66,INDIRECT(CONCATENATE("'",成績管理表!$D$9,$L$39,"'!",$P$39)),$N$40,FALSE)&amp;"","")</f>
        <v/>
      </c>
      <c r="O66" s="292" t="str">
        <f ca="1">IFERROR(VLOOKUP($B66,INDIRECT(CONCATENATE("'",成績管理表!$D$9,$L$39,"'!",$P$39)),$O$40,FALSE)&amp;"","")</f>
        <v/>
      </c>
      <c r="P66" s="292" t="str">
        <f ca="1">IFERROR(VLOOKUP($B66,INDIRECT(CONCATENATE("'",成績管理表!$D$9,$L$39,"'!",$P$39)),$P$40,FALSE)&amp;"","")</f>
        <v/>
      </c>
      <c r="Q66" s="410" t="str">
        <f ca="1">IFERROR(VLOOKUP($B66,INDIRECT(CONCATENATE("'",成績管理表!$D$9,$L$39,"'!",$P$39)),$Q$40,FALSE)&amp;"","")</f>
        <v/>
      </c>
      <c r="R66" s="410"/>
      <c r="S66" s="129" t="str">
        <f ca="1">IFERROR(VLOOKUP($B66,INDIRECT(CONCATENATE("'",成績管理表!$D$9,$L$39,"'!",$P$39)),$S$40,FALSE),"")</f>
        <v/>
      </c>
      <c r="T66" s="110"/>
      <c r="U66" s="190" t="str">
        <f t="shared" si="128"/>
        <v/>
      </c>
      <c r="V66" s="130" t="str">
        <f ca="1">IFERROR(VLOOKUP($B66,INDIRECT(CONCATENATE("'",成績管理表!$D$9,$L$39,"'!",$P$39)),$V$40,FALSE)&amp;"","")</f>
        <v/>
      </c>
      <c r="W66" s="292" t="str">
        <f t="shared" ca="1" si="129"/>
        <v/>
      </c>
      <c r="X66" s="292" t="str">
        <f t="shared" ca="1" si="130"/>
        <v/>
      </c>
      <c r="Y66" s="292" t="str">
        <f t="shared" ca="1" si="131"/>
        <v/>
      </c>
      <c r="Z66" s="410" t="str">
        <f t="shared" ca="1" si="132"/>
        <v/>
      </c>
      <c r="AA66" s="410"/>
      <c r="AB66" s="411" t="str">
        <f t="shared" ca="1" si="133"/>
        <v/>
      </c>
      <c r="AC66" s="411"/>
      <c r="AD66" s="412"/>
      <c r="AE66" s="273" t="str">
        <f t="shared" ca="1" si="134"/>
        <v/>
      </c>
      <c r="AF66" s="29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93" t="b">
        <f t="shared" ca="1" si="135"/>
        <v>1</v>
      </c>
      <c r="AH66" s="131" t="b">
        <f t="shared" ca="1" si="136"/>
        <v>1</v>
      </c>
      <c r="AI66" s="291" t="s">
        <v>1000</v>
      </c>
    </row>
    <row r="67" spans="2:35" ht="18.75" x14ac:dyDescent="0.4">
      <c r="B67" s="420"/>
      <c r="C67" s="421"/>
      <c r="D67" s="421"/>
      <c r="E67" s="421"/>
      <c r="F67" s="422" t="str">
        <f t="shared" ca="1" si="127"/>
        <v/>
      </c>
      <c r="G67" s="422"/>
      <c r="H67" s="42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423"/>
      <c r="J67" s="410" t="str">
        <f ca="1">IFERROR(VLOOKUP($B67,INDIRECT(CONCATENATE("'",成績管理表!$D$9,$L$39,"'!",$P$39)),$J$40,FALSE)&amp;"","")</f>
        <v/>
      </c>
      <c r="K67" s="410"/>
      <c r="L67" s="410" t="str">
        <f ca="1">IFERROR(VLOOKUP($B67,INDIRECT(CONCATENATE("'",成績管理表!$D$9,$L$39,"'!",$P$39)),$L$40,FALSE)&amp;"","")</f>
        <v/>
      </c>
      <c r="M67" s="410"/>
      <c r="N67" s="292" t="str">
        <f ca="1">IFERROR(VLOOKUP($B67,INDIRECT(CONCATENATE("'",成績管理表!$D$9,$L$39,"'!",$P$39)),$N$40,FALSE)&amp;"","")</f>
        <v/>
      </c>
      <c r="O67" s="292" t="str">
        <f ca="1">IFERROR(VLOOKUP($B67,INDIRECT(CONCATENATE("'",成績管理表!$D$9,$L$39,"'!",$P$39)),$O$40,FALSE)&amp;"","")</f>
        <v/>
      </c>
      <c r="P67" s="292" t="str">
        <f ca="1">IFERROR(VLOOKUP($B67,INDIRECT(CONCATENATE("'",成績管理表!$D$9,$L$39,"'!",$P$39)),$P$40,FALSE)&amp;"","")</f>
        <v/>
      </c>
      <c r="Q67" s="410" t="str">
        <f ca="1">IFERROR(VLOOKUP($B67,INDIRECT(CONCATENATE("'",成績管理表!$D$9,$L$39,"'!",$P$39)),$Q$40,FALSE)&amp;"","")</f>
        <v/>
      </c>
      <c r="R67" s="410"/>
      <c r="S67" s="129" t="str">
        <f ca="1">IFERROR(VLOOKUP($B67,INDIRECT(CONCATENATE("'",成績管理表!$D$9,$L$39,"'!",$P$39)),$S$40,FALSE),"")</f>
        <v/>
      </c>
      <c r="T67" s="110"/>
      <c r="U67" s="190" t="str">
        <f t="shared" si="128"/>
        <v/>
      </c>
      <c r="V67" s="130" t="str">
        <f ca="1">IFERROR(VLOOKUP($B67,INDIRECT(CONCATENATE("'",成績管理表!$D$9,$L$39,"'!",$P$39)),$V$40,FALSE)&amp;"","")</f>
        <v/>
      </c>
      <c r="W67" s="292" t="str">
        <f t="shared" ca="1" si="129"/>
        <v/>
      </c>
      <c r="X67" s="292" t="str">
        <f t="shared" ca="1" si="130"/>
        <v/>
      </c>
      <c r="Y67" s="292" t="str">
        <f t="shared" ca="1" si="131"/>
        <v/>
      </c>
      <c r="Z67" s="410" t="str">
        <f t="shared" ca="1" si="132"/>
        <v/>
      </c>
      <c r="AA67" s="410"/>
      <c r="AB67" s="411" t="str">
        <f t="shared" ca="1" si="133"/>
        <v/>
      </c>
      <c r="AC67" s="411"/>
      <c r="AD67" s="412"/>
      <c r="AE67" s="273" t="str">
        <f t="shared" ca="1" si="134"/>
        <v/>
      </c>
      <c r="AF67" s="29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93" t="b">
        <f t="shared" ca="1" si="135"/>
        <v>1</v>
      </c>
      <c r="AH67" s="131" t="b">
        <f t="shared" ca="1" si="136"/>
        <v>1</v>
      </c>
      <c r="AI67" s="291" t="s">
        <v>1000</v>
      </c>
    </row>
    <row r="68" spans="2:35" ht="18.75" x14ac:dyDescent="0.4">
      <c r="B68" s="420"/>
      <c r="C68" s="421"/>
      <c r="D68" s="421"/>
      <c r="E68" s="421"/>
      <c r="F68" s="422" t="str">
        <f t="shared" ca="1" si="127"/>
        <v/>
      </c>
      <c r="G68" s="422"/>
      <c r="H68" s="42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423"/>
      <c r="J68" s="410" t="str">
        <f ca="1">IFERROR(VLOOKUP($B68,INDIRECT(CONCATENATE("'",成績管理表!$D$9,$L$39,"'!",$P$39)),$J$40,FALSE)&amp;"","")</f>
        <v/>
      </c>
      <c r="K68" s="410"/>
      <c r="L68" s="410" t="str">
        <f ca="1">IFERROR(VLOOKUP($B68,INDIRECT(CONCATENATE("'",成績管理表!$D$9,$L$39,"'!",$P$39)),$L$40,FALSE)&amp;"","")</f>
        <v/>
      </c>
      <c r="M68" s="410"/>
      <c r="N68" s="292" t="str">
        <f ca="1">IFERROR(VLOOKUP($B68,INDIRECT(CONCATENATE("'",成績管理表!$D$9,$L$39,"'!",$P$39)),$N$40,FALSE)&amp;"","")</f>
        <v/>
      </c>
      <c r="O68" s="292" t="str">
        <f ca="1">IFERROR(VLOOKUP($B68,INDIRECT(CONCATENATE("'",成績管理表!$D$9,$L$39,"'!",$P$39)),$O$40,FALSE)&amp;"","")</f>
        <v/>
      </c>
      <c r="P68" s="292" t="str">
        <f ca="1">IFERROR(VLOOKUP($B68,INDIRECT(CONCATENATE("'",成績管理表!$D$9,$L$39,"'!",$P$39)),$P$40,FALSE)&amp;"","")</f>
        <v/>
      </c>
      <c r="Q68" s="410" t="str">
        <f ca="1">IFERROR(VLOOKUP($B68,INDIRECT(CONCATENATE("'",成績管理表!$D$9,$L$39,"'!",$P$39)),$Q$40,FALSE)&amp;"","")</f>
        <v/>
      </c>
      <c r="R68" s="410"/>
      <c r="S68" s="129" t="str">
        <f ca="1">IFERROR(VLOOKUP($B68,INDIRECT(CONCATENATE("'",成績管理表!$D$9,$L$39,"'!",$P$39)),$S$40,FALSE),"")</f>
        <v/>
      </c>
      <c r="T68" s="110"/>
      <c r="U68" s="190" t="str">
        <f t="shared" si="128"/>
        <v/>
      </c>
      <c r="V68" s="130" t="str">
        <f ca="1">IFERROR(VLOOKUP($B68,INDIRECT(CONCATENATE("'",成績管理表!$D$9,$L$39,"'!",$P$39)),$V$40,FALSE)&amp;"","")</f>
        <v/>
      </c>
      <c r="W68" s="292" t="str">
        <f t="shared" ca="1" si="129"/>
        <v/>
      </c>
      <c r="X68" s="292" t="str">
        <f t="shared" ca="1" si="130"/>
        <v/>
      </c>
      <c r="Y68" s="292" t="str">
        <f t="shared" ca="1" si="131"/>
        <v/>
      </c>
      <c r="Z68" s="410" t="str">
        <f t="shared" ca="1" si="132"/>
        <v/>
      </c>
      <c r="AA68" s="410"/>
      <c r="AB68" s="411" t="str">
        <f t="shared" ca="1" si="133"/>
        <v/>
      </c>
      <c r="AC68" s="411"/>
      <c r="AD68" s="412"/>
      <c r="AE68" s="273" t="str">
        <f t="shared" ca="1" si="134"/>
        <v/>
      </c>
      <c r="AF68" s="29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93" t="b">
        <f t="shared" ca="1" si="135"/>
        <v>1</v>
      </c>
      <c r="AH68" s="131" t="b">
        <f t="shared" ca="1" si="136"/>
        <v>1</v>
      </c>
      <c r="AI68" s="291" t="s">
        <v>1000</v>
      </c>
    </row>
    <row r="69" spans="2:35" ht="18.75" x14ac:dyDescent="0.4">
      <c r="B69" s="420"/>
      <c r="C69" s="421"/>
      <c r="D69" s="421"/>
      <c r="E69" s="421"/>
      <c r="F69" s="422" t="str">
        <f t="shared" ca="1" si="127"/>
        <v/>
      </c>
      <c r="G69" s="422"/>
      <c r="H69" s="42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423"/>
      <c r="J69" s="410" t="str">
        <f ca="1">IFERROR(VLOOKUP($B69,INDIRECT(CONCATENATE("'",成績管理表!$D$9,$L$39,"'!",$P$39)),$J$40,FALSE)&amp;"","")</f>
        <v/>
      </c>
      <c r="K69" s="410"/>
      <c r="L69" s="410" t="str">
        <f ca="1">IFERROR(VLOOKUP($B69,INDIRECT(CONCATENATE("'",成績管理表!$D$9,$L$39,"'!",$P$39)),$L$40,FALSE)&amp;"","")</f>
        <v/>
      </c>
      <c r="M69" s="410"/>
      <c r="N69" s="292" t="str">
        <f ca="1">IFERROR(VLOOKUP($B69,INDIRECT(CONCATENATE("'",成績管理表!$D$9,$L$39,"'!",$P$39)),$N$40,FALSE)&amp;"","")</f>
        <v/>
      </c>
      <c r="O69" s="292" t="str">
        <f ca="1">IFERROR(VLOOKUP($B69,INDIRECT(CONCATENATE("'",成績管理表!$D$9,$L$39,"'!",$P$39)),$O$40,FALSE)&amp;"","")</f>
        <v/>
      </c>
      <c r="P69" s="292" t="str">
        <f ca="1">IFERROR(VLOOKUP($B69,INDIRECT(CONCATENATE("'",成績管理表!$D$9,$L$39,"'!",$P$39)),$P$40,FALSE)&amp;"","")</f>
        <v/>
      </c>
      <c r="Q69" s="410" t="str">
        <f ca="1">IFERROR(VLOOKUP($B69,INDIRECT(CONCATENATE("'",成績管理表!$D$9,$L$39,"'!",$P$39)),$Q$40,FALSE)&amp;"","")</f>
        <v/>
      </c>
      <c r="R69" s="410"/>
      <c r="S69" s="129" t="str">
        <f ca="1">IFERROR(VLOOKUP($B69,INDIRECT(CONCATENATE("'",成績管理表!$D$9,$L$39,"'!",$P$39)),$S$40,FALSE),"")</f>
        <v/>
      </c>
      <c r="T69" s="110"/>
      <c r="U69" s="190" t="str">
        <f t="shared" si="128"/>
        <v/>
      </c>
      <c r="V69" s="130" t="str">
        <f ca="1">IFERROR(VLOOKUP($B69,INDIRECT(CONCATENATE("'",成績管理表!$D$9,$L$39,"'!",$P$39)),$V$40,FALSE)&amp;"","")</f>
        <v/>
      </c>
      <c r="W69" s="292" t="str">
        <f t="shared" ca="1" si="129"/>
        <v/>
      </c>
      <c r="X69" s="292" t="str">
        <f t="shared" ca="1" si="130"/>
        <v/>
      </c>
      <c r="Y69" s="292" t="str">
        <f t="shared" ca="1" si="131"/>
        <v/>
      </c>
      <c r="Z69" s="410" t="str">
        <f t="shared" ca="1" si="132"/>
        <v/>
      </c>
      <c r="AA69" s="410"/>
      <c r="AB69" s="411" t="str">
        <f t="shared" ca="1" si="133"/>
        <v/>
      </c>
      <c r="AC69" s="411"/>
      <c r="AD69" s="412"/>
      <c r="AE69" s="273" t="str">
        <f t="shared" ca="1" si="134"/>
        <v/>
      </c>
      <c r="AF69" s="29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93" t="b">
        <f t="shared" ca="1" si="135"/>
        <v>1</v>
      </c>
      <c r="AH69" s="131" t="b">
        <f t="shared" ca="1" si="136"/>
        <v>1</v>
      </c>
    </row>
    <row r="70" spans="2:35" ht="18.75" x14ac:dyDescent="0.4">
      <c r="B70" s="420"/>
      <c r="C70" s="421"/>
      <c r="D70" s="421"/>
      <c r="E70" s="421"/>
      <c r="F70" s="422" t="str">
        <f t="shared" ca="1" si="127"/>
        <v/>
      </c>
      <c r="G70" s="422"/>
      <c r="H70" s="42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423"/>
      <c r="J70" s="410" t="str">
        <f ca="1">IFERROR(VLOOKUP($B70,INDIRECT(CONCATENATE("'",成績管理表!$D$9,$L$39,"'!",$P$39)),$J$40,FALSE)&amp;"","")</f>
        <v/>
      </c>
      <c r="K70" s="410"/>
      <c r="L70" s="410" t="str">
        <f ca="1">IFERROR(VLOOKUP($B70,INDIRECT(CONCATENATE("'",成績管理表!$D$9,$L$39,"'!",$P$39)),$L$40,FALSE)&amp;"","")</f>
        <v/>
      </c>
      <c r="M70" s="410"/>
      <c r="N70" s="292" t="str">
        <f ca="1">IFERROR(VLOOKUP($B70,INDIRECT(CONCATENATE("'",成績管理表!$D$9,$L$39,"'!",$P$39)),$N$40,FALSE)&amp;"","")</f>
        <v/>
      </c>
      <c r="O70" s="292" t="str">
        <f ca="1">IFERROR(VLOOKUP($B70,INDIRECT(CONCATENATE("'",成績管理表!$D$9,$L$39,"'!",$P$39)),$O$40,FALSE)&amp;"","")</f>
        <v/>
      </c>
      <c r="P70" s="292" t="str">
        <f ca="1">IFERROR(VLOOKUP($B70,INDIRECT(CONCATENATE("'",成績管理表!$D$9,$L$39,"'!",$P$39)),$P$40,FALSE)&amp;"","")</f>
        <v/>
      </c>
      <c r="Q70" s="410" t="str">
        <f ca="1">IFERROR(VLOOKUP($B70,INDIRECT(CONCATENATE("'",成績管理表!$D$9,$L$39,"'!",$P$39)),$Q$40,FALSE)&amp;"","")</f>
        <v/>
      </c>
      <c r="R70" s="410"/>
      <c r="S70" s="129" t="str">
        <f ca="1">IFERROR(VLOOKUP($B70,INDIRECT(CONCATENATE("'",成績管理表!$D$9,$L$39,"'!",$P$39)),$S$40,FALSE),"")</f>
        <v/>
      </c>
      <c r="T70" s="110"/>
      <c r="U70" s="190" t="str">
        <f t="shared" si="128"/>
        <v/>
      </c>
      <c r="V70" s="130" t="str">
        <f ca="1">IFERROR(VLOOKUP($B70,INDIRECT(CONCATENATE("'",成績管理表!$D$9,$L$39,"'!",$P$39)),$V$40,FALSE)&amp;"","")</f>
        <v/>
      </c>
      <c r="W70" s="292" t="str">
        <f t="shared" ca="1" si="129"/>
        <v/>
      </c>
      <c r="X70" s="292" t="str">
        <f t="shared" ca="1" si="130"/>
        <v/>
      </c>
      <c r="Y70" s="292" t="str">
        <f t="shared" ca="1" si="131"/>
        <v/>
      </c>
      <c r="Z70" s="410" t="str">
        <f t="shared" ca="1" si="132"/>
        <v/>
      </c>
      <c r="AA70" s="410"/>
      <c r="AB70" s="411" t="str">
        <f t="shared" ca="1" si="133"/>
        <v/>
      </c>
      <c r="AC70" s="411"/>
      <c r="AD70" s="412"/>
      <c r="AE70" s="273" t="str">
        <f t="shared" ca="1" si="134"/>
        <v/>
      </c>
      <c r="AF70" s="29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93" t="b">
        <f t="shared" ca="1" si="135"/>
        <v>1</v>
      </c>
      <c r="AH70" s="131" t="b">
        <f t="shared" ca="1" si="136"/>
        <v>1</v>
      </c>
    </row>
    <row r="71" spans="2:35" ht="18.75" x14ac:dyDescent="0.4">
      <c r="B71" s="420"/>
      <c r="C71" s="421"/>
      <c r="D71" s="421"/>
      <c r="E71" s="421"/>
      <c r="F71" s="422" t="str">
        <f t="shared" ca="1" si="127"/>
        <v/>
      </c>
      <c r="G71" s="422"/>
      <c r="H71" s="42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423"/>
      <c r="J71" s="410" t="str">
        <f ca="1">IFERROR(VLOOKUP($B71,INDIRECT(CONCATENATE("'",成績管理表!$D$9,$L$39,"'!",$P$39)),$J$40,FALSE)&amp;"","")</f>
        <v/>
      </c>
      <c r="K71" s="410"/>
      <c r="L71" s="410" t="str">
        <f ca="1">IFERROR(VLOOKUP($B71,INDIRECT(CONCATENATE("'",成績管理表!$D$9,$L$39,"'!",$P$39)),$L$40,FALSE)&amp;"","")</f>
        <v/>
      </c>
      <c r="M71" s="410"/>
      <c r="N71" s="292" t="str">
        <f ca="1">IFERROR(VLOOKUP($B71,INDIRECT(CONCATENATE("'",成績管理表!$D$9,$L$39,"'!",$P$39)),$N$40,FALSE)&amp;"","")</f>
        <v/>
      </c>
      <c r="O71" s="292" t="str">
        <f ca="1">IFERROR(VLOOKUP($B71,INDIRECT(CONCATENATE("'",成績管理表!$D$9,$L$39,"'!",$P$39)),$O$40,FALSE)&amp;"","")</f>
        <v/>
      </c>
      <c r="P71" s="292" t="str">
        <f ca="1">IFERROR(VLOOKUP($B71,INDIRECT(CONCATENATE("'",成績管理表!$D$9,$L$39,"'!",$P$39)),$P$40,FALSE)&amp;"","")</f>
        <v/>
      </c>
      <c r="Q71" s="410" t="str">
        <f ca="1">IFERROR(VLOOKUP($B71,INDIRECT(CONCATENATE("'",成績管理表!$D$9,$L$39,"'!",$P$39)),$Q$40,FALSE)&amp;"","")</f>
        <v/>
      </c>
      <c r="R71" s="410"/>
      <c r="S71" s="129" t="str">
        <f ca="1">IFERROR(VLOOKUP($B71,INDIRECT(CONCATENATE("'",成績管理表!$D$9,$L$39,"'!",$P$39)),$S$40,FALSE),"")</f>
        <v/>
      </c>
      <c r="T71" s="110"/>
      <c r="U71" s="190" t="str">
        <f t="shared" si="128"/>
        <v/>
      </c>
      <c r="V71" s="130" t="str">
        <f ca="1">IFERROR(VLOOKUP($B71,INDIRECT(CONCATENATE("'",成績管理表!$D$9,$L$39,"'!",$P$39)),$V$40,FALSE)&amp;"","")</f>
        <v/>
      </c>
      <c r="W71" s="292" t="str">
        <f t="shared" ca="1" si="129"/>
        <v/>
      </c>
      <c r="X71" s="292" t="str">
        <f t="shared" ca="1" si="130"/>
        <v/>
      </c>
      <c r="Y71" s="292" t="str">
        <f t="shared" ca="1" si="131"/>
        <v/>
      </c>
      <c r="Z71" s="410" t="str">
        <f t="shared" ca="1" si="132"/>
        <v/>
      </c>
      <c r="AA71" s="410"/>
      <c r="AB71" s="411" t="str">
        <f t="shared" ca="1" si="133"/>
        <v/>
      </c>
      <c r="AC71" s="411"/>
      <c r="AD71" s="412"/>
      <c r="AE71" s="273" t="str">
        <f t="shared" ca="1" si="134"/>
        <v/>
      </c>
      <c r="AF71" s="29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93" t="b">
        <f t="shared" ca="1" si="135"/>
        <v>1</v>
      </c>
      <c r="AH71" s="131" t="b">
        <f t="shared" ca="1" si="136"/>
        <v>1</v>
      </c>
    </row>
    <row r="72" spans="2:35" ht="18.75" x14ac:dyDescent="0.4">
      <c r="B72" s="420"/>
      <c r="C72" s="421"/>
      <c r="D72" s="421"/>
      <c r="E72" s="421"/>
      <c r="F72" s="422" t="str">
        <f t="shared" ca="1" si="127"/>
        <v/>
      </c>
      <c r="G72" s="422"/>
      <c r="H72" s="42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423"/>
      <c r="J72" s="410" t="str">
        <f ca="1">IFERROR(VLOOKUP($B72,INDIRECT(CONCATENATE("'",成績管理表!$D$9,$L$39,"'!",$P$39)),$J$40,FALSE)&amp;"","")</f>
        <v/>
      </c>
      <c r="K72" s="410"/>
      <c r="L72" s="410" t="str">
        <f ca="1">IFERROR(VLOOKUP($B72,INDIRECT(CONCATENATE("'",成績管理表!$D$9,$L$39,"'!",$P$39)),$L$40,FALSE)&amp;"","")</f>
        <v/>
      </c>
      <c r="M72" s="410"/>
      <c r="N72" s="292" t="str">
        <f ca="1">IFERROR(VLOOKUP($B72,INDIRECT(CONCATENATE("'",成績管理表!$D$9,$L$39,"'!",$P$39)),$N$40,FALSE)&amp;"","")</f>
        <v/>
      </c>
      <c r="O72" s="292" t="str">
        <f ca="1">IFERROR(VLOOKUP($B72,INDIRECT(CONCATENATE("'",成績管理表!$D$9,$L$39,"'!",$P$39)),$O$40,FALSE)&amp;"","")</f>
        <v/>
      </c>
      <c r="P72" s="292" t="str">
        <f ca="1">IFERROR(VLOOKUP($B72,INDIRECT(CONCATENATE("'",成績管理表!$D$9,$L$39,"'!",$P$39)),$P$40,FALSE)&amp;"","")</f>
        <v/>
      </c>
      <c r="Q72" s="410" t="str">
        <f ca="1">IFERROR(VLOOKUP($B72,INDIRECT(CONCATENATE("'",成績管理表!$D$9,$L$39,"'!",$P$39)),$Q$40,FALSE)&amp;"","")</f>
        <v/>
      </c>
      <c r="R72" s="410"/>
      <c r="S72" s="129" t="str">
        <f ca="1">IFERROR(VLOOKUP($B72,INDIRECT(CONCATENATE("'",成績管理表!$D$9,$L$39,"'!",$P$39)),$S$40,FALSE),"")</f>
        <v/>
      </c>
      <c r="T72" s="110"/>
      <c r="U72" s="190" t="str">
        <f t="shared" si="128"/>
        <v/>
      </c>
      <c r="V72" s="130" t="str">
        <f ca="1">IFERROR(VLOOKUP($B72,INDIRECT(CONCATENATE("'",成績管理表!$D$9,$L$39,"'!",$P$39)),$V$40,FALSE)&amp;"","")</f>
        <v/>
      </c>
      <c r="W72" s="292" t="str">
        <f t="shared" ca="1" si="129"/>
        <v/>
      </c>
      <c r="X72" s="292" t="str">
        <f t="shared" ca="1" si="130"/>
        <v/>
      </c>
      <c r="Y72" s="292" t="str">
        <f t="shared" ca="1" si="131"/>
        <v/>
      </c>
      <c r="Z72" s="410" t="str">
        <f t="shared" ca="1" si="132"/>
        <v/>
      </c>
      <c r="AA72" s="410"/>
      <c r="AB72" s="411" t="str">
        <f t="shared" ca="1" si="133"/>
        <v/>
      </c>
      <c r="AC72" s="411"/>
      <c r="AD72" s="412"/>
      <c r="AE72" s="273" t="str">
        <f t="shared" ca="1" si="134"/>
        <v/>
      </c>
      <c r="AF72" s="29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93" t="b">
        <f t="shared" ca="1" si="135"/>
        <v>1</v>
      </c>
      <c r="AH72" s="131" t="b">
        <f t="shared" ca="1" si="136"/>
        <v>1</v>
      </c>
    </row>
    <row r="73" spans="2:35" ht="18.75" customHeight="1" thickBot="1" x14ac:dyDescent="0.45">
      <c r="B73" s="413"/>
      <c r="C73" s="414"/>
      <c r="D73" s="414"/>
      <c r="E73" s="414"/>
      <c r="F73" s="415" t="str">
        <f t="shared" ca="1" si="127"/>
        <v/>
      </c>
      <c r="G73" s="415"/>
      <c r="H73" s="416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416"/>
      <c r="J73" s="417" t="str">
        <f ca="1">IFERROR(VLOOKUP($B73,INDIRECT(CONCATENATE("'",成績管理表!$D$9,$L$39,"'!",$P$39)),$J$40,FALSE)&amp;"","")</f>
        <v/>
      </c>
      <c r="K73" s="417"/>
      <c r="L73" s="417" t="str">
        <f ca="1">IFERROR(VLOOKUP($B73,INDIRECT(CONCATENATE("'",成績管理表!$D$9,$L$39,"'!",$P$39)),$L$40,FALSE)&amp;"","")</f>
        <v/>
      </c>
      <c r="M73" s="417"/>
      <c r="N73" s="301" t="str">
        <f ca="1">IFERROR(VLOOKUP($B73,INDIRECT(CONCATENATE("'",成績管理表!$D$9,$L$39,"'!",$P$39)),$N$40,FALSE)&amp;"","")</f>
        <v/>
      </c>
      <c r="O73" s="301" t="str">
        <f ca="1">IFERROR(VLOOKUP($B73,INDIRECT(CONCATENATE("'",成績管理表!$D$9,$L$39,"'!",$P$39)),$O$40,FALSE)&amp;"","")</f>
        <v/>
      </c>
      <c r="P73" s="301" t="str">
        <f ca="1">IFERROR(VLOOKUP($B73,INDIRECT(CONCATENATE("'",成績管理表!$D$9,$L$39,"'!",$P$39)),$P$40,FALSE)&amp;"","")</f>
        <v/>
      </c>
      <c r="Q73" s="417" t="str">
        <f ca="1">IFERROR(VLOOKUP($B73,INDIRECT(CONCATENATE("'",成績管理表!$D$9,$L$39,"'!",$P$39)),$Q$40,FALSE)&amp;"","")</f>
        <v/>
      </c>
      <c r="R73" s="417"/>
      <c r="S73" s="133" t="str">
        <f ca="1">IFERROR(VLOOKUP($B73,INDIRECT(CONCATENATE("'",成績管理表!$D$9,$L$39,"'!",$P$39)),$S$40,FALSE),"")</f>
        <v/>
      </c>
      <c r="T73" s="111"/>
      <c r="U73" s="191" t="str">
        <f t="shared" si="128"/>
        <v/>
      </c>
      <c r="V73" s="134" t="str">
        <f ca="1">IFERROR(VLOOKUP($B73,INDIRECT(CONCATENATE("'",成績管理表!$D$9,$L$39,"'!",$P$39)),$V$40,FALSE)&amp;"","")</f>
        <v/>
      </c>
      <c r="W73" s="301" t="str">
        <f t="shared" ca="1" si="129"/>
        <v/>
      </c>
      <c r="X73" s="301" t="str">
        <f t="shared" ca="1" si="130"/>
        <v/>
      </c>
      <c r="Y73" s="301" t="str">
        <f t="shared" ca="1" si="131"/>
        <v/>
      </c>
      <c r="Z73" s="417" t="str">
        <f t="shared" ca="1" si="132"/>
        <v/>
      </c>
      <c r="AA73" s="417"/>
      <c r="AB73" s="418" t="str">
        <f t="shared" ca="1" si="133"/>
        <v/>
      </c>
      <c r="AC73" s="418"/>
      <c r="AD73" s="419"/>
      <c r="AE73" s="274" t="str">
        <f t="shared" ca="1" si="134"/>
        <v/>
      </c>
      <c r="AF73" s="300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00" t="b">
        <f t="shared" ca="1" si="135"/>
        <v>1</v>
      </c>
      <c r="AH73" s="131" t="b">
        <f t="shared" ca="1" si="136"/>
        <v>1</v>
      </c>
    </row>
    <row r="74" spans="2:35" ht="6.75" customHeight="1" x14ac:dyDescent="0.4">
      <c r="B74" s="291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291"/>
      <c r="AA74" s="291"/>
      <c r="AB74" s="291"/>
      <c r="AC74" s="291"/>
      <c r="AD74" s="291"/>
      <c r="AE74" s="291"/>
      <c r="AF74" s="291"/>
      <c r="AG74" s="291"/>
      <c r="AH74" s="291"/>
    </row>
  </sheetData>
  <sheetProtection algorithmName="SHA-512" hashValue="Zlh4FnGovpRrXEULRPTFOdiQxFqenOqYL00j5nhWAzu6lbrPIiwG4lwKXaurSFx5XUXHDAyqeHaxeEoqZTPjnA==" saltValue="/37uUg8f68W3Xo4+Xc3Ws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T39:U39"/>
    <mergeCell ref="V39:W39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60" priority="4">
      <formula>$AG44=FALSE</formula>
    </cfRule>
  </conditionalFormatting>
  <conditionalFormatting sqref="D9:R9 D14:R14 D19:R19 D24:R24 D29:R29">
    <cfRule type="expression" dxfId="59" priority="3">
      <formula>F10="重複あり"</formula>
    </cfRule>
  </conditionalFormatting>
  <conditionalFormatting sqref="D6:R8 D11:R13 D16:R18 D21:R23 D26:R28">
    <cfRule type="expression" dxfId="58" priority="2">
      <formula>F10="重複あり"</formula>
    </cfRule>
  </conditionalFormatting>
  <conditionalFormatting sqref="X44:Y73">
    <cfRule type="expression" dxfId="57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9C78B5DB-D2C3-4E48-960D-6F7D3B659CB5}">
      <formula1>"認定,不認定"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963DAF07-4D13-41B0-9D60-47DF13A76E66}"/>
    <dataValidation allowBlank="1" showInputMessage="1" showErrorMessage="1" promptTitle="【受講年度】を入力してください" prompt="【受講年度】に応じてデータベース照合が行われます．" sqref="B36:C36" xr:uid="{45C759D0-AA87-4DD4-B483-101736CF3F83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6C7BB-9E1C-4814-9526-CA9D9414928B}">
  <sheetPr>
    <tabColor theme="8" tint="0.79998168889431442"/>
  </sheetPr>
  <dimension ref="A1:AK74"/>
  <sheetViews>
    <sheetView topLeftCell="A18" zoomScale="84" zoomScaleNormal="85" workbookViewId="0">
      <selection activeCell="B44" sqref="B44:E59"/>
    </sheetView>
  </sheetViews>
  <sheetFormatPr defaultColWidth="0" defaultRowHeight="18.75" customHeight="1" zeroHeight="1" x14ac:dyDescent="0.4"/>
  <cols>
    <col min="1" max="1" width="1.25" style="291" customWidth="1"/>
    <col min="2" max="30" width="8.625" style="95" customWidth="1"/>
    <col min="31" max="34" width="11.25" style="95" hidden="1" customWidth="1"/>
    <col min="35" max="35" width="1.25" style="291" customWidth="1"/>
    <col min="36" max="36" width="8.625" style="275" hidden="1" customWidth="1"/>
    <col min="37" max="37" width="9.125" style="275" hidden="1" customWidth="1"/>
    <col min="38" max="16384" width="8.625" style="275" hidden="1"/>
  </cols>
  <sheetData>
    <row r="1" spans="1:35" ht="7.5" customHeight="1" x14ac:dyDescent="0.4"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</row>
    <row r="2" spans="1:35" s="276" customFormat="1" ht="30" customHeight="1" x14ac:dyDescent="0.4">
      <c r="A2" s="70"/>
      <c r="B2" s="524" t="str">
        <f ca="1">"　"&amp;RIGHT(CELL("filename",A1),LEN(CELL("filename",A1))-FIND("]",CELL("filename",A1)))&amp;"　時間割表"</f>
        <v>　１年春　時間割表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299"/>
      <c r="AD2" s="70"/>
      <c r="AE2" s="70"/>
      <c r="AF2" s="70"/>
      <c r="AG2" s="70"/>
      <c r="AH2" s="70"/>
      <c r="AI2" s="70"/>
    </row>
    <row r="3" spans="1:35" s="276" customFormat="1" ht="18.95" customHeight="1" x14ac:dyDescent="0.4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211" t="s">
        <v>707</v>
      </c>
      <c r="AA3" s="480">
        <f ca="1">NOW()</f>
        <v>43958.619200578702</v>
      </c>
      <c r="AB3" s="480"/>
      <c r="AC3" s="299"/>
      <c r="AD3" s="70"/>
      <c r="AE3" s="70"/>
      <c r="AF3" s="70"/>
      <c r="AG3" s="70"/>
      <c r="AH3" s="70"/>
      <c r="AI3" s="70"/>
    </row>
    <row r="4" spans="1:35" s="276" customFormat="1" ht="18.95" customHeight="1" thickBot="1" x14ac:dyDescent="0.4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211"/>
      <c r="AB4" s="299"/>
      <c r="AC4" s="299"/>
      <c r="AD4" s="70"/>
      <c r="AE4" s="70"/>
      <c r="AF4" s="70"/>
      <c r="AG4" s="70"/>
      <c r="AH4" s="70"/>
      <c r="AI4" s="70"/>
    </row>
    <row r="5" spans="1:35" s="277" customFormat="1" ht="18.95" customHeight="1" thickBot="1" x14ac:dyDescent="0.45">
      <c r="A5" s="68"/>
      <c r="B5" s="525"/>
      <c r="C5" s="526"/>
      <c r="D5" s="527" t="s">
        <v>988</v>
      </c>
      <c r="E5" s="528"/>
      <c r="F5" s="529"/>
      <c r="G5" s="527" t="s">
        <v>989</v>
      </c>
      <c r="H5" s="528"/>
      <c r="I5" s="529"/>
      <c r="J5" s="527" t="s">
        <v>990</v>
      </c>
      <c r="K5" s="528"/>
      <c r="L5" s="529"/>
      <c r="M5" s="527" t="s">
        <v>991</v>
      </c>
      <c r="N5" s="528"/>
      <c r="O5" s="529"/>
      <c r="P5" s="527" t="s">
        <v>992</v>
      </c>
      <c r="Q5" s="528"/>
      <c r="R5" s="529"/>
      <c r="S5" s="71"/>
      <c r="T5" s="530" t="s">
        <v>987</v>
      </c>
      <c r="U5" s="531"/>
      <c r="V5" s="532"/>
      <c r="W5" s="530" t="s">
        <v>2189</v>
      </c>
      <c r="X5" s="531"/>
      <c r="Y5" s="532"/>
      <c r="Z5" s="68"/>
      <c r="AA5" s="68"/>
      <c r="AB5" s="68"/>
      <c r="AC5" s="68"/>
      <c r="AD5" s="68"/>
      <c r="AE5" s="112"/>
      <c r="AF5" s="112"/>
      <c r="AG5" s="112"/>
      <c r="AH5" s="119"/>
      <c r="AI5" s="68"/>
    </row>
    <row r="6" spans="1:35" s="278" customFormat="1" ht="18.95" customHeight="1" x14ac:dyDescent="0.4">
      <c r="A6" s="72"/>
      <c r="B6" s="522">
        <v>1</v>
      </c>
      <c r="C6" s="523"/>
      <c r="D6" s="506" t="str">
        <f ca="1">IFERROR(IF(F10="ターム",INDIRECT($D$42&amp;D10)&amp;CHAR(10)&amp;INDIRECT($D$42&amp;E10),INDIRECT($D$42&amp;D10)),"")</f>
        <v/>
      </c>
      <c r="E6" s="507"/>
      <c r="F6" s="508"/>
      <c r="G6" s="506" t="str">
        <f t="shared" ref="G6" ca="1" si="0">IFERROR(IF(I10="ターム",INDIRECT($D$42&amp;G10)&amp;CHAR(10)&amp;INDIRECT($D$42&amp;H10),INDIRECT($D$42&amp;G10)),"")</f>
        <v/>
      </c>
      <c r="H6" s="507"/>
      <c r="I6" s="508"/>
      <c r="J6" s="506" t="str">
        <f t="shared" ref="J6" ca="1" si="1">IFERROR(IF(L10="ターム",INDIRECT($D$42&amp;J10)&amp;CHAR(10)&amp;INDIRECT($D$42&amp;K10),INDIRECT($D$42&amp;J10)),"")</f>
        <v/>
      </c>
      <c r="K6" s="507"/>
      <c r="L6" s="508"/>
      <c r="M6" s="506" t="str">
        <f t="shared" ref="M6" ca="1" si="2">IFERROR(IF(O10="ターム",INDIRECT($D$42&amp;M10)&amp;CHAR(10)&amp;INDIRECT($D$42&amp;N10),INDIRECT($D$42&amp;M10)),"")</f>
        <v/>
      </c>
      <c r="N6" s="507"/>
      <c r="O6" s="508"/>
      <c r="P6" s="506" t="str">
        <f t="shared" ref="P6" ca="1" si="3">IFERROR(IF(R10="ターム",INDIRECT($D$42&amp;P10)&amp;CHAR(10)&amp;INDIRECT($D$42&amp;Q10),INDIRECT($D$42&amp;P10)),"")</f>
        <v/>
      </c>
      <c r="Q6" s="507"/>
      <c r="R6" s="508"/>
      <c r="S6" s="72"/>
      <c r="T6" s="506" t="str">
        <f ca="1">IFERROR(IF(V10="ターム",INDIRECT($D$42&amp;T10)&amp;CHAR(10)&amp;INDIRECT($D$42&amp;U10),INDIRECT($D$42&amp;T10)),"")</f>
        <v/>
      </c>
      <c r="U6" s="507"/>
      <c r="V6" s="508"/>
      <c r="W6" s="506" t="str">
        <f ca="1">IFERROR(IF(Y10="ターム",INDIRECT($D$42&amp;W10)&amp;CHAR(10)&amp;INDIRECT($D$42&amp;X10),INDIRECT($D$42&amp;W10)),"")</f>
        <v/>
      </c>
      <c r="X6" s="507"/>
      <c r="Y6" s="508"/>
      <c r="Z6" s="72"/>
      <c r="AA6" s="72"/>
      <c r="AB6" s="72"/>
      <c r="AC6" s="72"/>
      <c r="AD6" s="72"/>
      <c r="AE6" s="113"/>
      <c r="AF6" s="113"/>
      <c r="AG6" s="113"/>
      <c r="AH6" s="358"/>
      <c r="AI6" s="72"/>
    </row>
    <row r="7" spans="1:35" s="278" customFormat="1" ht="18.95" customHeight="1" x14ac:dyDescent="0.4">
      <c r="A7" s="72"/>
      <c r="B7" s="502"/>
      <c r="C7" s="503"/>
      <c r="D7" s="509"/>
      <c r="E7" s="510"/>
      <c r="F7" s="511"/>
      <c r="G7" s="509"/>
      <c r="H7" s="510"/>
      <c r="I7" s="511"/>
      <c r="J7" s="509"/>
      <c r="K7" s="510"/>
      <c r="L7" s="511"/>
      <c r="M7" s="509"/>
      <c r="N7" s="510"/>
      <c r="O7" s="511"/>
      <c r="P7" s="509"/>
      <c r="Q7" s="510"/>
      <c r="R7" s="511"/>
      <c r="S7" s="72"/>
      <c r="T7" s="509"/>
      <c r="U7" s="510"/>
      <c r="V7" s="511"/>
      <c r="W7" s="509"/>
      <c r="X7" s="510"/>
      <c r="Y7" s="511"/>
      <c r="Z7" s="72"/>
      <c r="AA7" s="72"/>
      <c r="AB7" s="72"/>
      <c r="AC7" s="72"/>
      <c r="AD7" s="72"/>
      <c r="AE7" s="113"/>
      <c r="AF7" s="113"/>
      <c r="AG7" s="113"/>
      <c r="AH7" s="358"/>
      <c r="AI7" s="72"/>
    </row>
    <row r="8" spans="1:35" s="279" customFormat="1" ht="18.95" customHeight="1" x14ac:dyDescent="0.4">
      <c r="A8" s="114"/>
      <c r="B8" s="504"/>
      <c r="C8" s="505"/>
      <c r="D8" s="509"/>
      <c r="E8" s="510"/>
      <c r="F8" s="511"/>
      <c r="G8" s="509"/>
      <c r="H8" s="510"/>
      <c r="I8" s="511"/>
      <c r="J8" s="509"/>
      <c r="K8" s="510"/>
      <c r="L8" s="511"/>
      <c r="M8" s="509"/>
      <c r="N8" s="510"/>
      <c r="O8" s="511"/>
      <c r="P8" s="509"/>
      <c r="Q8" s="510"/>
      <c r="R8" s="511"/>
      <c r="S8" s="114"/>
      <c r="T8" s="509"/>
      <c r="U8" s="510"/>
      <c r="V8" s="511"/>
      <c r="W8" s="509"/>
      <c r="X8" s="510"/>
      <c r="Y8" s="511"/>
      <c r="Z8" s="114"/>
      <c r="AA8" s="114"/>
      <c r="AB8" s="114"/>
      <c r="AC8" s="114"/>
      <c r="AD8" s="114"/>
      <c r="AE8" s="115"/>
      <c r="AF8" s="115"/>
      <c r="AG8" s="115"/>
      <c r="AH8" s="359"/>
      <c r="AI8" s="114"/>
    </row>
    <row r="9" spans="1:35" s="278" customFormat="1" ht="18.95" customHeight="1" thickBot="1" x14ac:dyDescent="0.45">
      <c r="A9" s="72"/>
      <c r="B9" s="520" t="s">
        <v>982</v>
      </c>
      <c r="C9" s="521"/>
      <c r="D9" s="497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8"/>
      <c r="F9" s="499"/>
      <c r="G9" s="497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8"/>
      <c r="I9" s="499"/>
      <c r="J9" s="497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8"/>
      <c r="L9" s="499"/>
      <c r="M9" s="497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8"/>
      <c r="O9" s="499"/>
      <c r="P9" s="497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8"/>
      <c r="R9" s="499"/>
      <c r="S9" s="72"/>
      <c r="T9" s="497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8"/>
      <c r="V9" s="499"/>
      <c r="W9" s="497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8"/>
      <c r="Y9" s="499"/>
      <c r="Z9" s="72"/>
      <c r="AA9" s="72"/>
      <c r="AB9" s="72"/>
      <c r="AC9" s="72"/>
      <c r="AD9" s="72"/>
      <c r="AE9" s="113"/>
      <c r="AF9" s="113"/>
      <c r="AG9" s="113"/>
      <c r="AH9" s="358"/>
      <c r="AI9" s="72"/>
    </row>
    <row r="10" spans="1:35" s="278" customFormat="1" ht="18.95" hidden="1" customHeight="1" thickBot="1" x14ac:dyDescent="0.45">
      <c r="A10" s="72"/>
      <c r="B10" s="116" t="s">
        <v>2180</v>
      </c>
      <c r="C10" s="117" t="s">
        <v>2181</v>
      </c>
      <c r="D10" s="209" t="str">
        <f ca="1">IFERROR($AF$39+MATCH("*"&amp;D$5&amp;$B6&amp;"-1"&amp;"*",INDIRECT("$"&amp;$W$42&amp;$AF$39&amp;":"&amp;$W$42&amp;$AF$40),0)-1,"ー")</f>
        <v>ー</v>
      </c>
      <c r="E10" s="216" t="str">
        <f ca="1">IFERROR($AF$39+MATCH("*"&amp;D$5&amp;$B6&amp;"-2"&amp;"*",INDIRECT("$"&amp;$W$42&amp;$AF$39&amp;":"&amp;$W$42&amp;$AF$40),0)-1,"ー")</f>
        <v>ー</v>
      </c>
      <c r="F10" s="210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209" t="str">
        <f t="shared" ref="G10" ca="1" si="8">IFERROR($AF$39+MATCH("*"&amp;G$5&amp;$B6&amp;"-1"&amp;"*",INDIRECT("$"&amp;$W$42&amp;$AF$39&amp;":"&amp;$W$42&amp;$AF$40),0)-1,"ー")</f>
        <v>ー</v>
      </c>
      <c r="H10" s="216" t="str">
        <f t="shared" ref="H10" ca="1" si="9">IFERROR($AF$39+MATCH("*"&amp;G$5&amp;$B6&amp;"-2"&amp;"*",INDIRECT("$"&amp;$W$42&amp;$AF$39&amp;":"&amp;$W$42&amp;$AF$40),0)-1,"ー")</f>
        <v>ー</v>
      </c>
      <c r="I10" s="210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209" t="str">
        <f t="shared" ref="J10" ca="1" si="11">IFERROR($AF$39+MATCH("*"&amp;J$5&amp;$B6&amp;"-1"&amp;"*",INDIRECT("$"&amp;$W$42&amp;$AF$39&amp;":"&amp;$W$42&amp;$AF$40),0)-1,"ー")</f>
        <v>ー</v>
      </c>
      <c r="K10" s="216" t="str">
        <f t="shared" ref="K10" ca="1" si="12">IFERROR($AF$39+MATCH("*"&amp;J$5&amp;$B6&amp;"-2"&amp;"*",INDIRECT("$"&amp;$W$42&amp;$AF$39&amp;":"&amp;$W$42&amp;$AF$40),0)-1,"ー")</f>
        <v>ー</v>
      </c>
      <c r="L10" s="210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209" t="str">
        <f t="shared" ref="M10" ca="1" si="14">IFERROR($AF$39+MATCH("*"&amp;M$5&amp;$B6&amp;"-1"&amp;"*",INDIRECT("$"&amp;$W$42&amp;$AF$39&amp;":"&amp;$W$42&amp;$AF$40),0)-1,"ー")</f>
        <v>ー</v>
      </c>
      <c r="N10" s="216" t="str">
        <f t="shared" ref="N10" ca="1" si="15">IFERROR($AF$39+MATCH("*"&amp;M$5&amp;$B6&amp;"-2"&amp;"*",INDIRECT("$"&amp;$W$42&amp;$AF$39&amp;":"&amp;$W$42&amp;$AF$40),0)-1,"ー")</f>
        <v>ー</v>
      </c>
      <c r="O10" s="210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209" t="str">
        <f t="shared" ref="P10" ca="1" si="17">IFERROR($AF$39+MATCH("*"&amp;P$5&amp;$B6&amp;"-1"&amp;"*",INDIRECT("$"&amp;$W$42&amp;$AF$39&amp;":"&amp;$W$42&amp;$AF$40),0)-1,"ー")</f>
        <v>ー</v>
      </c>
      <c r="Q10" s="216" t="str">
        <f t="shared" ref="Q10" ca="1" si="18">IFERROR($AF$39+MATCH("*"&amp;P$5&amp;$B6&amp;"-2"&amp;"*",INDIRECT("$"&amp;$W$42&amp;$AF$39&amp;":"&amp;$W$42&amp;$AF$40),0)-1,"ー")</f>
        <v>ー</v>
      </c>
      <c r="R10" s="210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72"/>
      <c r="T10" s="209" t="str">
        <f ca="1">IFERROR($AF$39+MATCH(T$5&amp;"-"&amp;$B6,INDIRECT("$"&amp;$W$42&amp;$AF$39&amp;":"&amp;$W$42&amp;$AF$40),0)-1,"ー")</f>
        <v>ー</v>
      </c>
      <c r="U10" s="216" t="str">
        <f ca="1">IFERROR($AF$39+MATCH(T$5&amp;"-"&amp;(VALUE($B6)+5),INDIRECT("$"&amp;$W$42&amp;$AF$39&amp;":"&amp;$W$42&amp;$AF$40),0)-1,"ー")</f>
        <v>ー</v>
      </c>
      <c r="V10" s="210" t="str">
        <f ca="1">IF(U10="ー",
"重複なし",
IF(AND(T10&lt;&gt;"ー",U10&lt;&gt;"ー"),"ターム","重複あり")
)</f>
        <v>重複なし</v>
      </c>
      <c r="W10" s="209" t="str">
        <f ca="1">IFERROR($AF$39+MATCH(W$5&amp;"-"&amp;$B6,INDIRECT("$"&amp;$W$42&amp;$AF$39&amp;":"&amp;$W$42&amp;$AF$40),0)-1,"ー")</f>
        <v>ー</v>
      </c>
      <c r="X10" s="216" t="str">
        <f ca="1">IFERROR($AF$39+MATCH(W$5&amp;"-"&amp;(VALUE($B6)+5),INDIRECT("$"&amp;$W$42&amp;$AF$39&amp;":"&amp;$W$42&amp;$AF$40),0)-1,"ー")</f>
        <v>ー</v>
      </c>
      <c r="Y10" s="210" t="str">
        <f ca="1">IF(X10="ー",
"重複なし",
IF(AND(W10&lt;&gt;"ー",X10&lt;&gt;"ー"),"ターム","重複あり")
)</f>
        <v>重複なし</v>
      </c>
      <c r="Z10" s="72"/>
      <c r="AA10" s="72"/>
      <c r="AB10" s="72"/>
      <c r="AC10" s="72"/>
      <c r="AD10" s="72"/>
      <c r="AE10" s="113"/>
      <c r="AF10" s="113"/>
      <c r="AG10" s="113"/>
      <c r="AH10" s="358"/>
      <c r="AI10" s="72"/>
    </row>
    <row r="11" spans="1:35" s="278" customFormat="1" ht="18.95" customHeight="1" x14ac:dyDescent="0.4">
      <c r="A11" s="72"/>
      <c r="B11" s="500">
        <v>2</v>
      </c>
      <c r="C11" s="501"/>
      <c r="D11" s="506" t="str">
        <f t="shared" ref="D11" ca="1" si="20">IFERROR(IF(F15="ターム",INDIRECT($D$42&amp;D15)&amp;CHAR(10)&amp;INDIRECT($D$42&amp;E15),INDIRECT($D$42&amp;D15)),"")</f>
        <v/>
      </c>
      <c r="E11" s="507"/>
      <c r="F11" s="508"/>
      <c r="G11" s="506" t="str">
        <f t="shared" ref="G11" ca="1" si="21">IFERROR(IF(I15="ターム",INDIRECT($D$42&amp;G15)&amp;CHAR(10)&amp;INDIRECT($D$42&amp;H15),INDIRECT($D$42&amp;G15)),"")</f>
        <v/>
      </c>
      <c r="H11" s="507"/>
      <c r="I11" s="508"/>
      <c r="J11" s="506" t="str">
        <f t="shared" ref="J11" ca="1" si="22">IFERROR(IF(L15="ターム",INDIRECT($D$42&amp;J15)&amp;CHAR(10)&amp;INDIRECT($D$42&amp;K15),INDIRECT($D$42&amp;J15)),"")</f>
        <v/>
      </c>
      <c r="K11" s="507"/>
      <c r="L11" s="508"/>
      <c r="M11" s="506" t="str">
        <f t="shared" ref="M11" ca="1" si="23">IFERROR(IF(O15="ターム",INDIRECT($D$42&amp;M15)&amp;CHAR(10)&amp;INDIRECT($D$42&amp;N15),INDIRECT($D$42&amp;M15)),"")</f>
        <v/>
      </c>
      <c r="N11" s="507"/>
      <c r="O11" s="508"/>
      <c r="P11" s="506" t="str">
        <f t="shared" ref="P11" ca="1" si="24">IFERROR(IF(R15="ターム",INDIRECT($D$42&amp;P15)&amp;CHAR(10)&amp;INDIRECT($D$42&amp;Q15),INDIRECT($D$42&amp;P15)),"")</f>
        <v/>
      </c>
      <c r="Q11" s="507"/>
      <c r="R11" s="508"/>
      <c r="S11" s="72"/>
      <c r="T11" s="506" t="str">
        <f ca="1">IFERROR(IF(V15="ターム",INDIRECT($D$42&amp;T15)&amp;CHAR(10)&amp;INDIRECT($D$42&amp;U15),INDIRECT($D$42&amp;T15)),"")</f>
        <v/>
      </c>
      <c r="U11" s="507"/>
      <c r="V11" s="508"/>
      <c r="W11" s="506" t="str">
        <f t="shared" ref="W11" ca="1" si="25">IFERROR(IF(Y15="ターム",INDIRECT($D$42&amp;W15)&amp;CHAR(10)&amp;INDIRECT($D$42&amp;X15),INDIRECT($D$42&amp;W15)),"")</f>
        <v/>
      </c>
      <c r="X11" s="507"/>
      <c r="Y11" s="508"/>
      <c r="Z11" s="72"/>
      <c r="AA11" s="72"/>
      <c r="AB11" s="72"/>
      <c r="AC11" s="72"/>
      <c r="AD11" s="72"/>
      <c r="AE11" s="113"/>
      <c r="AF11" s="113"/>
      <c r="AG11" s="113"/>
      <c r="AH11" s="358"/>
      <c r="AI11" s="72"/>
    </row>
    <row r="12" spans="1:35" s="279" customFormat="1" ht="18.95" customHeight="1" x14ac:dyDescent="0.4">
      <c r="A12" s="114"/>
      <c r="B12" s="502"/>
      <c r="C12" s="503"/>
      <c r="D12" s="509"/>
      <c r="E12" s="510"/>
      <c r="F12" s="511"/>
      <c r="G12" s="509"/>
      <c r="H12" s="510"/>
      <c r="I12" s="511"/>
      <c r="J12" s="509"/>
      <c r="K12" s="510"/>
      <c r="L12" s="511"/>
      <c r="M12" s="509"/>
      <c r="N12" s="510"/>
      <c r="O12" s="511"/>
      <c r="P12" s="509"/>
      <c r="Q12" s="510"/>
      <c r="R12" s="511"/>
      <c r="S12" s="114"/>
      <c r="T12" s="509"/>
      <c r="U12" s="510"/>
      <c r="V12" s="511"/>
      <c r="W12" s="509"/>
      <c r="X12" s="510"/>
      <c r="Y12" s="511"/>
      <c r="Z12" s="114"/>
      <c r="AA12" s="114"/>
      <c r="AB12" s="114"/>
      <c r="AC12" s="114"/>
      <c r="AD12" s="114"/>
      <c r="AE12" s="115"/>
      <c r="AF12" s="115"/>
      <c r="AG12" s="115"/>
      <c r="AH12" s="359"/>
      <c r="AI12" s="114"/>
    </row>
    <row r="13" spans="1:35" s="278" customFormat="1" ht="18.95" customHeight="1" x14ac:dyDescent="0.4">
      <c r="A13" s="72"/>
      <c r="B13" s="504"/>
      <c r="C13" s="505"/>
      <c r="D13" s="509"/>
      <c r="E13" s="510"/>
      <c r="F13" s="511"/>
      <c r="G13" s="509"/>
      <c r="H13" s="510"/>
      <c r="I13" s="511"/>
      <c r="J13" s="509"/>
      <c r="K13" s="510"/>
      <c r="L13" s="511"/>
      <c r="M13" s="509"/>
      <c r="N13" s="510"/>
      <c r="O13" s="511"/>
      <c r="P13" s="509"/>
      <c r="Q13" s="510"/>
      <c r="R13" s="511"/>
      <c r="S13" s="72"/>
      <c r="T13" s="509"/>
      <c r="U13" s="510"/>
      <c r="V13" s="511"/>
      <c r="W13" s="509"/>
      <c r="X13" s="510"/>
      <c r="Y13" s="511"/>
      <c r="Z13" s="72"/>
      <c r="AA13" s="72"/>
      <c r="AB13" s="72"/>
      <c r="AC13" s="72"/>
      <c r="AD13" s="72"/>
      <c r="AE13" s="113"/>
      <c r="AF13" s="113"/>
      <c r="AG13" s="113"/>
      <c r="AH13" s="358"/>
      <c r="AI13" s="72"/>
    </row>
    <row r="14" spans="1:35" s="278" customFormat="1" ht="18.95" customHeight="1" thickBot="1" x14ac:dyDescent="0.45">
      <c r="A14" s="72"/>
      <c r="B14" s="495" t="s">
        <v>983</v>
      </c>
      <c r="C14" s="496"/>
      <c r="D14" s="497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8"/>
      <c r="F14" s="499"/>
      <c r="G14" s="497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8"/>
      <c r="I14" s="499"/>
      <c r="J14" s="497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8"/>
      <c r="L14" s="499"/>
      <c r="M14" s="497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8"/>
      <c r="O14" s="499"/>
      <c r="P14" s="497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8"/>
      <c r="R14" s="499"/>
      <c r="S14" s="72"/>
      <c r="T14" s="497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8"/>
      <c r="V14" s="499"/>
      <c r="W14" s="497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8"/>
      <c r="Y14" s="499"/>
      <c r="Z14" s="72"/>
      <c r="AA14" s="72"/>
      <c r="AB14" s="72"/>
      <c r="AC14" s="72"/>
      <c r="AD14" s="72"/>
      <c r="AE14" s="113"/>
      <c r="AF14" s="113"/>
      <c r="AG14" s="113"/>
      <c r="AH14" s="358"/>
      <c r="AI14" s="72"/>
    </row>
    <row r="15" spans="1:35" s="278" customFormat="1" ht="18.95" hidden="1" customHeight="1" thickBot="1" x14ac:dyDescent="0.45">
      <c r="A15" s="72"/>
      <c r="B15" s="116" t="s">
        <v>2180</v>
      </c>
      <c r="C15" s="117" t="s">
        <v>2181</v>
      </c>
      <c r="D15" s="209" t="str">
        <f t="shared" ref="D15" ca="1" si="31">IFERROR($AF$39+MATCH("*"&amp;D$5&amp;$B11&amp;"-1"&amp;"*",INDIRECT("$"&amp;$W$42&amp;$AF$39&amp;":"&amp;$W$42&amp;$AF$40),0)-1,"ー")</f>
        <v>ー</v>
      </c>
      <c r="E15" s="216" t="str">
        <f t="shared" ref="E15" ca="1" si="32">IFERROR($AF$39+MATCH("*"&amp;D$5&amp;$B11&amp;"-2"&amp;"*",INDIRECT("$"&amp;$W$42&amp;$AF$39&amp;":"&amp;$W$42&amp;$AF$40),0)-1,"ー")</f>
        <v>ー</v>
      </c>
      <c r="F15" s="210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209" t="str">
        <f t="shared" ref="G15:P15" ca="1" si="34">IFERROR($AF$39+MATCH("*"&amp;G$5&amp;$B11&amp;"-1"&amp;"*",INDIRECT("$"&amp;$W$42&amp;$AF$39&amp;":"&amp;$W$42&amp;$AF$40),0)-1,"ー")</f>
        <v>ー</v>
      </c>
      <c r="H15" s="216" t="str">
        <f t="shared" ref="H15:Q15" ca="1" si="35">IFERROR($AF$39+MATCH("*"&amp;G$5&amp;$B11&amp;"-2"&amp;"*",INDIRECT("$"&amp;$W$42&amp;$AF$39&amp;":"&amp;$W$42&amp;$AF$40),0)-1,"ー")</f>
        <v>ー</v>
      </c>
      <c r="I15" s="210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209" t="str">
        <f t="shared" ca="1" si="34"/>
        <v>ー</v>
      </c>
      <c r="K15" s="216" t="str">
        <f t="shared" ca="1" si="35"/>
        <v>ー</v>
      </c>
      <c r="L15" s="210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209" t="str">
        <f t="shared" ca="1" si="34"/>
        <v>ー</v>
      </c>
      <c r="N15" s="216" t="str">
        <f t="shared" ca="1" si="35"/>
        <v>ー</v>
      </c>
      <c r="O15" s="210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209" t="str">
        <f t="shared" ca="1" si="34"/>
        <v>ー</v>
      </c>
      <c r="Q15" s="216" t="str">
        <f t="shared" ca="1" si="35"/>
        <v>ー</v>
      </c>
      <c r="R15" s="210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72"/>
      <c r="T15" s="209" t="str">
        <f t="shared" ref="T15" ca="1" si="40">IFERROR($AF$39+MATCH(T$5&amp;"-"&amp;$B11,INDIRECT("$"&amp;$W$42&amp;$AF$39&amp;":"&amp;$W$42&amp;$AF$40),0)-1,"ー")</f>
        <v>ー</v>
      </c>
      <c r="U15" s="216" t="str">
        <f t="shared" ref="U15" ca="1" si="41">IFERROR($AF$39+MATCH(T$5&amp;"-"&amp;(VALUE($B11)+5),INDIRECT("$"&amp;$W$42&amp;$AF$39&amp;":"&amp;$W$42&amp;$AF$40),0)-1,"ー")</f>
        <v>ー</v>
      </c>
      <c r="V15" s="210" t="str">
        <f t="shared" ref="V15" ca="1" si="42">IF(U15="ー",
"重複なし",
IF(AND(T15&lt;&gt;"ー",U15&lt;&gt;"ー"),"ターム","重複あり")
)</f>
        <v>重複なし</v>
      </c>
      <c r="W15" s="209" t="str">
        <f t="shared" ref="W15" ca="1" si="43">IFERROR($AF$39+MATCH(W$5&amp;"-"&amp;$B11,INDIRECT("$"&amp;$W$42&amp;$AF$39&amp;":"&amp;$W$42&amp;$AF$40),0)-1,"ー")</f>
        <v>ー</v>
      </c>
      <c r="X15" s="216" t="str">
        <f t="shared" ref="X15" ca="1" si="44">IFERROR($AF$39+MATCH(W$5&amp;"-"&amp;(VALUE($B11)+5),INDIRECT("$"&amp;$W$42&amp;$AF$39&amp;":"&amp;$W$42&amp;$AF$40),0)-1,"ー")</f>
        <v>ー</v>
      </c>
      <c r="Y15" s="210" t="str">
        <f t="shared" ref="Y15" ca="1" si="45">IF(X15="ー",
"重複なし",
IF(AND(W15&lt;&gt;"ー",X15&lt;&gt;"ー"),"ターム","重複あり")
)</f>
        <v>重複なし</v>
      </c>
      <c r="Z15" s="72"/>
      <c r="AA15" s="72"/>
      <c r="AB15" s="72"/>
      <c r="AC15" s="72"/>
      <c r="AD15" s="72"/>
      <c r="AE15" s="113"/>
      <c r="AF15" s="113"/>
      <c r="AG15" s="113"/>
      <c r="AH15" s="358"/>
      <c r="AI15" s="72"/>
    </row>
    <row r="16" spans="1:35" s="279" customFormat="1" ht="18.95" customHeight="1" x14ac:dyDescent="0.4">
      <c r="A16" s="114"/>
      <c r="B16" s="500">
        <v>3</v>
      </c>
      <c r="C16" s="501"/>
      <c r="D16" s="506" t="str">
        <f t="shared" ref="D16" ca="1" si="46">IFERROR(IF(F20="ターム",INDIRECT($D$42&amp;D20)&amp;CHAR(10)&amp;INDIRECT($D$42&amp;E20),INDIRECT($D$42&amp;D20)),"")</f>
        <v/>
      </c>
      <c r="E16" s="507"/>
      <c r="F16" s="508"/>
      <c r="G16" s="506" t="str">
        <f t="shared" ref="G16" ca="1" si="47">IFERROR(IF(I20="ターム",INDIRECT($D$42&amp;G20)&amp;CHAR(10)&amp;INDIRECT($D$42&amp;H20),INDIRECT($D$42&amp;G20)),"")</f>
        <v/>
      </c>
      <c r="H16" s="507"/>
      <c r="I16" s="508"/>
      <c r="J16" s="506" t="str">
        <f t="shared" ref="J16" ca="1" si="48">IFERROR(IF(L20="ターム",INDIRECT($D$42&amp;J20)&amp;CHAR(10)&amp;INDIRECT($D$42&amp;K20),INDIRECT($D$42&amp;J20)),"")</f>
        <v/>
      </c>
      <c r="K16" s="507"/>
      <c r="L16" s="508"/>
      <c r="M16" s="506" t="str">
        <f t="shared" ref="M16" ca="1" si="49">IFERROR(IF(O20="ターム",INDIRECT($D$42&amp;M20)&amp;CHAR(10)&amp;INDIRECT($D$42&amp;N20),INDIRECT($D$42&amp;M20)),"")</f>
        <v/>
      </c>
      <c r="N16" s="507"/>
      <c r="O16" s="508"/>
      <c r="P16" s="506" t="str">
        <f t="shared" ref="P16" ca="1" si="50">IFERROR(IF(R20="ターム",INDIRECT($D$42&amp;P20)&amp;CHAR(10)&amp;INDIRECT($D$42&amp;Q20),INDIRECT($D$42&amp;P20)),"")</f>
        <v/>
      </c>
      <c r="Q16" s="507"/>
      <c r="R16" s="508"/>
      <c r="S16" s="114"/>
      <c r="T16" s="506" t="str">
        <f t="shared" ref="T16" ca="1" si="51">IFERROR(IF(V20="ターム",INDIRECT($D$42&amp;T20)&amp;CHAR(10)&amp;INDIRECT($D$42&amp;U20),INDIRECT($D$42&amp;T20)),"")</f>
        <v/>
      </c>
      <c r="U16" s="507"/>
      <c r="V16" s="508"/>
      <c r="W16" s="506" t="str">
        <f t="shared" ref="W16" ca="1" si="52">IFERROR(IF(Y20="ターム",INDIRECT($D$42&amp;W20)&amp;CHAR(10)&amp;INDIRECT($D$42&amp;X20),INDIRECT($D$42&amp;W20)),"")</f>
        <v/>
      </c>
      <c r="X16" s="507"/>
      <c r="Y16" s="508"/>
      <c r="Z16" s="114"/>
      <c r="AA16" s="114"/>
      <c r="AB16" s="114"/>
      <c r="AC16" s="114"/>
      <c r="AD16" s="114"/>
      <c r="AE16" s="115"/>
      <c r="AF16" s="115"/>
      <c r="AG16" s="115"/>
      <c r="AH16" s="359"/>
      <c r="AI16" s="114"/>
    </row>
    <row r="17" spans="1:35" s="278" customFormat="1" ht="18.95" customHeight="1" x14ac:dyDescent="0.4">
      <c r="A17" s="72"/>
      <c r="B17" s="502"/>
      <c r="C17" s="503"/>
      <c r="D17" s="509"/>
      <c r="E17" s="510"/>
      <c r="F17" s="511"/>
      <c r="G17" s="509"/>
      <c r="H17" s="510"/>
      <c r="I17" s="511"/>
      <c r="J17" s="509"/>
      <c r="K17" s="510"/>
      <c r="L17" s="511"/>
      <c r="M17" s="509"/>
      <c r="N17" s="510"/>
      <c r="O17" s="511"/>
      <c r="P17" s="509"/>
      <c r="Q17" s="510"/>
      <c r="R17" s="511"/>
      <c r="S17" s="72"/>
      <c r="T17" s="509"/>
      <c r="U17" s="510"/>
      <c r="V17" s="511"/>
      <c r="W17" s="509"/>
      <c r="X17" s="510"/>
      <c r="Y17" s="511"/>
      <c r="Z17" s="72"/>
      <c r="AA17" s="72"/>
      <c r="AB17" s="72"/>
      <c r="AC17" s="72"/>
      <c r="AD17" s="72"/>
      <c r="AE17" s="113"/>
      <c r="AF17" s="113"/>
      <c r="AG17" s="113"/>
      <c r="AH17" s="358"/>
      <c r="AI17" s="72"/>
    </row>
    <row r="18" spans="1:35" s="278" customFormat="1" ht="18.95" customHeight="1" x14ac:dyDescent="0.4">
      <c r="A18" s="72"/>
      <c r="B18" s="504"/>
      <c r="C18" s="505"/>
      <c r="D18" s="509"/>
      <c r="E18" s="510"/>
      <c r="F18" s="511"/>
      <c r="G18" s="509"/>
      <c r="H18" s="510"/>
      <c r="I18" s="511"/>
      <c r="J18" s="509"/>
      <c r="K18" s="510"/>
      <c r="L18" s="511"/>
      <c r="M18" s="509"/>
      <c r="N18" s="510"/>
      <c r="O18" s="511"/>
      <c r="P18" s="509"/>
      <c r="Q18" s="510"/>
      <c r="R18" s="511"/>
      <c r="S18" s="72"/>
      <c r="T18" s="509"/>
      <c r="U18" s="510"/>
      <c r="V18" s="511"/>
      <c r="W18" s="509"/>
      <c r="X18" s="510"/>
      <c r="Y18" s="511"/>
      <c r="Z18" s="72"/>
      <c r="AA18" s="72"/>
      <c r="AB18" s="72"/>
      <c r="AC18" s="72"/>
      <c r="AD18" s="72"/>
      <c r="AE18" s="113"/>
      <c r="AF18" s="113"/>
      <c r="AG18" s="113"/>
      <c r="AH18" s="358"/>
      <c r="AI18" s="72"/>
    </row>
    <row r="19" spans="1:35" s="279" customFormat="1" ht="18.95" customHeight="1" thickBot="1" x14ac:dyDescent="0.45">
      <c r="A19" s="114"/>
      <c r="B19" s="495" t="s">
        <v>984</v>
      </c>
      <c r="C19" s="496"/>
      <c r="D19" s="497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8"/>
      <c r="F19" s="499"/>
      <c r="G19" s="497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8"/>
      <c r="I19" s="499"/>
      <c r="J19" s="497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8"/>
      <c r="L19" s="499"/>
      <c r="M19" s="497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8"/>
      <c r="O19" s="499"/>
      <c r="P19" s="497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8"/>
      <c r="R19" s="499"/>
      <c r="S19" s="114"/>
      <c r="T19" s="497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8"/>
      <c r="V19" s="499"/>
      <c r="W19" s="497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8"/>
      <c r="Y19" s="499"/>
      <c r="Z19" s="114"/>
      <c r="AA19" s="114"/>
      <c r="AB19" s="114"/>
      <c r="AC19" s="114"/>
      <c r="AD19" s="114"/>
      <c r="AE19" s="115"/>
      <c r="AF19" s="115"/>
      <c r="AG19" s="115"/>
      <c r="AH19" s="359"/>
      <c r="AI19" s="114"/>
    </row>
    <row r="20" spans="1:35" s="278" customFormat="1" ht="18.95" hidden="1" customHeight="1" thickBot="1" x14ac:dyDescent="0.45">
      <c r="A20" s="72"/>
      <c r="B20" s="116" t="s">
        <v>2180</v>
      </c>
      <c r="C20" s="117" t="s">
        <v>2181</v>
      </c>
      <c r="D20" s="209" t="str">
        <f t="shared" ref="D20" ca="1" si="58">IFERROR($AF$39+MATCH("*"&amp;D$5&amp;$B16&amp;"-1"&amp;"*",INDIRECT("$"&amp;$W$42&amp;$AF$39&amp;":"&amp;$W$42&amp;$AF$40),0)-1,"ー")</f>
        <v>ー</v>
      </c>
      <c r="E20" s="216" t="str">
        <f t="shared" ref="E20" ca="1" si="59">IFERROR($AF$39+MATCH("*"&amp;D$5&amp;$B16&amp;"-2"&amp;"*",INDIRECT("$"&amp;$W$42&amp;$AF$39&amp;":"&amp;$W$42&amp;$AF$40),0)-1,"ー")</f>
        <v>ー</v>
      </c>
      <c r="F20" s="210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209" t="str">
        <f t="shared" ref="G20:P20" ca="1" si="61">IFERROR($AF$39+MATCH("*"&amp;G$5&amp;$B16&amp;"-1"&amp;"*",INDIRECT("$"&amp;$W$42&amp;$AF$39&amp;":"&amp;$W$42&amp;$AF$40),0)-1,"ー")</f>
        <v>ー</v>
      </c>
      <c r="H20" s="216" t="str">
        <f t="shared" ref="H20:Q20" ca="1" si="62">IFERROR($AF$39+MATCH("*"&amp;G$5&amp;$B16&amp;"-2"&amp;"*",INDIRECT("$"&amp;$W$42&amp;$AF$39&amp;":"&amp;$W$42&amp;$AF$40),0)-1,"ー")</f>
        <v>ー</v>
      </c>
      <c r="I20" s="210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209" t="str">
        <f t="shared" ca="1" si="61"/>
        <v>ー</v>
      </c>
      <c r="K20" s="216" t="str">
        <f t="shared" ca="1" si="62"/>
        <v>ー</v>
      </c>
      <c r="L20" s="210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209" t="str">
        <f t="shared" ca="1" si="61"/>
        <v>ー</v>
      </c>
      <c r="N20" s="216" t="str">
        <f t="shared" ca="1" si="62"/>
        <v>ー</v>
      </c>
      <c r="O20" s="210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209" t="str">
        <f t="shared" ca="1" si="61"/>
        <v>ー</v>
      </c>
      <c r="Q20" s="216" t="str">
        <f t="shared" ca="1" si="62"/>
        <v>ー</v>
      </c>
      <c r="R20" s="210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72"/>
      <c r="T20" s="209" t="str">
        <f t="shared" ref="T20" ca="1" si="67">IFERROR($AF$39+MATCH(T$5&amp;"-"&amp;$B16,INDIRECT("$"&amp;$W$42&amp;$AF$39&amp;":"&amp;$W$42&amp;$AF$40),0)-1,"ー")</f>
        <v>ー</v>
      </c>
      <c r="U20" s="216" t="str">
        <f t="shared" ref="U20" ca="1" si="68">IFERROR($AF$39+MATCH(T$5&amp;"-"&amp;(VALUE($B16)+5),INDIRECT("$"&amp;$W$42&amp;$AF$39&amp;":"&amp;$W$42&amp;$AF$40),0)-1,"ー")</f>
        <v>ー</v>
      </c>
      <c r="V20" s="210" t="str">
        <f t="shared" ref="V20" ca="1" si="69">IF(U20="ー",
"重複なし",
IF(AND(T20&lt;&gt;"ー",U20&lt;&gt;"ー"),"ターム","重複あり")
)</f>
        <v>重複なし</v>
      </c>
      <c r="W20" s="209" t="str">
        <f t="shared" ref="W20" ca="1" si="70">IFERROR($AF$39+MATCH(W$5&amp;"-"&amp;$B16,INDIRECT("$"&amp;$W$42&amp;$AF$39&amp;":"&amp;$W$42&amp;$AF$40),0)-1,"ー")</f>
        <v>ー</v>
      </c>
      <c r="X20" s="216" t="str">
        <f t="shared" ref="X20" ca="1" si="71">IFERROR($AF$39+MATCH(W$5&amp;"-"&amp;(VALUE($B16)+5),INDIRECT("$"&amp;$W$42&amp;$AF$39&amp;":"&amp;$W$42&amp;$AF$40),0)-1,"ー")</f>
        <v>ー</v>
      </c>
      <c r="Y20" s="210" t="str">
        <f t="shared" ref="Y20" ca="1" si="72">IF(X20="ー",
"重複なし",
IF(AND(W20&lt;&gt;"ー",X20&lt;&gt;"ー"),"ターム","重複あり")
)</f>
        <v>重複なし</v>
      </c>
      <c r="Z20" s="72"/>
      <c r="AA20" s="72"/>
      <c r="AB20" s="72"/>
      <c r="AC20" s="72"/>
      <c r="AD20" s="72"/>
      <c r="AE20" s="113"/>
      <c r="AF20" s="113"/>
      <c r="AG20" s="113"/>
      <c r="AH20" s="358"/>
      <c r="AI20" s="72"/>
    </row>
    <row r="21" spans="1:35" s="278" customFormat="1" ht="18.95" customHeight="1" x14ac:dyDescent="0.4">
      <c r="A21" s="72"/>
      <c r="B21" s="514">
        <v>4</v>
      </c>
      <c r="C21" s="515"/>
      <c r="D21" s="506" t="str">
        <f t="shared" ref="D21" ca="1" si="73">IFERROR(IF(F25="ターム",INDIRECT($D$42&amp;D25)&amp;CHAR(10)&amp;INDIRECT($D$42&amp;E25),INDIRECT($D$42&amp;D25)),"")</f>
        <v/>
      </c>
      <c r="E21" s="507"/>
      <c r="F21" s="508"/>
      <c r="G21" s="506" t="str">
        <f t="shared" ref="G21" ca="1" si="74">IFERROR(IF(I25="ターム",INDIRECT($D$42&amp;G25)&amp;CHAR(10)&amp;INDIRECT($D$42&amp;H25),INDIRECT($D$42&amp;G25)),"")</f>
        <v/>
      </c>
      <c r="H21" s="507"/>
      <c r="I21" s="508"/>
      <c r="J21" s="506" t="str">
        <f t="shared" ref="J21" ca="1" si="75">IFERROR(IF(L25="ターム",INDIRECT($D$42&amp;J25)&amp;CHAR(10)&amp;INDIRECT($D$42&amp;K25),INDIRECT($D$42&amp;J25)),"")</f>
        <v/>
      </c>
      <c r="K21" s="507"/>
      <c r="L21" s="508"/>
      <c r="M21" s="506" t="str">
        <f t="shared" ref="M21" ca="1" si="76">IFERROR(IF(O25="ターム",INDIRECT($D$42&amp;M25)&amp;CHAR(10)&amp;INDIRECT($D$42&amp;N25),INDIRECT($D$42&amp;M25)),"")</f>
        <v/>
      </c>
      <c r="N21" s="507"/>
      <c r="O21" s="508"/>
      <c r="P21" s="506" t="str">
        <f t="shared" ref="P21" ca="1" si="77">IFERROR(IF(R25="ターム",INDIRECT($D$42&amp;P25)&amp;CHAR(10)&amp;INDIRECT($D$42&amp;Q25),INDIRECT($D$42&amp;P25)),"")</f>
        <v/>
      </c>
      <c r="Q21" s="507"/>
      <c r="R21" s="508"/>
      <c r="S21" s="72"/>
      <c r="T21" s="506" t="str">
        <f t="shared" ref="T21" ca="1" si="78">IFERROR(IF(V25="ターム",INDIRECT($D$42&amp;T25)&amp;CHAR(10)&amp;INDIRECT($D$42&amp;U25),INDIRECT($D$42&amp;T25)),"")</f>
        <v/>
      </c>
      <c r="U21" s="507"/>
      <c r="V21" s="508"/>
      <c r="W21" s="506" t="str">
        <f t="shared" ref="W21" ca="1" si="79">IFERROR(IF(Y25="ターム",INDIRECT($D$42&amp;W25)&amp;CHAR(10)&amp;INDIRECT($D$42&amp;X25),INDIRECT($D$42&amp;W25)),"")</f>
        <v/>
      </c>
      <c r="X21" s="507"/>
      <c r="Y21" s="508"/>
      <c r="Z21" s="72"/>
      <c r="AA21" s="72"/>
      <c r="AB21" s="72"/>
      <c r="AC21" s="72"/>
      <c r="AD21" s="72"/>
      <c r="AE21" s="113"/>
      <c r="AF21" s="113"/>
      <c r="AG21" s="113"/>
      <c r="AH21" s="358"/>
      <c r="AI21" s="72"/>
    </row>
    <row r="22" spans="1:35" s="278" customFormat="1" ht="18.95" customHeight="1" thickBot="1" x14ac:dyDescent="0.45">
      <c r="A22" s="72"/>
      <c r="B22" s="516"/>
      <c r="C22" s="517"/>
      <c r="D22" s="509"/>
      <c r="E22" s="510"/>
      <c r="F22" s="511"/>
      <c r="G22" s="509"/>
      <c r="H22" s="510"/>
      <c r="I22" s="511"/>
      <c r="J22" s="509"/>
      <c r="K22" s="510"/>
      <c r="L22" s="511"/>
      <c r="M22" s="509"/>
      <c r="N22" s="510"/>
      <c r="O22" s="511"/>
      <c r="P22" s="509"/>
      <c r="Q22" s="510"/>
      <c r="R22" s="511"/>
      <c r="S22" s="72"/>
      <c r="T22" s="509"/>
      <c r="U22" s="510"/>
      <c r="V22" s="511"/>
      <c r="W22" s="509"/>
      <c r="X22" s="510"/>
      <c r="Y22" s="511"/>
      <c r="Z22" s="72"/>
      <c r="AA22" s="72"/>
      <c r="AB22" s="72"/>
      <c r="AC22" s="72"/>
      <c r="AD22" s="72"/>
      <c r="AE22" s="113"/>
      <c r="AF22" s="113"/>
      <c r="AG22" s="113"/>
      <c r="AH22" s="358"/>
      <c r="AI22" s="72"/>
    </row>
    <row r="23" spans="1:35" s="279" customFormat="1" ht="18.95" customHeight="1" x14ac:dyDescent="0.4">
      <c r="A23" s="114"/>
      <c r="B23" s="518"/>
      <c r="C23" s="519"/>
      <c r="D23" s="509"/>
      <c r="E23" s="510"/>
      <c r="F23" s="511"/>
      <c r="G23" s="509"/>
      <c r="H23" s="510"/>
      <c r="I23" s="511"/>
      <c r="J23" s="509"/>
      <c r="K23" s="510"/>
      <c r="L23" s="511"/>
      <c r="M23" s="509"/>
      <c r="N23" s="510"/>
      <c r="O23" s="511"/>
      <c r="P23" s="509"/>
      <c r="Q23" s="510"/>
      <c r="R23" s="511"/>
      <c r="S23" s="114"/>
      <c r="T23" s="509"/>
      <c r="U23" s="510"/>
      <c r="V23" s="511"/>
      <c r="W23" s="509"/>
      <c r="X23" s="510"/>
      <c r="Y23" s="511"/>
      <c r="Z23" s="114"/>
      <c r="AA23" s="512" t="s">
        <v>998</v>
      </c>
      <c r="AB23" s="513"/>
      <c r="AC23" s="114"/>
      <c r="AD23" s="114"/>
      <c r="AE23" s="115"/>
      <c r="AF23" s="115"/>
      <c r="AG23" s="115"/>
      <c r="AH23" s="359"/>
      <c r="AI23" s="114"/>
    </row>
    <row r="24" spans="1:35" s="279" customFormat="1" ht="18.95" customHeight="1" thickBot="1" x14ac:dyDescent="0.45">
      <c r="A24" s="114"/>
      <c r="B24" s="495" t="s">
        <v>985</v>
      </c>
      <c r="C24" s="496"/>
      <c r="D24" s="497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8"/>
      <c r="F24" s="499"/>
      <c r="G24" s="497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8"/>
      <c r="I24" s="499"/>
      <c r="J24" s="497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8"/>
      <c r="L24" s="499"/>
      <c r="M24" s="497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8"/>
      <c r="O24" s="499"/>
      <c r="P24" s="497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8"/>
      <c r="R24" s="499"/>
      <c r="S24" s="114"/>
      <c r="T24" s="497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8"/>
      <c r="V24" s="499"/>
      <c r="W24" s="497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8"/>
      <c r="Y24" s="499"/>
      <c r="Z24" s="114"/>
      <c r="AA24" s="491">
        <f ca="1">SUM(INDIRECT($M$42&amp;$AF$39&amp;":"&amp;$M$42&amp;$AF$40))</f>
        <v>0</v>
      </c>
      <c r="AB24" s="492"/>
      <c r="AC24" s="114"/>
      <c r="AD24" s="114"/>
      <c r="AE24" s="115"/>
      <c r="AF24" s="115"/>
      <c r="AG24" s="115"/>
      <c r="AH24" s="359"/>
      <c r="AI24" s="114"/>
    </row>
    <row r="25" spans="1:35" s="278" customFormat="1" ht="18.95" hidden="1" customHeight="1" thickBot="1" x14ac:dyDescent="0.45">
      <c r="A25" s="72"/>
      <c r="B25" s="116" t="s">
        <v>2180</v>
      </c>
      <c r="C25" s="117" t="s">
        <v>2181</v>
      </c>
      <c r="D25" s="209" t="str">
        <f t="shared" ref="D25" ca="1" si="85">IFERROR($AF$39+MATCH("*"&amp;D$5&amp;$B21&amp;"-1"&amp;"*",INDIRECT("$"&amp;$W$42&amp;$AF$39&amp;":"&amp;$W$42&amp;$AF$40),0)-1,"ー")</f>
        <v>ー</v>
      </c>
      <c r="E25" s="216" t="str">
        <f t="shared" ref="E25" ca="1" si="86">IFERROR($AF$39+MATCH("*"&amp;D$5&amp;$B21&amp;"-2"&amp;"*",INDIRECT("$"&amp;$W$42&amp;$AF$39&amp;":"&amp;$W$42&amp;$AF$40),0)-1,"ー")</f>
        <v>ー</v>
      </c>
      <c r="F25" s="210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209" t="str">
        <f t="shared" ref="G25:P25" ca="1" si="88">IFERROR($AF$39+MATCH("*"&amp;G$5&amp;$B21&amp;"-1"&amp;"*",INDIRECT("$"&amp;$W$42&amp;$AF$39&amp;":"&amp;$W$42&amp;$AF$40),0)-1,"ー")</f>
        <v>ー</v>
      </c>
      <c r="H25" s="216" t="str">
        <f t="shared" ref="H25:Q25" ca="1" si="89">IFERROR($AF$39+MATCH("*"&amp;G$5&amp;$B21&amp;"-2"&amp;"*",INDIRECT("$"&amp;$W$42&amp;$AF$39&amp;":"&amp;$W$42&amp;$AF$40),0)-1,"ー")</f>
        <v>ー</v>
      </c>
      <c r="I25" s="210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209" t="str">
        <f t="shared" ca="1" si="88"/>
        <v>ー</v>
      </c>
      <c r="K25" s="216" t="str">
        <f t="shared" ca="1" si="89"/>
        <v>ー</v>
      </c>
      <c r="L25" s="210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209" t="str">
        <f t="shared" ca="1" si="88"/>
        <v>ー</v>
      </c>
      <c r="N25" s="216" t="str">
        <f t="shared" ca="1" si="89"/>
        <v>ー</v>
      </c>
      <c r="O25" s="210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209" t="str">
        <f t="shared" ca="1" si="88"/>
        <v>ー</v>
      </c>
      <c r="Q25" s="216" t="str">
        <f t="shared" ca="1" si="89"/>
        <v>ー</v>
      </c>
      <c r="R25" s="210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72"/>
      <c r="T25" s="209" t="str">
        <f t="shared" ref="T25" ca="1" si="94">IFERROR($AF$39+MATCH(T$5&amp;"-"&amp;$B21,INDIRECT("$"&amp;$W$42&amp;$AF$39&amp;":"&amp;$W$42&amp;$AF$40),0)-1,"ー")</f>
        <v>ー</v>
      </c>
      <c r="U25" s="216" t="str">
        <f t="shared" ref="U25" ca="1" si="95">IFERROR($AF$39+MATCH(T$5&amp;"-"&amp;(VALUE($B21)+5),INDIRECT("$"&amp;$W$42&amp;$AF$39&amp;":"&amp;$W$42&amp;$AF$40),0)-1,"ー")</f>
        <v>ー</v>
      </c>
      <c r="V25" s="210" t="str">
        <f t="shared" ref="V25" ca="1" si="96">IF(U25="ー",
"重複なし",
IF(AND(T25&lt;&gt;"ー",U25&lt;&gt;"ー"),"ターム","重複あり")
)</f>
        <v>重複なし</v>
      </c>
      <c r="W25" s="209" t="str">
        <f t="shared" ref="W25" ca="1" si="97">IFERROR($AF$39+MATCH(W$5&amp;"-"&amp;$B21,INDIRECT("$"&amp;$W$42&amp;$AF$39&amp;":"&amp;$W$42&amp;$AF$40),0)-1,"ー")</f>
        <v>ー</v>
      </c>
      <c r="X25" s="216" t="str">
        <f t="shared" ref="X25" ca="1" si="98">IFERROR($AF$39+MATCH(W$5&amp;"-"&amp;(VALUE($B21)+5),INDIRECT("$"&amp;$W$42&amp;$AF$39&amp;":"&amp;$W$42&amp;$AF$40),0)-1,"ー")</f>
        <v>ー</v>
      </c>
      <c r="Y25" s="210" t="str">
        <f t="shared" ref="Y25" ca="1" si="99">IF(X25="ー",
"重複なし",
IF(AND(W25&lt;&gt;"ー",X25&lt;&gt;"ー"),"ターム","重複あり")
)</f>
        <v>重複なし</v>
      </c>
      <c r="Z25" s="72"/>
      <c r="AA25" s="491"/>
      <c r="AB25" s="492"/>
      <c r="AC25" s="72"/>
      <c r="AD25" s="72"/>
      <c r="AE25" s="113"/>
      <c r="AF25" s="113"/>
      <c r="AG25" s="113"/>
      <c r="AH25" s="358"/>
      <c r="AI25" s="72"/>
    </row>
    <row r="26" spans="1:35" s="279" customFormat="1" ht="18.95" customHeight="1" thickBot="1" x14ac:dyDescent="0.45">
      <c r="A26" s="114"/>
      <c r="B26" s="500">
        <v>5</v>
      </c>
      <c r="C26" s="501"/>
      <c r="D26" s="506" t="str">
        <f t="shared" ref="D26" ca="1" si="100">IFERROR(IF(F30="ターム",INDIRECT($D$42&amp;D30)&amp;CHAR(10)&amp;INDIRECT($D$42&amp;E30),INDIRECT($D$42&amp;D30)),"")</f>
        <v/>
      </c>
      <c r="E26" s="507"/>
      <c r="F26" s="508"/>
      <c r="G26" s="506" t="str">
        <f t="shared" ref="G26" ca="1" si="101">IFERROR(IF(I30="ターム",INDIRECT($D$42&amp;G30)&amp;CHAR(10)&amp;INDIRECT($D$42&amp;H30),INDIRECT($D$42&amp;G30)),"")</f>
        <v/>
      </c>
      <c r="H26" s="507"/>
      <c r="I26" s="508"/>
      <c r="J26" s="506" t="str">
        <f t="shared" ref="J26" ca="1" si="102">IFERROR(IF(L30="ターム",INDIRECT($D$42&amp;J30)&amp;CHAR(10)&amp;INDIRECT($D$42&amp;K30),INDIRECT($D$42&amp;J30)),"")</f>
        <v/>
      </c>
      <c r="K26" s="507"/>
      <c r="L26" s="508"/>
      <c r="M26" s="506" t="str">
        <f t="shared" ref="M26" ca="1" si="103">IFERROR(IF(O30="ターム",INDIRECT($D$42&amp;M30)&amp;CHAR(10)&amp;INDIRECT($D$42&amp;N30),INDIRECT($D$42&amp;M30)),"")</f>
        <v/>
      </c>
      <c r="N26" s="507"/>
      <c r="O26" s="508"/>
      <c r="P26" s="506" t="str">
        <f t="shared" ref="P26" ca="1" si="104">IFERROR(IF(R30="ターム",INDIRECT($D$42&amp;P30)&amp;CHAR(10)&amp;INDIRECT($D$42&amp;Q30),INDIRECT($D$42&amp;P30)),"")</f>
        <v/>
      </c>
      <c r="Q26" s="507"/>
      <c r="R26" s="508"/>
      <c r="S26" s="114"/>
      <c r="T26" s="506" t="str">
        <f t="shared" ref="T26" ca="1" si="105">IFERROR(IF(V30="ターム",INDIRECT($D$42&amp;T30)&amp;CHAR(10)&amp;INDIRECT($D$42&amp;U30),INDIRECT($D$42&amp;T30)),"")</f>
        <v/>
      </c>
      <c r="U26" s="507"/>
      <c r="V26" s="508"/>
      <c r="W26" s="506" t="str">
        <f t="shared" ref="W26" ca="1" si="106">IFERROR(IF(Y30="ターム",INDIRECT($D$42&amp;W30)&amp;CHAR(10)&amp;INDIRECT($D$42&amp;X30),INDIRECT($D$42&amp;W30)),"")</f>
        <v/>
      </c>
      <c r="X26" s="507"/>
      <c r="Y26" s="508"/>
      <c r="Z26" s="114"/>
      <c r="AA26" s="493"/>
      <c r="AB26" s="494"/>
      <c r="AC26" s="114"/>
      <c r="AD26" s="114"/>
      <c r="AE26" s="115"/>
      <c r="AF26" s="115"/>
      <c r="AG26" s="115"/>
      <c r="AH26" s="359"/>
      <c r="AI26" s="114"/>
    </row>
    <row r="27" spans="1:35" s="279" customFormat="1" ht="18.95" customHeight="1" x14ac:dyDescent="0.4">
      <c r="A27" s="114"/>
      <c r="B27" s="502"/>
      <c r="C27" s="503"/>
      <c r="D27" s="509"/>
      <c r="E27" s="510"/>
      <c r="F27" s="511"/>
      <c r="G27" s="509"/>
      <c r="H27" s="510"/>
      <c r="I27" s="511"/>
      <c r="J27" s="509"/>
      <c r="K27" s="510"/>
      <c r="L27" s="511"/>
      <c r="M27" s="509"/>
      <c r="N27" s="510"/>
      <c r="O27" s="511"/>
      <c r="P27" s="509"/>
      <c r="Q27" s="510"/>
      <c r="R27" s="511"/>
      <c r="S27" s="114"/>
      <c r="T27" s="509"/>
      <c r="U27" s="510"/>
      <c r="V27" s="511"/>
      <c r="W27" s="509"/>
      <c r="X27" s="510"/>
      <c r="Y27" s="511"/>
      <c r="Z27" s="114"/>
      <c r="AA27" s="489" t="s">
        <v>999</v>
      </c>
      <c r="AB27" s="490"/>
      <c r="AC27" s="114"/>
      <c r="AD27" s="114"/>
      <c r="AE27" s="115"/>
      <c r="AF27" s="115"/>
      <c r="AG27" s="115"/>
      <c r="AH27" s="359"/>
      <c r="AI27" s="114"/>
    </row>
    <row r="28" spans="1:35" s="277" customFormat="1" ht="18.75" customHeight="1" x14ac:dyDescent="0.4">
      <c r="A28" s="68"/>
      <c r="B28" s="504"/>
      <c r="C28" s="505"/>
      <c r="D28" s="509"/>
      <c r="E28" s="510"/>
      <c r="F28" s="511"/>
      <c r="G28" s="509"/>
      <c r="H28" s="510"/>
      <c r="I28" s="511"/>
      <c r="J28" s="509"/>
      <c r="K28" s="510"/>
      <c r="L28" s="511"/>
      <c r="M28" s="509"/>
      <c r="N28" s="510"/>
      <c r="O28" s="511"/>
      <c r="P28" s="509"/>
      <c r="Q28" s="510"/>
      <c r="R28" s="511"/>
      <c r="S28" s="68"/>
      <c r="T28" s="509"/>
      <c r="U28" s="510"/>
      <c r="V28" s="511"/>
      <c r="W28" s="509"/>
      <c r="X28" s="510"/>
      <c r="Y28" s="511"/>
      <c r="Z28" s="68"/>
      <c r="AA28" s="491">
        <f ca="1">SUMIF(INDIRECT($N$42&amp;$AF$39&amp;":"&amp;$N$42&amp;$AF$40),"?",INDIRECT($M$42&amp;$AF$39&amp;":"&amp;$M$42&amp;$AF$40))</f>
        <v>0</v>
      </c>
      <c r="AB28" s="492"/>
      <c r="AC28" s="68"/>
      <c r="AD28" s="68"/>
      <c r="AE28" s="112"/>
      <c r="AF28" s="112"/>
      <c r="AG28" s="112"/>
      <c r="AH28" s="119"/>
      <c r="AI28" s="68"/>
    </row>
    <row r="29" spans="1:35" s="277" customFormat="1" ht="19.5" thickBot="1" x14ac:dyDescent="0.45">
      <c r="A29" s="68"/>
      <c r="B29" s="495" t="s">
        <v>986</v>
      </c>
      <c r="C29" s="496"/>
      <c r="D29" s="497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8"/>
      <c r="F29" s="499"/>
      <c r="G29" s="497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8"/>
      <c r="I29" s="499"/>
      <c r="J29" s="497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8"/>
      <c r="L29" s="499"/>
      <c r="M29" s="497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8"/>
      <c r="O29" s="499"/>
      <c r="P29" s="497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8"/>
      <c r="R29" s="499"/>
      <c r="S29" s="68"/>
      <c r="T29" s="497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8"/>
      <c r="V29" s="499"/>
      <c r="W29" s="497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8"/>
      <c r="Y29" s="499"/>
      <c r="Z29" s="68"/>
      <c r="AA29" s="493"/>
      <c r="AB29" s="494"/>
      <c r="AC29" s="68"/>
      <c r="AD29" s="68"/>
      <c r="AE29" s="112"/>
      <c r="AF29" s="112"/>
      <c r="AG29" s="112"/>
      <c r="AH29" s="119"/>
      <c r="AI29" s="68"/>
    </row>
    <row r="30" spans="1:35" s="278" customFormat="1" ht="19.5" hidden="1" thickBot="1" x14ac:dyDescent="0.45">
      <c r="A30" s="72"/>
      <c r="B30" s="116" t="s">
        <v>2180</v>
      </c>
      <c r="C30" s="117" t="s">
        <v>2181</v>
      </c>
      <c r="D30" s="207" t="str">
        <f t="shared" ref="D30" ca="1" si="112">IFERROR($AF$39+MATCH("*"&amp;D$5&amp;$B26&amp;"-1"&amp;"*",INDIRECT("$"&amp;$W$42&amp;$AF$39&amp;":"&amp;$W$42&amp;$AF$40),0)-1,"ー")</f>
        <v>ー</v>
      </c>
      <c r="E30" s="217" t="str">
        <f t="shared" ref="E30" ca="1" si="113">IFERROR($AF$39+MATCH("*"&amp;D$5&amp;$B26&amp;"-2"&amp;"*",INDIRECT("$"&amp;$W$42&amp;$AF$39&amp;":"&amp;$W$42&amp;$AF$40),0)-1,"ー")</f>
        <v>ー</v>
      </c>
      <c r="F30" s="208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207" t="str">
        <f t="shared" ref="G30:P30" ca="1" si="115">IFERROR($AF$39+MATCH("*"&amp;G$5&amp;$B26&amp;"-1"&amp;"*",INDIRECT("$"&amp;$W$42&amp;$AF$39&amp;":"&amp;$W$42&amp;$AF$40),0)-1,"ー")</f>
        <v>ー</v>
      </c>
      <c r="H30" s="217" t="str">
        <f t="shared" ref="H30:Q30" ca="1" si="116">IFERROR($AF$39+MATCH("*"&amp;G$5&amp;$B26&amp;"-2"&amp;"*",INDIRECT("$"&amp;$W$42&amp;$AF$39&amp;":"&amp;$W$42&amp;$AF$40),0)-1,"ー")</f>
        <v>ー</v>
      </c>
      <c r="I30" s="208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207" t="str">
        <f t="shared" ca="1" si="115"/>
        <v>ー</v>
      </c>
      <c r="K30" s="217" t="str">
        <f t="shared" ca="1" si="116"/>
        <v>ー</v>
      </c>
      <c r="L30" s="208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207" t="str">
        <f t="shared" ca="1" si="115"/>
        <v>ー</v>
      </c>
      <c r="N30" s="217" t="str">
        <f t="shared" ca="1" si="116"/>
        <v>ー</v>
      </c>
      <c r="O30" s="208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207" t="str">
        <f t="shared" ca="1" si="115"/>
        <v>ー</v>
      </c>
      <c r="Q30" s="217" t="str">
        <f t="shared" ca="1" si="116"/>
        <v>ー</v>
      </c>
      <c r="R30" s="208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72"/>
      <c r="T30" s="207" t="str">
        <f t="shared" ref="T30" ca="1" si="121">IFERROR($AF$39+MATCH(T$5&amp;"-"&amp;$B26,INDIRECT("$"&amp;$W$42&amp;$AF$39&amp;":"&amp;$W$42&amp;$AF$40),0)-1,"ー")</f>
        <v>ー</v>
      </c>
      <c r="U30" s="217" t="str">
        <f t="shared" ref="U30" ca="1" si="122">IFERROR($AF$39+MATCH(T$5&amp;"-"&amp;(VALUE($B26)+5),INDIRECT("$"&amp;$W$42&amp;$AF$39&amp;":"&amp;$W$42&amp;$AF$40),0)-1,"ー")</f>
        <v>ー</v>
      </c>
      <c r="V30" s="208" t="str">
        <f t="shared" ref="V30" ca="1" si="123">IF(U30="ー",
"重複なし",
IF(AND(T30&lt;&gt;"ー",U30&lt;&gt;"ー"),"ターム","重複あり")
)</f>
        <v>重複なし</v>
      </c>
      <c r="W30" s="207" t="str">
        <f t="shared" ref="W30" ca="1" si="124">IFERROR($AF$39+MATCH(W$5&amp;"-"&amp;$B26,INDIRECT("$"&amp;$W$42&amp;$AF$39&amp;":"&amp;$W$42&amp;$AF$40),0)-1,"ー")</f>
        <v>ー</v>
      </c>
      <c r="X30" s="217" t="str">
        <f t="shared" ref="X30" ca="1" si="125">IFERROR($AF$39+MATCH(W$5&amp;"-"&amp;(VALUE($B26)+5),INDIRECT("$"&amp;$W$42&amp;$AF$39&amp;":"&amp;$W$42&amp;$AF$40),0)-1,"ー")</f>
        <v>ー</v>
      </c>
      <c r="Y30" s="208" t="str">
        <f t="shared" ref="Y30" ca="1" si="126">IF(X30="ー",
"重複なし",
IF(AND(W30&lt;&gt;"ー",X30&lt;&gt;"ー"),"ターム","重複あり")
)</f>
        <v>重複なし</v>
      </c>
      <c r="Z30" s="72"/>
      <c r="AA30" s="72"/>
      <c r="AB30" s="72"/>
      <c r="AC30" s="72"/>
      <c r="AD30" s="72"/>
      <c r="AE30" s="113"/>
      <c r="AF30" s="113"/>
      <c r="AG30" s="113"/>
      <c r="AH30" s="358"/>
      <c r="AI30" s="72"/>
    </row>
    <row r="31" spans="1:35" s="277" customFormat="1" x14ac:dyDescent="0.4">
      <c r="A31" s="68"/>
      <c r="B31" s="68"/>
      <c r="C31" s="68"/>
      <c r="D31" s="70"/>
      <c r="E31" s="70"/>
      <c r="F31" s="70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112"/>
      <c r="AF31" s="112"/>
      <c r="AG31" s="112"/>
      <c r="AH31" s="119"/>
      <c r="AI31" s="68"/>
    </row>
    <row r="32" spans="1:35" s="277" customFormat="1" x14ac:dyDescent="0.4">
      <c r="A32" s="68"/>
      <c r="B32" s="68"/>
      <c r="C32" s="68"/>
      <c r="D32" s="70"/>
      <c r="E32" s="70"/>
      <c r="F32" s="70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112"/>
      <c r="AF32" s="112"/>
      <c r="AG32" s="112"/>
      <c r="AH32" s="119"/>
      <c r="AI32" s="68"/>
    </row>
    <row r="33" spans="1:35" s="277" customFormat="1" ht="30" x14ac:dyDescent="0.4">
      <c r="A33" s="68"/>
      <c r="B33" s="479" t="str">
        <f ca="1">"　"&amp;RIGHT(CELL("filename",A1),LEN(CELL("filename",A1))-FIND("]",CELL("filename",A1)))&amp;"　単位表"</f>
        <v>　１年春　単位表</v>
      </c>
      <c r="C33" s="479"/>
      <c r="D33" s="479"/>
      <c r="E33" s="479"/>
      <c r="F33" s="479"/>
      <c r="G33" s="479"/>
      <c r="H33" s="479"/>
      <c r="I33" s="479"/>
      <c r="J33" s="479"/>
      <c r="K33" s="479"/>
      <c r="L33" s="479"/>
      <c r="M33" s="479"/>
      <c r="N33" s="479"/>
      <c r="O33" s="479"/>
      <c r="P33" s="479"/>
      <c r="Q33" s="479"/>
      <c r="R33" s="479"/>
      <c r="S33" s="479"/>
      <c r="T33" s="479"/>
      <c r="U33" s="479"/>
      <c r="V33" s="479"/>
      <c r="W33" s="479"/>
      <c r="X33" s="479"/>
      <c r="Y33" s="479"/>
      <c r="Z33" s="479"/>
      <c r="AA33" s="479"/>
      <c r="AB33" s="479"/>
      <c r="AC33" s="479"/>
      <c r="AD33" s="479"/>
      <c r="AE33" s="112"/>
      <c r="AF33" s="112"/>
      <c r="AG33" s="112"/>
      <c r="AH33" s="119"/>
      <c r="AI33" s="68"/>
    </row>
    <row r="34" spans="1:35" s="276" customFormat="1" ht="18" customHeight="1" x14ac:dyDescent="0.4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211"/>
      <c r="AB34" s="211" t="s">
        <v>707</v>
      </c>
      <c r="AC34" s="480">
        <f ca="1">NOW()</f>
        <v>43958.619200578702</v>
      </c>
      <c r="AD34" s="480"/>
      <c r="AE34" s="119"/>
      <c r="AF34" s="119"/>
      <c r="AG34" s="119"/>
      <c r="AH34" s="119"/>
      <c r="AI34" s="70"/>
    </row>
    <row r="35" spans="1:35" ht="19.5" thickBot="1" x14ac:dyDescent="0.45"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120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121"/>
      <c r="AF35" s="121"/>
      <c r="AG35" s="121"/>
      <c r="AH35" s="121"/>
    </row>
    <row r="36" spans="1:35" ht="19.5" thickBot="1" x14ac:dyDescent="0.45">
      <c r="B36" s="481">
        <v>2020</v>
      </c>
      <c r="C36" s="482"/>
      <c r="D36" s="280" t="s">
        <v>970</v>
      </c>
      <c r="E36" s="482" t="s">
        <v>1004</v>
      </c>
      <c r="F36" s="482"/>
      <c r="G36" s="281" t="s">
        <v>978</v>
      </c>
      <c r="H36" s="483"/>
      <c r="I36" s="483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121"/>
      <c r="AF36" s="121"/>
      <c r="AG36" s="121"/>
      <c r="AH36" s="121"/>
    </row>
    <row r="37" spans="1:35" ht="19.5" thickBot="1" x14ac:dyDescent="0.45">
      <c r="B37" s="484" t="s">
        <v>967</v>
      </c>
      <c r="C37" s="485"/>
      <c r="D37" s="485"/>
      <c r="E37" s="485"/>
      <c r="F37" s="485"/>
      <c r="G37" s="485"/>
      <c r="H37" s="485"/>
      <c r="I37" s="485"/>
      <c r="J37" s="485"/>
      <c r="K37" s="485"/>
      <c r="L37" s="485"/>
      <c r="M37" s="485"/>
      <c r="N37" s="485"/>
      <c r="O37" s="485"/>
      <c r="P37" s="485"/>
      <c r="Q37" s="485"/>
      <c r="R37" s="485"/>
      <c r="S37" s="485"/>
      <c r="T37" s="485"/>
      <c r="U37" s="485"/>
      <c r="V37" s="486" t="s">
        <v>968</v>
      </c>
      <c r="W37" s="487"/>
      <c r="X37" s="487"/>
      <c r="Y37" s="487"/>
      <c r="Z37" s="487"/>
      <c r="AA37" s="487"/>
      <c r="AB37" s="487"/>
      <c r="AC37" s="487"/>
      <c r="AD37" s="488"/>
      <c r="AE37" s="472" t="s">
        <v>993</v>
      </c>
      <c r="AF37" s="473"/>
      <c r="AG37" s="473"/>
      <c r="AH37" s="474"/>
    </row>
    <row r="38" spans="1:35" ht="19.5" hidden="1" thickBot="1" x14ac:dyDescent="0.45">
      <c r="B38" s="434" t="s">
        <v>2174</v>
      </c>
      <c r="C38" s="435"/>
      <c r="D38" s="475" t="str">
        <f>$E$36</f>
        <v>春</v>
      </c>
      <c r="E38" s="476"/>
      <c r="F38" s="477" t="str">
        <f>IF($D$38="春","第１ターム",IF($D$38="秋","第４ターム",""))</f>
        <v>第１ターム</v>
      </c>
      <c r="G38" s="477"/>
      <c r="H38" s="477" t="str">
        <f>IF($D$38="春","第２ターム",IF($D$38="秋","第５ターム",""))</f>
        <v>第２ターム</v>
      </c>
      <c r="I38" s="478"/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460"/>
      <c r="U38" s="460"/>
      <c r="V38" s="460"/>
      <c r="W38" s="460"/>
      <c r="X38" s="460"/>
      <c r="Y38" s="460"/>
      <c r="Z38" s="460"/>
      <c r="AA38" s="460"/>
      <c r="AB38" s="460"/>
      <c r="AC38" s="460"/>
      <c r="AD38" s="460"/>
      <c r="AE38" s="298"/>
      <c r="AF38" s="298"/>
      <c r="AG38" s="298"/>
      <c r="AH38" s="298"/>
    </row>
    <row r="39" spans="1:35" ht="18.600000000000001" hidden="1" customHeight="1" thickBot="1" x14ac:dyDescent="0.45">
      <c r="B39" s="432" t="s">
        <v>977</v>
      </c>
      <c r="C39" s="461"/>
      <c r="D39" s="464" t="s">
        <v>970</v>
      </c>
      <c r="E39" s="465"/>
      <c r="F39" s="466">
        <f>$B$36</f>
        <v>2020</v>
      </c>
      <c r="G39" s="467"/>
      <c r="H39" s="468" t="s">
        <v>971</v>
      </c>
      <c r="I39" s="469"/>
      <c r="J39" s="470" t="s">
        <v>972</v>
      </c>
      <c r="K39" s="471"/>
      <c r="L39" s="450" t="s">
        <v>58</v>
      </c>
      <c r="M39" s="450"/>
      <c r="N39" s="451" t="s">
        <v>973</v>
      </c>
      <c r="O39" s="452"/>
      <c r="P39" s="448" t="s">
        <v>975</v>
      </c>
      <c r="Q39" s="453"/>
      <c r="R39" s="454" t="s">
        <v>974</v>
      </c>
      <c r="S39" s="455"/>
      <c r="T39" s="456" t="s">
        <v>972</v>
      </c>
      <c r="U39" s="457"/>
      <c r="V39" s="458" t="s">
        <v>500</v>
      </c>
      <c r="W39" s="459"/>
      <c r="X39" s="440" t="s">
        <v>973</v>
      </c>
      <c r="Y39" s="441"/>
      <c r="Z39" s="442" t="s">
        <v>976</v>
      </c>
      <c r="AA39" s="443"/>
      <c r="AB39" s="282"/>
      <c r="AC39" s="282"/>
      <c r="AD39" s="282"/>
      <c r="AE39" s="360" t="s">
        <v>994</v>
      </c>
      <c r="AF39" s="122">
        <f>ROW(AE43)+1</f>
        <v>44</v>
      </c>
      <c r="AG39" s="298"/>
      <c r="AH39" s="298"/>
    </row>
    <row r="40" spans="1:35" ht="19.5" hidden="1" thickBot="1" x14ac:dyDescent="0.45">
      <c r="B40" s="462"/>
      <c r="C40" s="463"/>
      <c r="D40" s="444" t="s">
        <v>969</v>
      </c>
      <c r="E40" s="445"/>
      <c r="F40" s="446">
        <v>3</v>
      </c>
      <c r="G40" s="447"/>
      <c r="H40" s="448">
        <v>2</v>
      </c>
      <c r="I40" s="447"/>
      <c r="J40" s="448">
        <v>2</v>
      </c>
      <c r="K40" s="447"/>
      <c r="L40" s="448">
        <v>3</v>
      </c>
      <c r="M40" s="447"/>
      <c r="N40" s="297">
        <v>7</v>
      </c>
      <c r="O40" s="297">
        <v>8</v>
      </c>
      <c r="P40" s="297">
        <v>10</v>
      </c>
      <c r="Q40" s="448">
        <v>11</v>
      </c>
      <c r="R40" s="447"/>
      <c r="S40" s="297">
        <v>6</v>
      </c>
      <c r="T40" s="297" t="s">
        <v>11</v>
      </c>
      <c r="U40" s="297" t="s">
        <v>11</v>
      </c>
      <c r="V40" s="123">
        <v>12</v>
      </c>
      <c r="W40" s="206">
        <v>4</v>
      </c>
      <c r="X40" s="206">
        <v>5</v>
      </c>
      <c r="Y40" s="206">
        <v>6</v>
      </c>
      <c r="Z40" s="430">
        <v>7</v>
      </c>
      <c r="AA40" s="449"/>
      <c r="AB40" s="430">
        <v>8</v>
      </c>
      <c r="AC40" s="431"/>
      <c r="AD40" s="431"/>
      <c r="AE40" s="361" t="s">
        <v>995</v>
      </c>
      <c r="AF40" s="124">
        <f ca="1">AF39+COUNTA(AF44:AF108)-1</f>
        <v>73</v>
      </c>
      <c r="AG40" s="298"/>
      <c r="AH40" s="298"/>
    </row>
    <row r="41" spans="1:35" hidden="1" x14ac:dyDescent="0.4">
      <c r="B41" s="432" t="s">
        <v>1005</v>
      </c>
      <c r="C41" s="433"/>
      <c r="D41" s="196" t="s">
        <v>939</v>
      </c>
      <c r="E41" s="197" t="s">
        <v>941</v>
      </c>
      <c r="F41" s="197" t="s">
        <v>940</v>
      </c>
      <c r="G41" s="197" t="s">
        <v>944</v>
      </c>
      <c r="H41" s="197" t="s">
        <v>954</v>
      </c>
      <c r="I41" s="197" t="s">
        <v>958</v>
      </c>
      <c r="J41" s="197" t="s">
        <v>960</v>
      </c>
      <c r="K41" s="197" t="s">
        <v>957</v>
      </c>
      <c r="L41" s="197" t="s">
        <v>961</v>
      </c>
      <c r="M41" s="197" t="s">
        <v>15</v>
      </c>
      <c r="N41" s="197" t="s">
        <v>9</v>
      </c>
      <c r="O41" s="197" t="s">
        <v>16</v>
      </c>
      <c r="P41" s="198" t="s">
        <v>959</v>
      </c>
      <c r="Q41" s="198" t="s">
        <v>962</v>
      </c>
      <c r="R41" s="198" t="s">
        <v>945</v>
      </c>
      <c r="S41" s="198" t="s">
        <v>946</v>
      </c>
      <c r="T41" s="198" t="s">
        <v>947</v>
      </c>
      <c r="U41" s="198" t="s">
        <v>948</v>
      </c>
      <c r="V41" s="199" t="s">
        <v>996</v>
      </c>
      <c r="W41" s="200" t="s">
        <v>997</v>
      </c>
      <c r="X41" s="195"/>
      <c r="Y41" s="195"/>
      <c r="Z41" s="296"/>
      <c r="AA41" s="296"/>
      <c r="AB41" s="296"/>
      <c r="AC41" s="296"/>
      <c r="AD41" s="296"/>
      <c r="AE41" s="298"/>
      <c r="AF41" s="298"/>
      <c r="AG41" s="298"/>
      <c r="AH41" s="298"/>
    </row>
    <row r="42" spans="1:35" ht="19.5" hidden="1" thickBot="1" x14ac:dyDescent="0.45">
      <c r="B42" s="434"/>
      <c r="C42" s="435"/>
      <c r="D42" s="201" t="str">
        <f>LEFT(ADDRESS(1,COLUMN($B$43),2),FIND("$",ADDRESS(1,COLUMN($B$43),2))-1)</f>
        <v>B</v>
      </c>
      <c r="E42" s="202" t="str">
        <f>LEFT(ADDRESS(1,COLUMN($F$43),2),FIND("$",ADDRESS(1,COLUMN($F$43),2))-1)</f>
        <v>F</v>
      </c>
      <c r="F42" s="203" t="str">
        <f>LEFT(ADDRESS(1,COLUMN($H$43),2),FIND("$",ADDRESS(1,COLUMN($H$43),2))-1)</f>
        <v>H</v>
      </c>
      <c r="G42" s="203" t="str">
        <f>LEFT(ADDRESS(1,COLUMN($J$43),2),FIND("$",ADDRESS(1,COLUMN($J$43),2))-1)</f>
        <v>J</v>
      </c>
      <c r="H42" s="203" t="str">
        <f>LEFT(ADDRESS(1,COLUMN($L$43),2),FIND("$",ADDRESS(1,COLUMN($L$43),2))-1)</f>
        <v>L</v>
      </c>
      <c r="I42" s="203" t="str">
        <f>LEFT(ADDRESS(1,COLUMN($N$43),2),FIND("$",ADDRESS(1,COLUMN($N$43),2))-1)</f>
        <v>N</v>
      </c>
      <c r="J42" s="203" t="str">
        <f>LEFT(ADDRESS(1,COLUMN($O$43),2),FIND("$",ADDRESS(1,COLUMN($O$43),2))-1)</f>
        <v>O</v>
      </c>
      <c r="K42" s="203" t="str">
        <f>LEFT(ADDRESS(1,COLUMN($P$43),2),FIND("$",ADDRESS(1,COLUMN($P$43),2))-1)</f>
        <v>P</v>
      </c>
      <c r="L42" s="203" t="str">
        <f>LEFT(ADDRESS(1,COLUMN($Q$43),2),FIND("$",ADDRESS(1,COLUMN($Q$43),2))-1)</f>
        <v>Q</v>
      </c>
      <c r="M42" s="202" t="str">
        <f>LEFT(ADDRESS(1,COLUMN($S$43),2),FIND("$",ADDRESS(1,COLUMN($S$43),2))-1)</f>
        <v>S</v>
      </c>
      <c r="N42" s="202" t="str">
        <f>LEFT(ADDRESS(1,COLUMN($T$43),2),FIND("$",ADDRESS(1,COLUMN($T$43),2))-1)</f>
        <v>T</v>
      </c>
      <c r="O42" s="202" t="str">
        <f>LEFT(ADDRESS(1,COLUMN($U$43),2),FIND("$",ADDRESS(1,COLUMN($U$43),2))-1)</f>
        <v>U</v>
      </c>
      <c r="P42" s="204" t="str">
        <f>LEFT(ADDRESS(1,COLUMN($V$43),2),FIND("$",ADDRESS(1,COLUMN($V$43),2))-1)</f>
        <v>V</v>
      </c>
      <c r="Q42" s="204" t="str">
        <f>LEFT(ADDRESS(1,COLUMN($W$43),2),FIND("$",ADDRESS(1,COLUMN($W$43),2))-1)</f>
        <v>W</v>
      </c>
      <c r="R42" s="204" t="str">
        <f>LEFT(ADDRESS(1,COLUMN($X$43),2),FIND("$",ADDRESS(1,COLUMN($X$43),2))-1)</f>
        <v>X</v>
      </c>
      <c r="S42" s="204" t="str">
        <f>LEFT(ADDRESS(1,COLUMN($Y$43),2),FIND("$",ADDRESS(1,COLUMN($Y$43),2))-1)</f>
        <v>Y</v>
      </c>
      <c r="T42" s="205" t="str">
        <f>LEFT(ADDRESS(1,COLUMN($Z$43),2),FIND("$",ADDRESS(1,COLUMN($Z$43),2))-1)</f>
        <v>Z</v>
      </c>
      <c r="U42" s="205" t="str">
        <f>LEFT(ADDRESS(1,COLUMN($AB$43),2),FIND("$",ADDRESS(1,COLUMN($AB$43),2))-1)</f>
        <v>AB</v>
      </c>
      <c r="V42" s="125" t="str">
        <f>LEFT(ADDRESS(1,COLUMN($AE$43),2),FIND("$",ADDRESS(1,COLUMN($AE$43),2))-1)</f>
        <v>AE</v>
      </c>
      <c r="W42" s="126" t="str">
        <f>LEFT(ADDRESS(1,COLUMN($AF$43),2),FIND("$",ADDRESS(1,COLUMN($AF$43),2))-1)</f>
        <v>AF</v>
      </c>
      <c r="X42" s="127"/>
      <c r="Y42" s="127"/>
      <c r="Z42" s="296"/>
      <c r="AA42" s="296"/>
      <c r="AB42" s="296"/>
      <c r="AC42" s="296"/>
      <c r="AD42" s="296"/>
      <c r="AE42" s="298"/>
      <c r="AF42" s="298"/>
      <c r="AG42" s="298"/>
      <c r="AH42" s="298"/>
    </row>
    <row r="43" spans="1:35" ht="19.5" thickBot="1" x14ac:dyDescent="0.45">
      <c r="B43" s="436" t="s">
        <v>939</v>
      </c>
      <c r="C43" s="437"/>
      <c r="D43" s="437"/>
      <c r="E43" s="437"/>
      <c r="F43" s="437" t="s">
        <v>941</v>
      </c>
      <c r="G43" s="437"/>
      <c r="H43" s="437" t="s">
        <v>940</v>
      </c>
      <c r="I43" s="437"/>
      <c r="J43" s="437" t="s">
        <v>944</v>
      </c>
      <c r="K43" s="437"/>
      <c r="L43" s="437" t="s">
        <v>954</v>
      </c>
      <c r="M43" s="437"/>
      <c r="N43" s="294" t="s">
        <v>958</v>
      </c>
      <c r="O43" s="294" t="s">
        <v>960</v>
      </c>
      <c r="P43" s="294" t="s">
        <v>957</v>
      </c>
      <c r="Q43" s="437" t="s">
        <v>961</v>
      </c>
      <c r="R43" s="437"/>
      <c r="S43" s="294" t="s">
        <v>15</v>
      </c>
      <c r="T43" s="294" t="s">
        <v>9</v>
      </c>
      <c r="U43" s="189" t="s">
        <v>16</v>
      </c>
      <c r="V43" s="128" t="s">
        <v>959</v>
      </c>
      <c r="W43" s="295" t="s">
        <v>962</v>
      </c>
      <c r="X43" s="295" t="s">
        <v>945</v>
      </c>
      <c r="Y43" s="295" t="s">
        <v>946</v>
      </c>
      <c r="Z43" s="438" t="s">
        <v>947</v>
      </c>
      <c r="AA43" s="438"/>
      <c r="AB43" s="438" t="s">
        <v>948</v>
      </c>
      <c r="AC43" s="438"/>
      <c r="AD43" s="439"/>
      <c r="AE43" s="355" t="s">
        <v>996</v>
      </c>
      <c r="AF43" s="357" t="s">
        <v>997</v>
      </c>
      <c r="AG43" s="357" t="s">
        <v>2179</v>
      </c>
      <c r="AH43" s="356" t="s">
        <v>2508</v>
      </c>
    </row>
    <row r="44" spans="1:35" ht="19.5" thickTop="1" x14ac:dyDescent="0.4">
      <c r="B44" s="424"/>
      <c r="C44" s="425"/>
      <c r="D44" s="425"/>
      <c r="E44" s="425"/>
      <c r="F44" s="410" t="str">
        <f ca="1">IFERROR(VLOOKUP($B44,INDIRECT(CONCATENATE("'",$F$39,$V$39,"'!",$Z$39)),$F$40,FALSE)&amp;"","")</f>
        <v/>
      </c>
      <c r="G44" s="410"/>
      <c r="H44" s="429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429"/>
      <c r="J44" s="410" t="str">
        <f ca="1">IFERROR(VLOOKUP($B44,INDIRECT(CONCATENATE("'",成績管理表!$D$9,$L$39,"'!",$P$39)),$J$40,FALSE)&amp;"","")</f>
        <v/>
      </c>
      <c r="K44" s="410"/>
      <c r="L44" s="410" t="str">
        <f ca="1">IFERROR(VLOOKUP($B44,INDIRECT(CONCATENATE("'",成績管理表!$D$9,$L$39,"'!",$P$39)),$L$40,FALSE)&amp;"","")</f>
        <v/>
      </c>
      <c r="M44" s="410"/>
      <c r="N44" s="292" t="str">
        <f ca="1">IFERROR(VLOOKUP($B44,INDIRECT(CONCATENATE("'",成績管理表!$D$9,$L$39,"'!",$P$39)),$N$40,FALSE)&amp;"","")</f>
        <v/>
      </c>
      <c r="O44" s="292" t="str">
        <f ca="1">IFERROR(VLOOKUP($B44,INDIRECT(CONCATENATE("'",成績管理表!$D$9,$L$39,"'!",$P$39)),$O$40,FALSE)&amp;"","")</f>
        <v/>
      </c>
      <c r="P44" s="292" t="str">
        <f ca="1">IFERROR(VLOOKUP($B44,INDIRECT(CONCATENATE("'",成績管理表!$D$9,$L$39,"'!",$P$39)),$P$40,FALSE)&amp;"","")</f>
        <v/>
      </c>
      <c r="Q44" s="410" t="str">
        <f ca="1">IFERROR(VLOOKUP($B44,INDIRECT(CONCATENATE("'",成績管理表!$D$9,$L$39,"'!",$P$39)),$Q$40,FALSE)&amp;"","")</f>
        <v/>
      </c>
      <c r="R44" s="410"/>
      <c r="S44" s="129" t="str">
        <f ca="1">IFERROR(VLOOKUP($B44,INDIRECT(CONCATENATE("'",成績管理表!$D$9,$L$39,"'!",$P$39)),$S$40,FALSE),"")</f>
        <v/>
      </c>
      <c r="T44" s="110"/>
      <c r="U44" s="190" t="str">
        <f>IF($T44="秀",4.5*$S44,IF($T44="優",4*$S44,IF($T44="良",3*$S44,IF($T44="可",2*$S44,IF($T44="不可",0,"")))))</f>
        <v/>
      </c>
      <c r="V44" s="130" t="str">
        <f ca="1">IFERROR(VLOOKUP($B44,INDIRECT(CONCATENATE("'",成績管理表!$D$9,$L$39,"'!",$P$39)),$V$40,FALSE)&amp;"","")</f>
        <v/>
      </c>
      <c r="W44" s="292" t="str">
        <f ca="1">IFERROR(VLOOKUP($B44,INDIRECT(CONCATENATE("'",$F$39,$V$39,"'!",$Z$39)),$W$40,FALSE)&amp;"","")</f>
        <v/>
      </c>
      <c r="X44" s="292" t="str">
        <f ca="1">IFERROR(VLOOKUP($B44,INDIRECT(CONCATENATE("'",$F$39,$V$39,"'!",$Z$39)),$X$40,FALSE)&amp;"","")</f>
        <v/>
      </c>
      <c r="Y44" s="292" t="str">
        <f ca="1">IFERROR(VLOOKUP($B44,INDIRECT(CONCATENATE("'",$F$39,$V$39,"'!",$Z$39)),$Y$40,FALSE)&amp;"","")</f>
        <v/>
      </c>
      <c r="Z44" s="410" t="str">
        <f ca="1">IFERROR(VLOOKUP($B44,INDIRECT(CONCATENATE("'",$F$39,$V$39,"'!",$Z$39)),$Z$40,FALSE)&amp;"","")</f>
        <v/>
      </c>
      <c r="AA44" s="410"/>
      <c r="AB44" s="411" t="str">
        <f ca="1">IFERROR(VLOOKUP($B44,INDIRECT(CONCATENATE("'",$F$39,$V$39,"'!",$Z$39)),$AB$40,FALSE)&amp;"","")</f>
        <v/>
      </c>
      <c r="AC44" s="411"/>
      <c r="AD44" s="412"/>
      <c r="AE44" s="130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9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92" t="b">
        <f ca="1">OR(OR($W44=$D$38,$W44=$F$38,$W44=$H$38),LEN($W44)=0)</f>
        <v>1</v>
      </c>
      <c r="AH44" s="131" t="b">
        <f ca="1">OR(LEN(AF44)=0,
$AE44="集中講義等",
$AE44="演習",
IF(COUNTIF($AF44,"*/*")=1,COUNTIF($AF44,"*-1*-1*")=1,COUNTIF($AF44,"*-1*")=1)
)</f>
        <v>1</v>
      </c>
      <c r="AI44" s="132"/>
    </row>
    <row r="45" spans="1:35" x14ac:dyDescent="0.4">
      <c r="B45" s="426"/>
      <c r="C45" s="427"/>
      <c r="D45" s="427"/>
      <c r="E45" s="428"/>
      <c r="F45" s="422" t="str">
        <f t="shared" ref="F45:F73" ca="1" si="127">IFERROR(VLOOKUP($B45,INDIRECT(CONCATENATE("'",$F$39,$V$39,"'!",$Z$39)),$F$40,FALSE)&amp;"","")</f>
        <v/>
      </c>
      <c r="G45" s="422"/>
      <c r="H45" s="42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423"/>
      <c r="J45" s="410" t="str">
        <f ca="1">IFERROR(VLOOKUP($B45,INDIRECT(CONCATENATE("'",成績管理表!$D$9,$L$39,"'!",$P$39)),$J$40,FALSE)&amp;"","")</f>
        <v/>
      </c>
      <c r="K45" s="410"/>
      <c r="L45" s="410" t="str">
        <f ca="1">IFERROR(VLOOKUP($B45,INDIRECT(CONCATENATE("'",成績管理表!$D$9,$L$39,"'!",$P$39)),$L$40,FALSE)&amp;"","")</f>
        <v/>
      </c>
      <c r="M45" s="410"/>
      <c r="N45" s="292" t="str">
        <f ca="1">IFERROR(VLOOKUP($B45,INDIRECT(CONCATENATE("'",成績管理表!$D$9,$L$39,"'!",$P$39)),$N$40,FALSE)&amp;"","")</f>
        <v/>
      </c>
      <c r="O45" s="292" t="str">
        <f ca="1">IFERROR(VLOOKUP($B45,INDIRECT(CONCATENATE("'",成績管理表!$D$9,$L$39,"'!",$P$39)),$O$40,FALSE)&amp;"","")</f>
        <v/>
      </c>
      <c r="P45" s="292" t="str">
        <f ca="1">IFERROR(VLOOKUP($B45,INDIRECT(CONCATENATE("'",成績管理表!$D$9,$L$39,"'!",$P$39)),$P$40,FALSE)&amp;"","")</f>
        <v/>
      </c>
      <c r="Q45" s="410" t="str">
        <f ca="1">IFERROR(VLOOKUP($B45,INDIRECT(CONCATENATE("'",成績管理表!$D$9,$L$39,"'!",$P$39)),$Q$40,FALSE)&amp;"","")</f>
        <v/>
      </c>
      <c r="R45" s="410"/>
      <c r="S45" s="129" t="str">
        <f ca="1">IFERROR(VLOOKUP($B45,INDIRECT(CONCATENATE("'",成績管理表!$D$9,$L$39,"'!",$P$39)),$S$40,FALSE),"")</f>
        <v/>
      </c>
      <c r="T45" s="110"/>
      <c r="U45" s="190" t="str">
        <f t="shared" ref="U45:U73" si="128">IF($T45="秀",4.5*$S45,IF($T45="優",4*$S45,IF($T45="良",3*$S45,IF($T45="可",2*$S45,IF($T45="不可",0,"")))))</f>
        <v/>
      </c>
      <c r="V45" s="130" t="str">
        <f ca="1">IFERROR(VLOOKUP($B45,INDIRECT(CONCATENATE("'",成績管理表!$D$9,$L$39,"'!",$P$39)),$V$40,FALSE)&amp;"","")</f>
        <v/>
      </c>
      <c r="W45" s="292" t="str">
        <f t="shared" ref="W45:W73" ca="1" si="129">IFERROR(VLOOKUP($B45,INDIRECT(CONCATENATE("'",$F$39,$V$39,"'!",$Z$39)),$W$40,FALSE)&amp;"","")</f>
        <v/>
      </c>
      <c r="X45" s="292" t="str">
        <f t="shared" ref="X45:X73" ca="1" si="130">IFERROR(VLOOKUP($B45,INDIRECT(CONCATENATE("'",$F$39,$V$39,"'!",$Z$39)),$X$40,FALSE)&amp;"","")</f>
        <v/>
      </c>
      <c r="Y45" s="292" t="str">
        <f t="shared" ref="Y45:Y73" ca="1" si="131">IFERROR(VLOOKUP($B45,INDIRECT(CONCATENATE("'",$F$39,$V$39,"'!",$Z$39)),$Y$40,FALSE)&amp;"","")</f>
        <v/>
      </c>
      <c r="Z45" s="410" t="str">
        <f t="shared" ref="Z45:Z73" ca="1" si="132">IFERROR(VLOOKUP($B45,INDIRECT(CONCATENATE("'",$F$39,$V$39,"'!",$Z$39)),$Z$40,FALSE)&amp;"","")</f>
        <v/>
      </c>
      <c r="AA45" s="410"/>
      <c r="AB45" s="411" t="str">
        <f t="shared" ref="AB45:AB73" ca="1" si="133">IFERROR(VLOOKUP($B45,INDIRECT(CONCATENATE("'",$F$39,$V$39,"'!",$Z$39)),$AB$40,FALSE)&amp;"","")</f>
        <v/>
      </c>
      <c r="AC45" s="411"/>
      <c r="AD45" s="412"/>
      <c r="AE45" s="273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9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93" t="b">
        <f t="shared" ref="AG45:AG73" ca="1" si="135">OR(OR($W45=$D$38,$W45=$F$38,$W45=$H$38),LEN($W45)=0)</f>
        <v>1</v>
      </c>
      <c r="AH45" s="131" t="b">
        <f t="shared" ref="AH45:AH73" ca="1" si="136">OR(LEN(AF45)=0,
$AE45="集中講義等",
$AE45="演習",
IF(COUNTIF($AF45,"*/*")=1,COUNTIF($AF45,"*-1*-1*")=1,COUNTIF($AF45,"*-1*")=1)
)</f>
        <v>1</v>
      </c>
      <c r="AI45" s="132"/>
    </row>
    <row r="46" spans="1:35" x14ac:dyDescent="0.4">
      <c r="B46" s="426"/>
      <c r="C46" s="427"/>
      <c r="D46" s="427"/>
      <c r="E46" s="428"/>
      <c r="F46" s="422" t="str">
        <f t="shared" ca="1" si="127"/>
        <v/>
      </c>
      <c r="G46" s="422"/>
      <c r="H46" s="42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423"/>
      <c r="J46" s="410" t="str">
        <f ca="1">IFERROR(VLOOKUP($B46,INDIRECT(CONCATENATE("'",成績管理表!$D$9,$L$39,"'!",$P$39)),$J$40,FALSE)&amp;"","")</f>
        <v/>
      </c>
      <c r="K46" s="410"/>
      <c r="L46" s="410" t="str">
        <f ca="1">IFERROR(VLOOKUP($B46,INDIRECT(CONCATENATE("'",成績管理表!$D$9,$L$39,"'!",$P$39)),$L$40,FALSE)&amp;"","")</f>
        <v/>
      </c>
      <c r="M46" s="410"/>
      <c r="N46" s="292" t="str">
        <f ca="1">IFERROR(VLOOKUP($B46,INDIRECT(CONCATENATE("'",成績管理表!$D$9,$L$39,"'!",$P$39)),$N$40,FALSE)&amp;"","")</f>
        <v/>
      </c>
      <c r="O46" s="292" t="str">
        <f ca="1">IFERROR(VLOOKUP($B46,INDIRECT(CONCATENATE("'",成績管理表!$D$9,$L$39,"'!",$P$39)),$O$40,FALSE)&amp;"","")</f>
        <v/>
      </c>
      <c r="P46" s="292" t="str">
        <f ca="1">IFERROR(VLOOKUP($B46,INDIRECT(CONCATENATE("'",成績管理表!$D$9,$L$39,"'!",$P$39)),$P$40,FALSE)&amp;"","")</f>
        <v/>
      </c>
      <c r="Q46" s="410" t="str">
        <f ca="1">IFERROR(VLOOKUP($B46,INDIRECT(CONCATENATE("'",成績管理表!$D$9,$L$39,"'!",$P$39)),$Q$40,FALSE)&amp;"","")</f>
        <v/>
      </c>
      <c r="R46" s="410"/>
      <c r="S46" s="129" t="str">
        <f ca="1">IFERROR(VLOOKUP($B46,INDIRECT(CONCATENATE("'",成績管理表!$D$9,$L$39,"'!",$P$39)),$S$40,FALSE),"")</f>
        <v/>
      </c>
      <c r="T46" s="110"/>
      <c r="U46" s="190" t="str">
        <f t="shared" si="128"/>
        <v/>
      </c>
      <c r="V46" s="130" t="str">
        <f ca="1">IFERROR(VLOOKUP($B46,INDIRECT(CONCATENATE("'",成績管理表!$D$9,$L$39,"'!",$P$39)),$V$40,FALSE)&amp;"","")</f>
        <v/>
      </c>
      <c r="W46" s="292" t="str">
        <f t="shared" ca="1" si="129"/>
        <v/>
      </c>
      <c r="X46" s="292" t="str">
        <f t="shared" ca="1" si="130"/>
        <v/>
      </c>
      <c r="Y46" s="292" t="str">
        <f t="shared" ca="1" si="131"/>
        <v/>
      </c>
      <c r="Z46" s="410" t="str">
        <f t="shared" ca="1" si="132"/>
        <v/>
      </c>
      <c r="AA46" s="410"/>
      <c r="AB46" s="411" t="str">
        <f t="shared" ca="1" si="133"/>
        <v/>
      </c>
      <c r="AC46" s="411"/>
      <c r="AD46" s="412"/>
      <c r="AE46" s="273" t="str">
        <f t="shared" ca="1" si="134"/>
        <v/>
      </c>
      <c r="AF46" s="29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93" t="b">
        <f t="shared" ca="1" si="135"/>
        <v>1</v>
      </c>
      <c r="AH46" s="131" t="b">
        <f t="shared" ca="1" si="136"/>
        <v>1</v>
      </c>
      <c r="AI46" s="132"/>
    </row>
    <row r="47" spans="1:35" x14ac:dyDescent="0.4">
      <c r="B47" s="426"/>
      <c r="C47" s="427"/>
      <c r="D47" s="427"/>
      <c r="E47" s="428"/>
      <c r="F47" s="422" t="str">
        <f t="shared" ca="1" si="127"/>
        <v/>
      </c>
      <c r="G47" s="422"/>
      <c r="H47" s="42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423"/>
      <c r="J47" s="410" t="str">
        <f ca="1">IFERROR(VLOOKUP($B47,INDIRECT(CONCATENATE("'",成績管理表!$D$9,$L$39,"'!",$P$39)),$J$40,FALSE)&amp;"","")</f>
        <v/>
      </c>
      <c r="K47" s="410"/>
      <c r="L47" s="410" t="str">
        <f ca="1">IFERROR(VLOOKUP($B47,INDIRECT(CONCATENATE("'",成績管理表!$D$9,$L$39,"'!",$P$39)),$L$40,FALSE)&amp;"","")</f>
        <v/>
      </c>
      <c r="M47" s="410"/>
      <c r="N47" s="292" t="str">
        <f ca="1">IFERROR(VLOOKUP($B47,INDIRECT(CONCATENATE("'",成績管理表!$D$9,$L$39,"'!",$P$39)),$N$40,FALSE)&amp;"","")</f>
        <v/>
      </c>
      <c r="O47" s="292" t="str">
        <f ca="1">IFERROR(VLOOKUP($B47,INDIRECT(CONCATENATE("'",成績管理表!$D$9,$L$39,"'!",$P$39)),$O$40,FALSE)&amp;"","")</f>
        <v/>
      </c>
      <c r="P47" s="292" t="str">
        <f ca="1">IFERROR(VLOOKUP($B47,INDIRECT(CONCATENATE("'",成績管理表!$D$9,$L$39,"'!",$P$39)),$P$40,FALSE)&amp;"","")</f>
        <v/>
      </c>
      <c r="Q47" s="410" t="str">
        <f ca="1">IFERROR(VLOOKUP($B47,INDIRECT(CONCATENATE("'",成績管理表!$D$9,$L$39,"'!",$P$39)),$Q$40,FALSE)&amp;"","")</f>
        <v/>
      </c>
      <c r="R47" s="410"/>
      <c r="S47" s="129" t="str">
        <f ca="1">IFERROR(VLOOKUP($B47,INDIRECT(CONCATENATE("'",成績管理表!$D$9,$L$39,"'!",$P$39)),$S$40,FALSE),"")</f>
        <v/>
      </c>
      <c r="T47" s="110"/>
      <c r="U47" s="190" t="str">
        <f t="shared" si="128"/>
        <v/>
      </c>
      <c r="V47" s="130" t="str">
        <f ca="1">IFERROR(VLOOKUP($B47,INDIRECT(CONCATENATE("'",成績管理表!$D$9,$L$39,"'!",$P$39)),$V$40,FALSE)&amp;"","")</f>
        <v/>
      </c>
      <c r="W47" s="292" t="str">
        <f ca="1">IFERROR(VLOOKUP($B47,INDIRECT(CONCATENATE("'",$F$39,$V$39,"'!",$Z$39)),$W$40,FALSE)&amp;"","")</f>
        <v/>
      </c>
      <c r="X47" s="292" t="str">
        <f t="shared" ca="1" si="130"/>
        <v/>
      </c>
      <c r="Y47" s="292" t="str">
        <f t="shared" ca="1" si="131"/>
        <v/>
      </c>
      <c r="Z47" s="410" t="str">
        <f t="shared" ca="1" si="132"/>
        <v/>
      </c>
      <c r="AA47" s="410"/>
      <c r="AB47" s="411" t="str">
        <f t="shared" ca="1" si="133"/>
        <v/>
      </c>
      <c r="AC47" s="411"/>
      <c r="AD47" s="412"/>
      <c r="AE47" s="273" t="str">
        <f t="shared" ca="1" si="134"/>
        <v/>
      </c>
      <c r="AF47" s="29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93" t="b">
        <f t="shared" ca="1" si="135"/>
        <v>1</v>
      </c>
      <c r="AH47" s="131" t="b">
        <f t="shared" ca="1" si="136"/>
        <v>1</v>
      </c>
      <c r="AI47" s="132"/>
    </row>
    <row r="48" spans="1:35" x14ac:dyDescent="0.4">
      <c r="B48" s="420"/>
      <c r="C48" s="421"/>
      <c r="D48" s="421"/>
      <c r="E48" s="421"/>
      <c r="F48" s="422" t="str">
        <f t="shared" ca="1" si="127"/>
        <v/>
      </c>
      <c r="G48" s="422"/>
      <c r="H48" s="42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423"/>
      <c r="J48" s="410" t="str">
        <f ca="1">IFERROR(VLOOKUP($B48,INDIRECT(CONCATENATE("'",成績管理表!$D$9,$L$39,"'!",$P$39)),$J$40,FALSE)&amp;"","")</f>
        <v/>
      </c>
      <c r="K48" s="410"/>
      <c r="L48" s="410" t="str">
        <f ca="1">IFERROR(VLOOKUP($B48,INDIRECT(CONCATENATE("'",成績管理表!$D$9,$L$39,"'!",$P$39)),$L$40,FALSE)&amp;"","")</f>
        <v/>
      </c>
      <c r="M48" s="410"/>
      <c r="N48" s="292" t="str">
        <f ca="1">IFERROR(VLOOKUP($B48,INDIRECT(CONCATENATE("'",成績管理表!$D$9,$L$39,"'!",$P$39)),$N$40,FALSE)&amp;"","")</f>
        <v/>
      </c>
      <c r="O48" s="292" t="str">
        <f ca="1">IFERROR(VLOOKUP($B48,INDIRECT(CONCATENATE("'",成績管理表!$D$9,$L$39,"'!",$P$39)),$O$40,FALSE)&amp;"","")</f>
        <v/>
      </c>
      <c r="P48" s="292" t="str">
        <f ca="1">IFERROR(VLOOKUP($B48,INDIRECT(CONCATENATE("'",成績管理表!$D$9,$L$39,"'!",$P$39)),$P$40,FALSE)&amp;"","")</f>
        <v/>
      </c>
      <c r="Q48" s="410" t="str">
        <f ca="1">IFERROR(VLOOKUP($B48,INDIRECT(CONCATENATE("'",成績管理表!$D$9,$L$39,"'!",$P$39)),$Q$40,FALSE)&amp;"","")</f>
        <v/>
      </c>
      <c r="R48" s="410"/>
      <c r="S48" s="129" t="str">
        <f ca="1">IFERROR(VLOOKUP($B48,INDIRECT(CONCATENATE("'",成績管理表!$D$9,$L$39,"'!",$P$39)),$S$40,FALSE),"")</f>
        <v/>
      </c>
      <c r="T48" s="110"/>
      <c r="U48" s="190" t="str">
        <f t="shared" si="128"/>
        <v/>
      </c>
      <c r="V48" s="130" t="str">
        <f ca="1">IFERROR(VLOOKUP($B48,INDIRECT(CONCATENATE("'",成績管理表!$D$9,$L$39,"'!",$P$39)),$V$40,FALSE)&amp;"","")</f>
        <v/>
      </c>
      <c r="W48" s="292" t="str">
        <f t="shared" ca="1" si="129"/>
        <v/>
      </c>
      <c r="X48" s="292" t="str">
        <f t="shared" ca="1" si="130"/>
        <v/>
      </c>
      <c r="Y48" s="292" t="str">
        <f t="shared" ca="1" si="131"/>
        <v/>
      </c>
      <c r="Z48" s="410" t="str">
        <f t="shared" ca="1" si="132"/>
        <v/>
      </c>
      <c r="AA48" s="410"/>
      <c r="AB48" s="411" t="str">
        <f t="shared" ca="1" si="133"/>
        <v/>
      </c>
      <c r="AC48" s="411"/>
      <c r="AD48" s="412"/>
      <c r="AE48" s="273" t="str">
        <f t="shared" ca="1" si="134"/>
        <v/>
      </c>
      <c r="AF48" s="29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93" t="b">
        <f t="shared" ca="1" si="135"/>
        <v>1</v>
      </c>
      <c r="AH48" s="131" t="b">
        <f t="shared" ca="1" si="136"/>
        <v>1</v>
      </c>
      <c r="AI48" s="132"/>
    </row>
    <row r="49" spans="2:35" x14ac:dyDescent="0.4">
      <c r="B49" s="426"/>
      <c r="C49" s="427"/>
      <c r="D49" s="427"/>
      <c r="E49" s="428"/>
      <c r="F49" s="422" t="str">
        <f t="shared" ca="1" si="127"/>
        <v/>
      </c>
      <c r="G49" s="422"/>
      <c r="H49" s="42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423"/>
      <c r="J49" s="410" t="str">
        <f ca="1">IFERROR(VLOOKUP($B49,INDIRECT(CONCATENATE("'",成績管理表!$D$9,$L$39,"'!",$P$39)),$J$40,FALSE)&amp;"","")</f>
        <v/>
      </c>
      <c r="K49" s="410"/>
      <c r="L49" s="410" t="str">
        <f ca="1">IFERROR(VLOOKUP($B49,INDIRECT(CONCATENATE("'",成績管理表!$D$9,$L$39,"'!",$P$39)),$L$40,FALSE)&amp;"","")</f>
        <v/>
      </c>
      <c r="M49" s="410"/>
      <c r="N49" s="292" t="str">
        <f ca="1">IFERROR(VLOOKUP($B49,INDIRECT(CONCATENATE("'",成績管理表!$D$9,$L$39,"'!",$P$39)),$N$40,FALSE)&amp;"","")</f>
        <v/>
      </c>
      <c r="O49" s="292" t="str">
        <f ca="1">IFERROR(VLOOKUP($B49,INDIRECT(CONCATENATE("'",成績管理表!$D$9,$L$39,"'!",$P$39)),$O$40,FALSE)&amp;"","")</f>
        <v/>
      </c>
      <c r="P49" s="292" t="str">
        <f ca="1">IFERROR(VLOOKUP($B49,INDIRECT(CONCATENATE("'",成績管理表!$D$9,$L$39,"'!",$P$39)),$P$40,FALSE)&amp;"","")</f>
        <v/>
      </c>
      <c r="Q49" s="410" t="str">
        <f ca="1">IFERROR(VLOOKUP($B49,INDIRECT(CONCATENATE("'",成績管理表!$D$9,$L$39,"'!",$P$39)),$Q$40,FALSE)&amp;"","")</f>
        <v/>
      </c>
      <c r="R49" s="410"/>
      <c r="S49" s="129" t="str">
        <f ca="1">IFERROR(VLOOKUP($B49,INDIRECT(CONCATENATE("'",成績管理表!$D$9,$L$39,"'!",$P$39)),$S$40,FALSE),"")</f>
        <v/>
      </c>
      <c r="T49" s="110"/>
      <c r="U49" s="190" t="str">
        <f t="shared" si="128"/>
        <v/>
      </c>
      <c r="V49" s="130" t="str">
        <f ca="1">IFERROR(VLOOKUP($B49,INDIRECT(CONCATENATE("'",成績管理表!$D$9,$L$39,"'!",$P$39)),$V$40,FALSE)&amp;"","")</f>
        <v/>
      </c>
      <c r="W49" s="292" t="str">
        <f t="shared" ca="1" si="129"/>
        <v/>
      </c>
      <c r="X49" s="292" t="str">
        <f t="shared" ca="1" si="130"/>
        <v/>
      </c>
      <c r="Y49" s="292" t="str">
        <f t="shared" ca="1" si="131"/>
        <v/>
      </c>
      <c r="Z49" s="410" t="str">
        <f t="shared" ca="1" si="132"/>
        <v/>
      </c>
      <c r="AA49" s="410"/>
      <c r="AB49" s="411" t="str">
        <f t="shared" ca="1" si="133"/>
        <v/>
      </c>
      <c r="AC49" s="411"/>
      <c r="AD49" s="412"/>
      <c r="AE49" s="273" t="str">
        <f t="shared" ca="1" si="134"/>
        <v/>
      </c>
      <c r="AF49" s="29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93" t="b">
        <f t="shared" ca="1" si="135"/>
        <v>1</v>
      </c>
      <c r="AH49" s="131" t="b">
        <f t="shared" ca="1" si="136"/>
        <v>1</v>
      </c>
      <c r="AI49" s="132"/>
    </row>
    <row r="50" spans="2:35" x14ac:dyDescent="0.4">
      <c r="B50" s="426"/>
      <c r="C50" s="427"/>
      <c r="D50" s="427"/>
      <c r="E50" s="428"/>
      <c r="F50" s="422" t="str">
        <f t="shared" ca="1" si="127"/>
        <v/>
      </c>
      <c r="G50" s="422"/>
      <c r="H50" s="42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423"/>
      <c r="J50" s="410" t="str">
        <f ca="1">IFERROR(VLOOKUP($B50,INDIRECT(CONCATENATE("'",成績管理表!$D$9,$L$39,"'!",$P$39)),$J$40,FALSE)&amp;"","")</f>
        <v/>
      </c>
      <c r="K50" s="410"/>
      <c r="L50" s="410" t="str">
        <f ca="1">IFERROR(VLOOKUP($B50,INDIRECT(CONCATENATE("'",成績管理表!$D$9,$L$39,"'!",$P$39)),$L$40,FALSE)&amp;"","")</f>
        <v/>
      </c>
      <c r="M50" s="410"/>
      <c r="N50" s="292" t="str">
        <f ca="1">IFERROR(VLOOKUP($B50,INDIRECT(CONCATENATE("'",成績管理表!$D$9,$L$39,"'!",$P$39)),$N$40,FALSE)&amp;"","")</f>
        <v/>
      </c>
      <c r="O50" s="292" t="str">
        <f ca="1">IFERROR(VLOOKUP($B50,INDIRECT(CONCATENATE("'",成績管理表!$D$9,$L$39,"'!",$P$39)),$O$40,FALSE)&amp;"","")</f>
        <v/>
      </c>
      <c r="P50" s="292" t="str">
        <f ca="1">IFERROR(VLOOKUP($B50,INDIRECT(CONCATENATE("'",成績管理表!$D$9,$L$39,"'!",$P$39)),$P$40,FALSE)&amp;"","")</f>
        <v/>
      </c>
      <c r="Q50" s="410" t="str">
        <f ca="1">IFERROR(VLOOKUP($B50,INDIRECT(CONCATENATE("'",成績管理表!$D$9,$L$39,"'!",$P$39)),$Q$40,FALSE)&amp;"","")</f>
        <v/>
      </c>
      <c r="R50" s="410"/>
      <c r="S50" s="129" t="str">
        <f ca="1">IFERROR(VLOOKUP($B50,INDIRECT(CONCATENATE("'",成績管理表!$D$9,$L$39,"'!",$P$39)),$S$40,FALSE),"")</f>
        <v/>
      </c>
      <c r="T50" s="110"/>
      <c r="U50" s="190" t="str">
        <f t="shared" si="128"/>
        <v/>
      </c>
      <c r="V50" s="130" t="str">
        <f ca="1">IFERROR(VLOOKUP($B50,INDIRECT(CONCATENATE("'",成績管理表!$D$9,$L$39,"'!",$P$39)),$V$40,FALSE)&amp;"","")</f>
        <v/>
      </c>
      <c r="W50" s="292" t="str">
        <f t="shared" ca="1" si="129"/>
        <v/>
      </c>
      <c r="X50" s="292" t="str">
        <f t="shared" ca="1" si="130"/>
        <v/>
      </c>
      <c r="Y50" s="292" t="str">
        <f t="shared" ca="1" si="131"/>
        <v/>
      </c>
      <c r="Z50" s="410" t="str">
        <f t="shared" ca="1" si="132"/>
        <v/>
      </c>
      <c r="AA50" s="410"/>
      <c r="AB50" s="411" t="str">
        <f t="shared" ca="1" si="133"/>
        <v/>
      </c>
      <c r="AC50" s="411"/>
      <c r="AD50" s="412"/>
      <c r="AE50" s="273" t="str">
        <f t="shared" ca="1" si="134"/>
        <v/>
      </c>
      <c r="AF50" s="29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93" t="b">
        <f t="shared" ca="1" si="135"/>
        <v>1</v>
      </c>
      <c r="AH50" s="131" t="b">
        <f t="shared" ca="1" si="136"/>
        <v>1</v>
      </c>
      <c r="AI50" s="132"/>
    </row>
    <row r="51" spans="2:35" x14ac:dyDescent="0.4">
      <c r="B51" s="420"/>
      <c r="C51" s="421"/>
      <c r="D51" s="421"/>
      <c r="E51" s="421"/>
      <c r="F51" s="422" t="str">
        <f t="shared" ca="1" si="127"/>
        <v/>
      </c>
      <c r="G51" s="422"/>
      <c r="H51" s="42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423"/>
      <c r="J51" s="410" t="str">
        <f ca="1">IFERROR(VLOOKUP($B51,INDIRECT(CONCATENATE("'",成績管理表!$D$9,$L$39,"'!",$P$39)),$J$40,FALSE)&amp;"","")</f>
        <v/>
      </c>
      <c r="K51" s="410"/>
      <c r="L51" s="410" t="str">
        <f ca="1">IFERROR(VLOOKUP($B51,INDIRECT(CONCATENATE("'",成績管理表!$D$9,$L$39,"'!",$P$39)),$L$40,FALSE)&amp;"","")</f>
        <v/>
      </c>
      <c r="M51" s="410"/>
      <c r="N51" s="292" t="str">
        <f ca="1">IFERROR(VLOOKUP($B51,INDIRECT(CONCATENATE("'",成績管理表!$D$9,$L$39,"'!",$P$39)),$N$40,FALSE)&amp;"","")</f>
        <v/>
      </c>
      <c r="O51" s="292" t="str">
        <f ca="1">IFERROR(VLOOKUP($B51,INDIRECT(CONCATENATE("'",成績管理表!$D$9,$L$39,"'!",$P$39)),$O$40,FALSE)&amp;"","")</f>
        <v/>
      </c>
      <c r="P51" s="292" t="str">
        <f ca="1">IFERROR(VLOOKUP($B51,INDIRECT(CONCATENATE("'",成績管理表!$D$9,$L$39,"'!",$P$39)),$P$40,FALSE)&amp;"","")</f>
        <v/>
      </c>
      <c r="Q51" s="410" t="str">
        <f ca="1">IFERROR(VLOOKUP($B51,INDIRECT(CONCATENATE("'",成績管理表!$D$9,$L$39,"'!",$P$39)),$Q$40,FALSE)&amp;"","")</f>
        <v/>
      </c>
      <c r="R51" s="410"/>
      <c r="S51" s="129" t="str">
        <f ca="1">IFERROR(VLOOKUP($B51,INDIRECT(CONCATENATE("'",成績管理表!$D$9,$L$39,"'!",$P$39)),$S$40,FALSE),"")</f>
        <v/>
      </c>
      <c r="T51" s="110"/>
      <c r="U51" s="190" t="str">
        <f t="shared" si="128"/>
        <v/>
      </c>
      <c r="V51" s="130" t="str">
        <f ca="1">IFERROR(VLOOKUP($B51,INDIRECT(CONCATENATE("'",成績管理表!$D$9,$L$39,"'!",$P$39)),$V$40,FALSE)&amp;"","")</f>
        <v/>
      </c>
      <c r="W51" s="292" t="str">
        <f t="shared" ca="1" si="129"/>
        <v/>
      </c>
      <c r="X51" s="292" t="str">
        <f t="shared" ca="1" si="130"/>
        <v/>
      </c>
      <c r="Y51" s="292" t="str">
        <f t="shared" ca="1" si="131"/>
        <v/>
      </c>
      <c r="Z51" s="410" t="str">
        <f t="shared" ca="1" si="132"/>
        <v/>
      </c>
      <c r="AA51" s="410"/>
      <c r="AB51" s="411" t="str">
        <f t="shared" ca="1" si="133"/>
        <v/>
      </c>
      <c r="AC51" s="411"/>
      <c r="AD51" s="412"/>
      <c r="AE51" s="273" t="str">
        <f t="shared" ca="1" si="134"/>
        <v/>
      </c>
      <c r="AF51" s="29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93" t="b">
        <f t="shared" ca="1" si="135"/>
        <v>1</v>
      </c>
      <c r="AH51" s="131" t="b">
        <f t="shared" ca="1" si="136"/>
        <v>1</v>
      </c>
      <c r="AI51" s="132"/>
    </row>
    <row r="52" spans="2:35" x14ac:dyDescent="0.4">
      <c r="B52" s="420"/>
      <c r="C52" s="421"/>
      <c r="D52" s="421"/>
      <c r="E52" s="421"/>
      <c r="F52" s="422" t="str">
        <f t="shared" ca="1" si="127"/>
        <v/>
      </c>
      <c r="G52" s="422"/>
      <c r="H52" s="42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423"/>
      <c r="J52" s="410" t="str">
        <f ca="1">IFERROR(VLOOKUP($B52,INDIRECT(CONCATENATE("'",成績管理表!$D$9,$L$39,"'!",$P$39)),$J$40,FALSE)&amp;"","")</f>
        <v/>
      </c>
      <c r="K52" s="410"/>
      <c r="L52" s="410" t="str">
        <f ca="1">IFERROR(VLOOKUP($B52,INDIRECT(CONCATENATE("'",成績管理表!$D$9,$L$39,"'!",$P$39)),$L$40,FALSE)&amp;"","")</f>
        <v/>
      </c>
      <c r="M52" s="410"/>
      <c r="N52" s="292" t="str">
        <f ca="1">IFERROR(VLOOKUP($B52,INDIRECT(CONCATENATE("'",成績管理表!$D$9,$L$39,"'!",$P$39)),$N$40,FALSE)&amp;"","")</f>
        <v/>
      </c>
      <c r="O52" s="292" t="str">
        <f ca="1">IFERROR(VLOOKUP($B52,INDIRECT(CONCATENATE("'",成績管理表!$D$9,$L$39,"'!",$P$39)),$O$40,FALSE)&amp;"","")</f>
        <v/>
      </c>
      <c r="P52" s="292" t="str">
        <f ca="1">IFERROR(VLOOKUP($B52,INDIRECT(CONCATENATE("'",成績管理表!$D$9,$L$39,"'!",$P$39)),$P$40,FALSE)&amp;"","")</f>
        <v/>
      </c>
      <c r="Q52" s="410" t="str">
        <f ca="1">IFERROR(VLOOKUP($B52,INDIRECT(CONCATENATE("'",成績管理表!$D$9,$L$39,"'!",$P$39)),$Q$40,FALSE)&amp;"","")</f>
        <v/>
      </c>
      <c r="R52" s="410"/>
      <c r="S52" s="129" t="str">
        <f ca="1">IFERROR(VLOOKUP($B52,INDIRECT(CONCATENATE("'",成績管理表!$D$9,$L$39,"'!",$P$39)),$S$40,FALSE),"")</f>
        <v/>
      </c>
      <c r="T52" s="110"/>
      <c r="U52" s="190" t="str">
        <f t="shared" si="128"/>
        <v/>
      </c>
      <c r="V52" s="130" t="str">
        <f ca="1">IFERROR(VLOOKUP($B52,INDIRECT(CONCATENATE("'",成績管理表!$D$9,$L$39,"'!",$P$39)),$V$40,FALSE)&amp;"","")</f>
        <v/>
      </c>
      <c r="W52" s="292" t="str">
        <f t="shared" ca="1" si="129"/>
        <v/>
      </c>
      <c r="X52" s="292" t="str">
        <f t="shared" ca="1" si="130"/>
        <v/>
      </c>
      <c r="Y52" s="292" t="str">
        <f t="shared" ca="1" si="131"/>
        <v/>
      </c>
      <c r="Z52" s="410" t="str">
        <f t="shared" ca="1" si="132"/>
        <v/>
      </c>
      <c r="AA52" s="410"/>
      <c r="AB52" s="411" t="str">
        <f t="shared" ca="1" si="133"/>
        <v/>
      </c>
      <c r="AC52" s="411"/>
      <c r="AD52" s="412"/>
      <c r="AE52" s="273" t="str">
        <f t="shared" ca="1" si="134"/>
        <v/>
      </c>
      <c r="AF52" s="29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93" t="b">
        <f t="shared" ca="1" si="135"/>
        <v>1</v>
      </c>
      <c r="AH52" s="131" t="b">
        <f t="shared" ca="1" si="136"/>
        <v>1</v>
      </c>
      <c r="AI52" s="132"/>
    </row>
    <row r="53" spans="2:35" x14ac:dyDescent="0.4">
      <c r="B53" s="420"/>
      <c r="C53" s="421"/>
      <c r="D53" s="421"/>
      <c r="E53" s="421"/>
      <c r="F53" s="422" t="str">
        <f t="shared" ca="1" si="127"/>
        <v/>
      </c>
      <c r="G53" s="422"/>
      <c r="H53" s="42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423"/>
      <c r="J53" s="410" t="str">
        <f ca="1">IFERROR(VLOOKUP($B53,INDIRECT(CONCATENATE("'",成績管理表!$D$9,$L$39,"'!",$P$39)),$J$40,FALSE)&amp;"","")</f>
        <v/>
      </c>
      <c r="K53" s="410"/>
      <c r="L53" s="410" t="str">
        <f ca="1">IFERROR(VLOOKUP($B53,INDIRECT(CONCATENATE("'",成績管理表!$D$9,$L$39,"'!",$P$39)),$L$40,FALSE)&amp;"","")</f>
        <v/>
      </c>
      <c r="M53" s="410"/>
      <c r="N53" s="292" t="str">
        <f ca="1">IFERROR(VLOOKUP($B53,INDIRECT(CONCATENATE("'",成績管理表!$D$9,$L$39,"'!",$P$39)),$N$40,FALSE)&amp;"","")</f>
        <v/>
      </c>
      <c r="O53" s="292" t="str">
        <f ca="1">IFERROR(VLOOKUP($B53,INDIRECT(CONCATENATE("'",成績管理表!$D$9,$L$39,"'!",$P$39)),$O$40,FALSE)&amp;"","")</f>
        <v/>
      </c>
      <c r="P53" s="292" t="str">
        <f ca="1">IFERROR(VLOOKUP($B53,INDIRECT(CONCATENATE("'",成績管理表!$D$9,$L$39,"'!",$P$39)),$P$40,FALSE)&amp;"","")</f>
        <v/>
      </c>
      <c r="Q53" s="410" t="str">
        <f ca="1">IFERROR(VLOOKUP($B53,INDIRECT(CONCATENATE("'",成績管理表!$D$9,$L$39,"'!",$P$39)),$Q$40,FALSE)&amp;"","")</f>
        <v/>
      </c>
      <c r="R53" s="410"/>
      <c r="S53" s="129" t="str">
        <f ca="1">IFERROR(VLOOKUP($B53,INDIRECT(CONCATENATE("'",成績管理表!$D$9,$L$39,"'!",$P$39)),$S$40,FALSE),"")</f>
        <v/>
      </c>
      <c r="T53" s="110"/>
      <c r="U53" s="190" t="str">
        <f t="shared" si="128"/>
        <v/>
      </c>
      <c r="V53" s="130" t="str">
        <f ca="1">IFERROR(VLOOKUP($B53,INDIRECT(CONCATENATE("'",成績管理表!$D$9,$L$39,"'!",$P$39)),$V$40,FALSE)&amp;"","")</f>
        <v/>
      </c>
      <c r="W53" s="292" t="str">
        <f t="shared" ca="1" si="129"/>
        <v/>
      </c>
      <c r="X53" s="292" t="str">
        <f t="shared" ca="1" si="130"/>
        <v/>
      </c>
      <c r="Y53" s="292" t="str">
        <f t="shared" ca="1" si="131"/>
        <v/>
      </c>
      <c r="Z53" s="410" t="str">
        <f t="shared" ca="1" si="132"/>
        <v/>
      </c>
      <c r="AA53" s="410"/>
      <c r="AB53" s="411" t="str">
        <f t="shared" ca="1" si="133"/>
        <v/>
      </c>
      <c r="AC53" s="411"/>
      <c r="AD53" s="412"/>
      <c r="AE53" s="273" t="str">
        <f t="shared" ca="1" si="134"/>
        <v/>
      </c>
      <c r="AF53" s="29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93" t="b">
        <f t="shared" ca="1" si="135"/>
        <v>1</v>
      </c>
      <c r="AH53" s="131" t="b">
        <f t="shared" ca="1" si="136"/>
        <v>1</v>
      </c>
      <c r="AI53" s="132"/>
    </row>
    <row r="54" spans="2:35" x14ac:dyDescent="0.4">
      <c r="B54" s="420"/>
      <c r="C54" s="421"/>
      <c r="D54" s="421"/>
      <c r="E54" s="421"/>
      <c r="F54" s="422" t="str">
        <f t="shared" ca="1" si="127"/>
        <v/>
      </c>
      <c r="G54" s="422"/>
      <c r="H54" s="42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423"/>
      <c r="J54" s="410" t="str">
        <f ca="1">IFERROR(VLOOKUP($B54,INDIRECT(CONCATENATE("'",成績管理表!$D$9,$L$39,"'!",$P$39)),$J$40,FALSE)&amp;"","")</f>
        <v/>
      </c>
      <c r="K54" s="410"/>
      <c r="L54" s="410" t="str">
        <f ca="1">IFERROR(VLOOKUP($B54,INDIRECT(CONCATENATE("'",成績管理表!$D$9,$L$39,"'!",$P$39)),$L$40,FALSE)&amp;"","")</f>
        <v/>
      </c>
      <c r="M54" s="410"/>
      <c r="N54" s="292" t="str">
        <f ca="1">IFERROR(VLOOKUP($B54,INDIRECT(CONCATENATE("'",成績管理表!$D$9,$L$39,"'!",$P$39)),$N$40,FALSE)&amp;"","")</f>
        <v/>
      </c>
      <c r="O54" s="292" t="str">
        <f ca="1">IFERROR(VLOOKUP($B54,INDIRECT(CONCATENATE("'",成績管理表!$D$9,$L$39,"'!",$P$39)),$O$40,FALSE)&amp;"","")</f>
        <v/>
      </c>
      <c r="P54" s="292" t="str">
        <f ca="1">IFERROR(VLOOKUP($B54,INDIRECT(CONCATENATE("'",成績管理表!$D$9,$L$39,"'!",$P$39)),$P$40,FALSE)&amp;"","")</f>
        <v/>
      </c>
      <c r="Q54" s="410" t="str">
        <f ca="1">IFERROR(VLOOKUP($B54,INDIRECT(CONCATENATE("'",成績管理表!$D$9,$L$39,"'!",$P$39)),$Q$40,FALSE)&amp;"","")</f>
        <v/>
      </c>
      <c r="R54" s="410"/>
      <c r="S54" s="129" t="str">
        <f ca="1">IFERROR(VLOOKUP($B54,INDIRECT(CONCATENATE("'",成績管理表!$D$9,$L$39,"'!",$P$39)),$S$40,FALSE),"")</f>
        <v/>
      </c>
      <c r="T54" s="110"/>
      <c r="U54" s="190" t="str">
        <f t="shared" si="128"/>
        <v/>
      </c>
      <c r="V54" s="130" t="str">
        <f ca="1">IFERROR(VLOOKUP($B54,INDIRECT(CONCATENATE("'",成績管理表!$D$9,$L$39,"'!",$P$39)),$V$40,FALSE)&amp;"","")</f>
        <v/>
      </c>
      <c r="W54" s="292" t="str">
        <f t="shared" ca="1" si="129"/>
        <v/>
      </c>
      <c r="X54" s="292" t="str">
        <f t="shared" ca="1" si="130"/>
        <v/>
      </c>
      <c r="Y54" s="292" t="str">
        <f t="shared" ca="1" si="131"/>
        <v/>
      </c>
      <c r="Z54" s="410" t="str">
        <f t="shared" ca="1" si="132"/>
        <v/>
      </c>
      <c r="AA54" s="410"/>
      <c r="AB54" s="411" t="str">
        <f t="shared" ca="1" si="133"/>
        <v/>
      </c>
      <c r="AC54" s="411"/>
      <c r="AD54" s="412"/>
      <c r="AE54" s="273" t="str">
        <f t="shared" ca="1" si="134"/>
        <v/>
      </c>
      <c r="AF54" s="29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93" t="b">
        <f t="shared" ca="1" si="135"/>
        <v>1</v>
      </c>
      <c r="AH54" s="131" t="b">
        <f t="shared" ca="1" si="136"/>
        <v>1</v>
      </c>
      <c r="AI54" s="132"/>
    </row>
    <row r="55" spans="2:35" x14ac:dyDescent="0.4">
      <c r="B55" s="426"/>
      <c r="C55" s="427"/>
      <c r="D55" s="427"/>
      <c r="E55" s="428"/>
      <c r="F55" s="422" t="str">
        <f t="shared" ca="1" si="127"/>
        <v/>
      </c>
      <c r="G55" s="422"/>
      <c r="H55" s="42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423"/>
      <c r="J55" s="410" t="str">
        <f ca="1">IFERROR(VLOOKUP($B55,INDIRECT(CONCATENATE("'",成績管理表!$D$9,$L$39,"'!",$P$39)),$J$40,FALSE)&amp;"","")</f>
        <v/>
      </c>
      <c r="K55" s="410"/>
      <c r="L55" s="410" t="str">
        <f ca="1">IFERROR(VLOOKUP($B55,INDIRECT(CONCATENATE("'",成績管理表!$D$9,$L$39,"'!",$P$39)),$L$40,FALSE)&amp;"","")</f>
        <v/>
      </c>
      <c r="M55" s="410"/>
      <c r="N55" s="292" t="str">
        <f ca="1">IFERROR(VLOOKUP($B55,INDIRECT(CONCATENATE("'",成績管理表!$D$9,$L$39,"'!",$P$39)),$N$40,FALSE)&amp;"","")</f>
        <v/>
      </c>
      <c r="O55" s="292" t="str">
        <f ca="1">IFERROR(VLOOKUP($B55,INDIRECT(CONCATENATE("'",成績管理表!$D$9,$L$39,"'!",$P$39)),$O$40,FALSE)&amp;"","")</f>
        <v/>
      </c>
      <c r="P55" s="292" t="str">
        <f ca="1">IFERROR(VLOOKUP($B55,INDIRECT(CONCATENATE("'",成績管理表!$D$9,$L$39,"'!",$P$39)),$P$40,FALSE)&amp;"","")</f>
        <v/>
      </c>
      <c r="Q55" s="410" t="str">
        <f ca="1">IFERROR(VLOOKUP($B55,INDIRECT(CONCATENATE("'",成績管理表!$D$9,$L$39,"'!",$P$39)),$Q$40,FALSE)&amp;"","")</f>
        <v/>
      </c>
      <c r="R55" s="410"/>
      <c r="S55" s="129" t="str">
        <f ca="1">IFERROR(VLOOKUP($B55,INDIRECT(CONCATENATE("'",成績管理表!$D$9,$L$39,"'!",$P$39)),$S$40,FALSE),"")</f>
        <v/>
      </c>
      <c r="T55" s="110"/>
      <c r="U55" s="190" t="str">
        <f t="shared" si="128"/>
        <v/>
      </c>
      <c r="V55" s="130" t="str">
        <f ca="1">IFERROR(VLOOKUP($B55,INDIRECT(CONCATENATE("'",成績管理表!$D$9,$L$39,"'!",$P$39)),$V$40,FALSE)&amp;"","")</f>
        <v/>
      </c>
      <c r="W55" s="292" t="str">
        <f t="shared" ca="1" si="129"/>
        <v/>
      </c>
      <c r="X55" s="292" t="str">
        <f t="shared" ca="1" si="130"/>
        <v/>
      </c>
      <c r="Y55" s="292" t="str">
        <f t="shared" ca="1" si="131"/>
        <v/>
      </c>
      <c r="Z55" s="410" t="str">
        <f t="shared" ca="1" si="132"/>
        <v/>
      </c>
      <c r="AA55" s="410"/>
      <c r="AB55" s="411" t="str">
        <f t="shared" ca="1" si="133"/>
        <v/>
      </c>
      <c r="AC55" s="411"/>
      <c r="AD55" s="412"/>
      <c r="AE55" s="273" t="str">
        <f t="shared" ca="1" si="134"/>
        <v/>
      </c>
      <c r="AF55" s="29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93" t="b">
        <f t="shared" ca="1" si="135"/>
        <v>1</v>
      </c>
      <c r="AH55" s="131" t="b">
        <f t="shared" ca="1" si="136"/>
        <v>1</v>
      </c>
      <c r="AI55" s="132"/>
    </row>
    <row r="56" spans="2:35" x14ac:dyDescent="0.4">
      <c r="B56" s="426"/>
      <c r="C56" s="427"/>
      <c r="D56" s="427"/>
      <c r="E56" s="428"/>
      <c r="F56" s="422" t="str">
        <f t="shared" ca="1" si="127"/>
        <v/>
      </c>
      <c r="G56" s="422"/>
      <c r="H56" s="42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423"/>
      <c r="J56" s="410" t="str">
        <f ca="1">IFERROR(VLOOKUP($B56,INDIRECT(CONCATENATE("'",成績管理表!$D$9,$L$39,"'!",$P$39)),$J$40,FALSE)&amp;"","")</f>
        <v/>
      </c>
      <c r="K56" s="410"/>
      <c r="L56" s="410" t="str">
        <f ca="1">IFERROR(VLOOKUP($B56,INDIRECT(CONCATENATE("'",成績管理表!$D$9,$L$39,"'!",$P$39)),$L$40,FALSE)&amp;"","")</f>
        <v/>
      </c>
      <c r="M56" s="410"/>
      <c r="N56" s="292" t="str">
        <f ca="1">IFERROR(VLOOKUP($B56,INDIRECT(CONCATENATE("'",成績管理表!$D$9,$L$39,"'!",$P$39)),$N$40,FALSE)&amp;"","")</f>
        <v/>
      </c>
      <c r="O56" s="292" t="str">
        <f ca="1">IFERROR(VLOOKUP($B56,INDIRECT(CONCATENATE("'",成績管理表!$D$9,$L$39,"'!",$P$39)),$O$40,FALSE)&amp;"","")</f>
        <v/>
      </c>
      <c r="P56" s="292" t="str">
        <f ca="1">IFERROR(VLOOKUP($B56,INDIRECT(CONCATENATE("'",成績管理表!$D$9,$L$39,"'!",$P$39)),$P$40,FALSE)&amp;"","")</f>
        <v/>
      </c>
      <c r="Q56" s="410" t="str">
        <f ca="1">IFERROR(VLOOKUP($B56,INDIRECT(CONCATENATE("'",成績管理表!$D$9,$L$39,"'!",$P$39)),$Q$40,FALSE)&amp;"","")</f>
        <v/>
      </c>
      <c r="R56" s="410"/>
      <c r="S56" s="129" t="str">
        <f ca="1">IFERROR(VLOOKUP($B56,INDIRECT(CONCATENATE("'",成績管理表!$D$9,$L$39,"'!",$P$39)),$S$40,FALSE),"")</f>
        <v/>
      </c>
      <c r="T56" s="110"/>
      <c r="U56" s="190" t="str">
        <f t="shared" si="128"/>
        <v/>
      </c>
      <c r="V56" s="130" t="str">
        <f ca="1">IFERROR(VLOOKUP($B56,INDIRECT(CONCATENATE("'",成績管理表!$D$9,$L$39,"'!",$P$39)),$V$40,FALSE)&amp;"","")</f>
        <v/>
      </c>
      <c r="W56" s="292" t="str">
        <f t="shared" ca="1" si="129"/>
        <v/>
      </c>
      <c r="X56" s="292" t="str">
        <f t="shared" ca="1" si="130"/>
        <v/>
      </c>
      <c r="Y56" s="292" t="str">
        <f t="shared" ca="1" si="131"/>
        <v/>
      </c>
      <c r="Z56" s="410" t="str">
        <f t="shared" ca="1" si="132"/>
        <v/>
      </c>
      <c r="AA56" s="410"/>
      <c r="AB56" s="411" t="str">
        <f t="shared" ca="1" si="133"/>
        <v/>
      </c>
      <c r="AC56" s="411"/>
      <c r="AD56" s="412"/>
      <c r="AE56" s="273" t="str">
        <f t="shared" ca="1" si="134"/>
        <v/>
      </c>
      <c r="AF56" s="29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93" t="b">
        <f t="shared" ca="1" si="135"/>
        <v>1</v>
      </c>
      <c r="AH56" s="131" t="b">
        <f t="shared" ca="1" si="136"/>
        <v>1</v>
      </c>
      <c r="AI56" s="132"/>
    </row>
    <row r="57" spans="2:35" x14ac:dyDescent="0.4">
      <c r="B57" s="426"/>
      <c r="C57" s="427"/>
      <c r="D57" s="427"/>
      <c r="E57" s="428"/>
      <c r="F57" s="422" t="str">
        <f t="shared" ca="1" si="127"/>
        <v/>
      </c>
      <c r="G57" s="422"/>
      <c r="H57" s="42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423"/>
      <c r="J57" s="410" t="str">
        <f ca="1">IFERROR(VLOOKUP($B57,INDIRECT(CONCATENATE("'",成績管理表!$D$9,$L$39,"'!",$P$39)),$J$40,FALSE)&amp;"","")</f>
        <v/>
      </c>
      <c r="K57" s="410"/>
      <c r="L57" s="410" t="str">
        <f ca="1">IFERROR(VLOOKUP($B57,INDIRECT(CONCATENATE("'",成績管理表!$D$9,$L$39,"'!",$P$39)),$L$40,FALSE)&amp;"","")</f>
        <v/>
      </c>
      <c r="M57" s="410"/>
      <c r="N57" s="292" t="str">
        <f ca="1">IFERROR(VLOOKUP($B57,INDIRECT(CONCATENATE("'",成績管理表!$D$9,$L$39,"'!",$P$39)),$N$40,FALSE)&amp;"","")</f>
        <v/>
      </c>
      <c r="O57" s="292" t="str">
        <f ca="1">IFERROR(VLOOKUP($B57,INDIRECT(CONCATENATE("'",成績管理表!$D$9,$L$39,"'!",$P$39)),$O$40,FALSE)&amp;"","")</f>
        <v/>
      </c>
      <c r="P57" s="292" t="str">
        <f ca="1">IFERROR(VLOOKUP($B57,INDIRECT(CONCATENATE("'",成績管理表!$D$9,$L$39,"'!",$P$39)),$P$40,FALSE)&amp;"","")</f>
        <v/>
      </c>
      <c r="Q57" s="410" t="str">
        <f ca="1">IFERROR(VLOOKUP($B57,INDIRECT(CONCATENATE("'",成績管理表!$D$9,$L$39,"'!",$P$39)),$Q$40,FALSE)&amp;"","")</f>
        <v/>
      </c>
      <c r="R57" s="410"/>
      <c r="S57" s="129" t="str">
        <f ca="1">IFERROR(VLOOKUP($B57,INDIRECT(CONCATENATE("'",成績管理表!$D$9,$L$39,"'!",$P$39)),$S$40,FALSE),"")</f>
        <v/>
      </c>
      <c r="T57" s="110"/>
      <c r="U57" s="190" t="str">
        <f t="shared" si="128"/>
        <v/>
      </c>
      <c r="V57" s="130" t="str">
        <f ca="1">IFERROR(VLOOKUP($B57,INDIRECT(CONCATENATE("'",成績管理表!$D$9,$L$39,"'!",$P$39)),$V$40,FALSE)&amp;"","")</f>
        <v/>
      </c>
      <c r="W57" s="292" t="str">
        <f t="shared" ca="1" si="129"/>
        <v/>
      </c>
      <c r="X57" s="292" t="str">
        <f t="shared" ca="1" si="130"/>
        <v/>
      </c>
      <c r="Y57" s="292" t="str">
        <f t="shared" ca="1" si="131"/>
        <v/>
      </c>
      <c r="Z57" s="410" t="str">
        <f t="shared" ca="1" si="132"/>
        <v/>
      </c>
      <c r="AA57" s="410"/>
      <c r="AB57" s="411" t="str">
        <f t="shared" ca="1" si="133"/>
        <v/>
      </c>
      <c r="AC57" s="411"/>
      <c r="AD57" s="412"/>
      <c r="AE57" s="273" t="str">
        <f t="shared" ca="1" si="134"/>
        <v/>
      </c>
      <c r="AF57" s="29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93" t="b">
        <f t="shared" ca="1" si="135"/>
        <v>1</v>
      </c>
      <c r="AH57" s="131" t="b">
        <f t="shared" ca="1" si="136"/>
        <v>1</v>
      </c>
      <c r="AI57" s="132"/>
    </row>
    <row r="58" spans="2:35" x14ac:dyDescent="0.4">
      <c r="B58" s="420"/>
      <c r="C58" s="421"/>
      <c r="D58" s="421"/>
      <c r="E58" s="421"/>
      <c r="F58" s="422" t="str">
        <f t="shared" ca="1" si="127"/>
        <v/>
      </c>
      <c r="G58" s="422"/>
      <c r="H58" s="42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423"/>
      <c r="J58" s="410" t="str">
        <f ca="1">IFERROR(VLOOKUP($B58,INDIRECT(CONCATENATE("'",成績管理表!$D$9,$L$39,"'!",$P$39)),$J$40,FALSE)&amp;"","")</f>
        <v/>
      </c>
      <c r="K58" s="410"/>
      <c r="L58" s="410" t="str">
        <f ca="1">IFERROR(VLOOKUP($B58,INDIRECT(CONCATENATE("'",成績管理表!$D$9,$L$39,"'!",$P$39)),$L$40,FALSE)&amp;"","")</f>
        <v/>
      </c>
      <c r="M58" s="410"/>
      <c r="N58" s="292" t="str">
        <f ca="1">IFERROR(VLOOKUP($B58,INDIRECT(CONCATENATE("'",成績管理表!$D$9,$L$39,"'!",$P$39)),$N$40,FALSE)&amp;"","")</f>
        <v/>
      </c>
      <c r="O58" s="292" t="str">
        <f ca="1">IFERROR(VLOOKUP($B58,INDIRECT(CONCATENATE("'",成績管理表!$D$9,$L$39,"'!",$P$39)),$O$40,FALSE)&amp;"","")</f>
        <v/>
      </c>
      <c r="P58" s="292" t="str">
        <f ca="1">IFERROR(VLOOKUP($B58,INDIRECT(CONCATENATE("'",成績管理表!$D$9,$L$39,"'!",$P$39)),$P$40,FALSE)&amp;"","")</f>
        <v/>
      </c>
      <c r="Q58" s="410" t="str">
        <f ca="1">IFERROR(VLOOKUP($B58,INDIRECT(CONCATENATE("'",成績管理表!$D$9,$L$39,"'!",$P$39)),$Q$40,FALSE)&amp;"","")</f>
        <v/>
      </c>
      <c r="R58" s="410"/>
      <c r="S58" s="129" t="str">
        <f ca="1">IFERROR(VLOOKUP($B58,INDIRECT(CONCATENATE("'",成績管理表!$D$9,$L$39,"'!",$P$39)),$S$40,FALSE),"")</f>
        <v/>
      </c>
      <c r="T58" s="110"/>
      <c r="U58" s="190" t="str">
        <f t="shared" si="128"/>
        <v/>
      </c>
      <c r="V58" s="130" t="str">
        <f ca="1">IFERROR(VLOOKUP($B58,INDIRECT(CONCATENATE("'",成績管理表!$D$9,$L$39,"'!",$P$39)),$V$40,FALSE)&amp;"","")</f>
        <v/>
      </c>
      <c r="W58" s="292" t="str">
        <f t="shared" ca="1" si="129"/>
        <v/>
      </c>
      <c r="X58" s="292" t="str">
        <f t="shared" ca="1" si="130"/>
        <v/>
      </c>
      <c r="Y58" s="292" t="str">
        <f t="shared" ca="1" si="131"/>
        <v/>
      </c>
      <c r="Z58" s="410" t="str">
        <f t="shared" ca="1" si="132"/>
        <v/>
      </c>
      <c r="AA58" s="410"/>
      <c r="AB58" s="411" t="str">
        <f t="shared" ca="1" si="133"/>
        <v/>
      </c>
      <c r="AC58" s="411"/>
      <c r="AD58" s="412"/>
      <c r="AE58" s="273" t="str">
        <f t="shared" ca="1" si="134"/>
        <v/>
      </c>
      <c r="AF58" s="29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93" t="b">
        <f t="shared" ca="1" si="135"/>
        <v>1</v>
      </c>
      <c r="AH58" s="131" t="b">
        <f t="shared" ca="1" si="136"/>
        <v>1</v>
      </c>
      <c r="AI58" s="132"/>
    </row>
    <row r="59" spans="2:35" x14ac:dyDescent="0.4">
      <c r="B59" s="426"/>
      <c r="C59" s="427"/>
      <c r="D59" s="427"/>
      <c r="E59" s="428"/>
      <c r="F59" s="422" t="str">
        <f t="shared" ca="1" si="127"/>
        <v/>
      </c>
      <c r="G59" s="422"/>
      <c r="H59" s="42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423"/>
      <c r="J59" s="410" t="str">
        <f ca="1">IFERROR(VLOOKUP($B59,INDIRECT(CONCATENATE("'",成績管理表!$D$9,$L$39,"'!",$P$39)),$J$40,FALSE)&amp;"","")</f>
        <v/>
      </c>
      <c r="K59" s="410"/>
      <c r="L59" s="410" t="str">
        <f ca="1">IFERROR(VLOOKUP($B59,INDIRECT(CONCATENATE("'",成績管理表!$D$9,$L$39,"'!",$P$39)),$L$40,FALSE)&amp;"","")</f>
        <v/>
      </c>
      <c r="M59" s="410"/>
      <c r="N59" s="292" t="str">
        <f ca="1">IFERROR(VLOOKUP($B59,INDIRECT(CONCATENATE("'",成績管理表!$D$9,$L$39,"'!",$P$39)),$N$40,FALSE)&amp;"","")</f>
        <v/>
      </c>
      <c r="O59" s="292" t="str">
        <f ca="1">IFERROR(VLOOKUP($B59,INDIRECT(CONCATENATE("'",成績管理表!$D$9,$L$39,"'!",$P$39)),$O$40,FALSE)&amp;"","")</f>
        <v/>
      </c>
      <c r="P59" s="292" t="str">
        <f ca="1">IFERROR(VLOOKUP($B59,INDIRECT(CONCATENATE("'",成績管理表!$D$9,$L$39,"'!",$P$39)),$P$40,FALSE)&amp;"","")</f>
        <v/>
      </c>
      <c r="Q59" s="410" t="str">
        <f ca="1">IFERROR(VLOOKUP($B59,INDIRECT(CONCATENATE("'",成績管理表!$D$9,$L$39,"'!",$P$39)),$Q$40,FALSE)&amp;"","")</f>
        <v/>
      </c>
      <c r="R59" s="410"/>
      <c r="S59" s="129" t="str">
        <f ca="1">IFERROR(VLOOKUP($B59,INDIRECT(CONCATENATE("'",成績管理表!$D$9,$L$39,"'!",$P$39)),$S$40,FALSE),"")</f>
        <v/>
      </c>
      <c r="T59" s="110"/>
      <c r="U59" s="190" t="str">
        <f t="shared" si="128"/>
        <v/>
      </c>
      <c r="V59" s="130" t="str">
        <f ca="1">IFERROR(VLOOKUP($B59,INDIRECT(CONCATENATE("'",成績管理表!$D$9,$L$39,"'!",$P$39)),$V$40,FALSE)&amp;"","")</f>
        <v/>
      </c>
      <c r="W59" s="292" t="str">
        <f t="shared" ca="1" si="129"/>
        <v/>
      </c>
      <c r="X59" s="292" t="str">
        <f t="shared" ca="1" si="130"/>
        <v/>
      </c>
      <c r="Y59" s="292" t="str">
        <f t="shared" ca="1" si="131"/>
        <v/>
      </c>
      <c r="Z59" s="410" t="str">
        <f t="shared" ca="1" si="132"/>
        <v/>
      </c>
      <c r="AA59" s="410"/>
      <c r="AB59" s="411" t="str">
        <f t="shared" ca="1" si="133"/>
        <v/>
      </c>
      <c r="AC59" s="411"/>
      <c r="AD59" s="412"/>
      <c r="AE59" s="273" t="str">
        <f t="shared" ca="1" si="134"/>
        <v/>
      </c>
      <c r="AF59" s="29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93" t="b">
        <f t="shared" ca="1" si="135"/>
        <v>1</v>
      </c>
      <c r="AH59" s="131" t="b">
        <f t="shared" ca="1" si="136"/>
        <v>1</v>
      </c>
    </row>
    <row r="60" spans="2:35" x14ac:dyDescent="0.4">
      <c r="B60" s="424"/>
      <c r="C60" s="425"/>
      <c r="D60" s="425"/>
      <c r="E60" s="425"/>
      <c r="F60" s="422" t="str">
        <f t="shared" ca="1" si="127"/>
        <v/>
      </c>
      <c r="G60" s="422"/>
      <c r="H60" s="42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423"/>
      <c r="J60" s="410" t="str">
        <f ca="1">IFERROR(VLOOKUP($B60,INDIRECT(CONCATENATE("'",成績管理表!$D$9,$L$39,"'!",$P$39)),$J$40,FALSE)&amp;"","")</f>
        <v/>
      </c>
      <c r="K60" s="410"/>
      <c r="L60" s="410" t="str">
        <f ca="1">IFERROR(VLOOKUP($B60,INDIRECT(CONCATENATE("'",成績管理表!$D$9,$L$39,"'!",$P$39)),$L$40,FALSE)&amp;"","")</f>
        <v/>
      </c>
      <c r="M60" s="410"/>
      <c r="N60" s="292" t="str">
        <f ca="1">IFERROR(VLOOKUP($B60,INDIRECT(CONCATENATE("'",成績管理表!$D$9,$L$39,"'!",$P$39)),$N$40,FALSE)&amp;"","")</f>
        <v/>
      </c>
      <c r="O60" s="292" t="str">
        <f ca="1">IFERROR(VLOOKUP($B60,INDIRECT(CONCATENATE("'",成績管理表!$D$9,$L$39,"'!",$P$39)),$O$40,FALSE)&amp;"","")</f>
        <v/>
      </c>
      <c r="P60" s="292" t="str">
        <f ca="1">IFERROR(VLOOKUP($B60,INDIRECT(CONCATENATE("'",成績管理表!$D$9,$L$39,"'!",$P$39)),$P$40,FALSE)&amp;"","")</f>
        <v/>
      </c>
      <c r="Q60" s="410" t="str">
        <f ca="1">IFERROR(VLOOKUP($B60,INDIRECT(CONCATENATE("'",成績管理表!$D$9,$L$39,"'!",$P$39)),$Q$40,FALSE)&amp;"","")</f>
        <v/>
      </c>
      <c r="R60" s="410"/>
      <c r="S60" s="129" t="str">
        <f ca="1">IFERROR(VLOOKUP($B60,INDIRECT(CONCATENATE("'",成績管理表!$D$9,$L$39,"'!",$P$39)),$S$40,FALSE),"")</f>
        <v/>
      </c>
      <c r="T60" s="110"/>
      <c r="U60" s="190" t="str">
        <f t="shared" si="128"/>
        <v/>
      </c>
      <c r="V60" s="130" t="str">
        <f ca="1">IFERROR(VLOOKUP($B60,INDIRECT(CONCATENATE("'",成績管理表!$D$9,$L$39,"'!",$P$39)),$V$40,FALSE)&amp;"","")</f>
        <v/>
      </c>
      <c r="W60" s="292" t="str">
        <f t="shared" ca="1" si="129"/>
        <v/>
      </c>
      <c r="X60" s="292" t="str">
        <f t="shared" ca="1" si="130"/>
        <v/>
      </c>
      <c r="Y60" s="292" t="str">
        <f t="shared" ca="1" si="131"/>
        <v/>
      </c>
      <c r="Z60" s="410" t="str">
        <f t="shared" ca="1" si="132"/>
        <v/>
      </c>
      <c r="AA60" s="410"/>
      <c r="AB60" s="411" t="str">
        <f t="shared" ca="1" si="133"/>
        <v/>
      </c>
      <c r="AC60" s="411"/>
      <c r="AD60" s="412"/>
      <c r="AE60" s="273" t="str">
        <f t="shared" ca="1" si="134"/>
        <v/>
      </c>
      <c r="AF60" s="29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93" t="b">
        <f t="shared" ca="1" si="135"/>
        <v>1</v>
      </c>
      <c r="AH60" s="131" t="b">
        <f t="shared" ca="1" si="136"/>
        <v>1</v>
      </c>
    </row>
    <row r="61" spans="2:35" x14ac:dyDescent="0.4">
      <c r="B61" s="424"/>
      <c r="C61" s="425"/>
      <c r="D61" s="425"/>
      <c r="E61" s="425"/>
      <c r="F61" s="422" t="str">
        <f t="shared" ca="1" si="127"/>
        <v/>
      </c>
      <c r="G61" s="422"/>
      <c r="H61" s="42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423"/>
      <c r="J61" s="410" t="str">
        <f ca="1">IFERROR(VLOOKUP($B61,INDIRECT(CONCATENATE("'",成績管理表!$D$9,$L$39,"'!",$P$39)),$J$40,FALSE)&amp;"","")</f>
        <v/>
      </c>
      <c r="K61" s="410"/>
      <c r="L61" s="410" t="str">
        <f ca="1">IFERROR(VLOOKUP($B61,INDIRECT(CONCATENATE("'",成績管理表!$D$9,$L$39,"'!",$P$39)),$L$40,FALSE)&amp;"","")</f>
        <v/>
      </c>
      <c r="M61" s="410"/>
      <c r="N61" s="292" t="str">
        <f ca="1">IFERROR(VLOOKUP($B61,INDIRECT(CONCATENATE("'",成績管理表!$D$9,$L$39,"'!",$P$39)),$N$40,FALSE)&amp;"","")</f>
        <v/>
      </c>
      <c r="O61" s="292" t="str">
        <f ca="1">IFERROR(VLOOKUP($B61,INDIRECT(CONCATENATE("'",成績管理表!$D$9,$L$39,"'!",$P$39)),$O$40,FALSE)&amp;"","")</f>
        <v/>
      </c>
      <c r="P61" s="292" t="str">
        <f ca="1">IFERROR(VLOOKUP($B61,INDIRECT(CONCATENATE("'",成績管理表!$D$9,$L$39,"'!",$P$39)),$P$40,FALSE)&amp;"","")</f>
        <v/>
      </c>
      <c r="Q61" s="410" t="str">
        <f ca="1">IFERROR(VLOOKUP($B61,INDIRECT(CONCATENATE("'",成績管理表!$D$9,$L$39,"'!",$P$39)),$Q$40,FALSE)&amp;"","")</f>
        <v/>
      </c>
      <c r="R61" s="410"/>
      <c r="S61" s="129" t="str">
        <f ca="1">IFERROR(VLOOKUP($B61,INDIRECT(CONCATENATE("'",成績管理表!$D$9,$L$39,"'!",$P$39)),$S$40,FALSE),"")</f>
        <v/>
      </c>
      <c r="T61" s="110"/>
      <c r="U61" s="190" t="str">
        <f t="shared" si="128"/>
        <v/>
      </c>
      <c r="V61" s="130" t="str">
        <f ca="1">IFERROR(VLOOKUP($B61,INDIRECT(CONCATENATE("'",成績管理表!$D$9,$L$39,"'!",$P$39)),$V$40,FALSE)&amp;"","")</f>
        <v/>
      </c>
      <c r="W61" s="292" t="str">
        <f t="shared" ca="1" si="129"/>
        <v/>
      </c>
      <c r="X61" s="292" t="str">
        <f t="shared" ca="1" si="130"/>
        <v/>
      </c>
      <c r="Y61" s="292" t="str">
        <f t="shared" ca="1" si="131"/>
        <v/>
      </c>
      <c r="Z61" s="410" t="str">
        <f t="shared" ca="1" si="132"/>
        <v/>
      </c>
      <c r="AA61" s="410"/>
      <c r="AB61" s="411" t="str">
        <f t="shared" ca="1" si="133"/>
        <v/>
      </c>
      <c r="AC61" s="411"/>
      <c r="AD61" s="412"/>
      <c r="AE61" s="273" t="str">
        <f t="shared" ca="1" si="134"/>
        <v/>
      </c>
      <c r="AF61" s="29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93" t="b">
        <f t="shared" ca="1" si="135"/>
        <v>1</v>
      </c>
      <c r="AH61" s="131" t="b">
        <f t="shared" ca="1" si="136"/>
        <v>1</v>
      </c>
      <c r="AI61" s="291" t="s">
        <v>1000</v>
      </c>
    </row>
    <row r="62" spans="2:35" x14ac:dyDescent="0.4">
      <c r="B62" s="420"/>
      <c r="C62" s="421"/>
      <c r="D62" s="421"/>
      <c r="E62" s="421"/>
      <c r="F62" s="422" t="str">
        <f t="shared" ca="1" si="127"/>
        <v/>
      </c>
      <c r="G62" s="422"/>
      <c r="H62" s="42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423"/>
      <c r="J62" s="410" t="str">
        <f ca="1">IFERROR(VLOOKUP($B62,INDIRECT(CONCATENATE("'",成績管理表!$D$9,$L$39,"'!",$P$39)),$J$40,FALSE)&amp;"","")</f>
        <v/>
      </c>
      <c r="K62" s="410"/>
      <c r="L62" s="410" t="str">
        <f ca="1">IFERROR(VLOOKUP($B62,INDIRECT(CONCATENATE("'",成績管理表!$D$9,$L$39,"'!",$P$39)),$L$40,FALSE)&amp;"","")</f>
        <v/>
      </c>
      <c r="M62" s="410"/>
      <c r="N62" s="292" t="str">
        <f ca="1">IFERROR(VLOOKUP($B62,INDIRECT(CONCATENATE("'",成績管理表!$D$9,$L$39,"'!",$P$39)),$N$40,FALSE)&amp;"","")</f>
        <v/>
      </c>
      <c r="O62" s="292" t="str">
        <f ca="1">IFERROR(VLOOKUP($B62,INDIRECT(CONCATENATE("'",成績管理表!$D$9,$L$39,"'!",$P$39)),$O$40,FALSE)&amp;"","")</f>
        <v/>
      </c>
      <c r="P62" s="292" t="str">
        <f ca="1">IFERROR(VLOOKUP($B62,INDIRECT(CONCATENATE("'",成績管理表!$D$9,$L$39,"'!",$P$39)),$P$40,FALSE)&amp;"","")</f>
        <v/>
      </c>
      <c r="Q62" s="410" t="str">
        <f ca="1">IFERROR(VLOOKUP($B62,INDIRECT(CONCATENATE("'",成績管理表!$D$9,$L$39,"'!",$P$39)),$Q$40,FALSE)&amp;"","")</f>
        <v/>
      </c>
      <c r="R62" s="410"/>
      <c r="S62" s="129" t="str">
        <f ca="1">IFERROR(VLOOKUP($B62,INDIRECT(CONCATENATE("'",成績管理表!$D$9,$L$39,"'!",$P$39)),$S$40,FALSE),"")</f>
        <v/>
      </c>
      <c r="T62" s="110"/>
      <c r="U62" s="190" t="str">
        <f t="shared" si="128"/>
        <v/>
      </c>
      <c r="V62" s="130" t="str">
        <f ca="1">IFERROR(VLOOKUP($B62,INDIRECT(CONCATENATE("'",成績管理表!$D$9,$L$39,"'!",$P$39)),$V$40,FALSE)&amp;"","")</f>
        <v/>
      </c>
      <c r="W62" s="292" t="str">
        <f t="shared" ca="1" si="129"/>
        <v/>
      </c>
      <c r="X62" s="292" t="str">
        <f t="shared" ca="1" si="130"/>
        <v/>
      </c>
      <c r="Y62" s="292" t="str">
        <f t="shared" ca="1" si="131"/>
        <v/>
      </c>
      <c r="Z62" s="410" t="str">
        <f t="shared" ca="1" si="132"/>
        <v/>
      </c>
      <c r="AA62" s="410"/>
      <c r="AB62" s="411" t="str">
        <f t="shared" ca="1" si="133"/>
        <v/>
      </c>
      <c r="AC62" s="411"/>
      <c r="AD62" s="412"/>
      <c r="AE62" s="273" t="str">
        <f t="shared" ca="1" si="134"/>
        <v/>
      </c>
      <c r="AF62" s="29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93" t="b">
        <f t="shared" ca="1" si="135"/>
        <v>1</v>
      </c>
      <c r="AH62" s="131" t="b">
        <f t="shared" ca="1" si="136"/>
        <v>1</v>
      </c>
      <c r="AI62" s="291" t="s">
        <v>1000</v>
      </c>
    </row>
    <row r="63" spans="2:35" x14ac:dyDescent="0.4">
      <c r="B63" s="420"/>
      <c r="C63" s="421"/>
      <c r="D63" s="421"/>
      <c r="E63" s="421"/>
      <c r="F63" s="422" t="str">
        <f t="shared" ca="1" si="127"/>
        <v/>
      </c>
      <c r="G63" s="422"/>
      <c r="H63" s="42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423"/>
      <c r="J63" s="410" t="str">
        <f ca="1">IFERROR(VLOOKUP($B63,INDIRECT(CONCATENATE("'",成績管理表!$D$9,$L$39,"'!",$P$39)),$J$40,FALSE)&amp;"","")</f>
        <v/>
      </c>
      <c r="K63" s="410"/>
      <c r="L63" s="410" t="str">
        <f ca="1">IFERROR(VLOOKUP($B63,INDIRECT(CONCATENATE("'",成績管理表!$D$9,$L$39,"'!",$P$39)),$L$40,FALSE)&amp;"","")</f>
        <v/>
      </c>
      <c r="M63" s="410"/>
      <c r="N63" s="292" t="str">
        <f ca="1">IFERROR(VLOOKUP($B63,INDIRECT(CONCATENATE("'",成績管理表!$D$9,$L$39,"'!",$P$39)),$N$40,FALSE)&amp;"","")</f>
        <v/>
      </c>
      <c r="O63" s="292" t="str">
        <f ca="1">IFERROR(VLOOKUP($B63,INDIRECT(CONCATENATE("'",成績管理表!$D$9,$L$39,"'!",$P$39)),$O$40,FALSE)&amp;"","")</f>
        <v/>
      </c>
      <c r="P63" s="292" t="str">
        <f ca="1">IFERROR(VLOOKUP($B63,INDIRECT(CONCATENATE("'",成績管理表!$D$9,$L$39,"'!",$P$39)),$P$40,FALSE)&amp;"","")</f>
        <v/>
      </c>
      <c r="Q63" s="410" t="str">
        <f ca="1">IFERROR(VLOOKUP($B63,INDIRECT(CONCATENATE("'",成績管理表!$D$9,$L$39,"'!",$P$39)),$Q$40,FALSE)&amp;"","")</f>
        <v/>
      </c>
      <c r="R63" s="410"/>
      <c r="S63" s="129" t="str">
        <f ca="1">IFERROR(VLOOKUP($B63,INDIRECT(CONCATENATE("'",成績管理表!$D$9,$L$39,"'!",$P$39)),$S$40,FALSE),"")</f>
        <v/>
      </c>
      <c r="T63" s="110"/>
      <c r="U63" s="190" t="str">
        <f t="shared" si="128"/>
        <v/>
      </c>
      <c r="V63" s="130" t="str">
        <f ca="1">IFERROR(VLOOKUP($B63,INDIRECT(CONCATENATE("'",成績管理表!$D$9,$L$39,"'!",$P$39)),$V$40,FALSE)&amp;"","")</f>
        <v/>
      </c>
      <c r="W63" s="292" t="str">
        <f t="shared" ca="1" si="129"/>
        <v/>
      </c>
      <c r="X63" s="292" t="str">
        <f t="shared" ca="1" si="130"/>
        <v/>
      </c>
      <c r="Y63" s="292" t="str">
        <f t="shared" ca="1" si="131"/>
        <v/>
      </c>
      <c r="Z63" s="410" t="str">
        <f t="shared" ca="1" si="132"/>
        <v/>
      </c>
      <c r="AA63" s="410"/>
      <c r="AB63" s="411" t="str">
        <f t="shared" ca="1" si="133"/>
        <v/>
      </c>
      <c r="AC63" s="411"/>
      <c r="AD63" s="412"/>
      <c r="AE63" s="273" t="str">
        <f t="shared" ca="1" si="134"/>
        <v/>
      </c>
      <c r="AF63" s="29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93" t="b">
        <f t="shared" ca="1" si="135"/>
        <v>1</v>
      </c>
      <c r="AH63" s="131" t="b">
        <f t="shared" ca="1" si="136"/>
        <v>1</v>
      </c>
      <c r="AI63" s="291" t="s">
        <v>1000</v>
      </c>
    </row>
    <row r="64" spans="2:35" x14ac:dyDescent="0.4">
      <c r="B64" s="420"/>
      <c r="C64" s="421"/>
      <c r="D64" s="421"/>
      <c r="E64" s="421"/>
      <c r="F64" s="422" t="str">
        <f t="shared" ca="1" si="127"/>
        <v/>
      </c>
      <c r="G64" s="422"/>
      <c r="H64" s="42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423"/>
      <c r="J64" s="410" t="str">
        <f ca="1">IFERROR(VLOOKUP($B64,INDIRECT(CONCATENATE("'",成績管理表!$D$9,$L$39,"'!",$P$39)),$J$40,FALSE)&amp;"","")</f>
        <v/>
      </c>
      <c r="K64" s="410"/>
      <c r="L64" s="410" t="str">
        <f ca="1">IFERROR(VLOOKUP($B64,INDIRECT(CONCATENATE("'",成績管理表!$D$9,$L$39,"'!",$P$39)),$L$40,FALSE)&amp;"","")</f>
        <v/>
      </c>
      <c r="M64" s="410"/>
      <c r="N64" s="292" t="str">
        <f ca="1">IFERROR(VLOOKUP($B64,INDIRECT(CONCATENATE("'",成績管理表!$D$9,$L$39,"'!",$P$39)),$N$40,FALSE)&amp;"","")</f>
        <v/>
      </c>
      <c r="O64" s="292" t="str">
        <f ca="1">IFERROR(VLOOKUP($B64,INDIRECT(CONCATENATE("'",成績管理表!$D$9,$L$39,"'!",$P$39)),$O$40,FALSE)&amp;"","")</f>
        <v/>
      </c>
      <c r="P64" s="292" t="str">
        <f ca="1">IFERROR(VLOOKUP($B64,INDIRECT(CONCATENATE("'",成績管理表!$D$9,$L$39,"'!",$P$39)),$P$40,FALSE)&amp;"","")</f>
        <v/>
      </c>
      <c r="Q64" s="410" t="str">
        <f ca="1">IFERROR(VLOOKUP($B64,INDIRECT(CONCATENATE("'",成績管理表!$D$9,$L$39,"'!",$P$39)),$Q$40,FALSE)&amp;"","")</f>
        <v/>
      </c>
      <c r="R64" s="410"/>
      <c r="S64" s="129" t="str">
        <f ca="1">IFERROR(VLOOKUP($B64,INDIRECT(CONCATENATE("'",成績管理表!$D$9,$L$39,"'!",$P$39)),$S$40,FALSE),"")</f>
        <v/>
      </c>
      <c r="T64" s="110"/>
      <c r="U64" s="190" t="str">
        <f t="shared" si="128"/>
        <v/>
      </c>
      <c r="V64" s="130" t="str">
        <f ca="1">IFERROR(VLOOKUP($B64,INDIRECT(CONCATENATE("'",成績管理表!$D$9,$L$39,"'!",$P$39)),$V$40,FALSE)&amp;"","")</f>
        <v/>
      </c>
      <c r="W64" s="292" t="str">
        <f t="shared" ca="1" si="129"/>
        <v/>
      </c>
      <c r="X64" s="292" t="str">
        <f t="shared" ca="1" si="130"/>
        <v/>
      </c>
      <c r="Y64" s="292" t="str">
        <f t="shared" ca="1" si="131"/>
        <v/>
      </c>
      <c r="Z64" s="410" t="str">
        <f t="shared" ca="1" si="132"/>
        <v/>
      </c>
      <c r="AA64" s="410"/>
      <c r="AB64" s="411" t="str">
        <f t="shared" ca="1" si="133"/>
        <v/>
      </c>
      <c r="AC64" s="411"/>
      <c r="AD64" s="412"/>
      <c r="AE64" s="273" t="str">
        <f t="shared" ca="1" si="134"/>
        <v/>
      </c>
      <c r="AF64" s="29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93" t="b">
        <f t="shared" ca="1" si="135"/>
        <v>1</v>
      </c>
      <c r="AH64" s="131" t="b">
        <f t="shared" ca="1" si="136"/>
        <v>1</v>
      </c>
      <c r="AI64" s="291" t="s">
        <v>1000</v>
      </c>
    </row>
    <row r="65" spans="2:35" x14ac:dyDescent="0.4">
      <c r="B65" s="420"/>
      <c r="C65" s="421"/>
      <c r="D65" s="421"/>
      <c r="E65" s="421"/>
      <c r="F65" s="422" t="str">
        <f t="shared" ca="1" si="127"/>
        <v/>
      </c>
      <c r="G65" s="422"/>
      <c r="H65" s="42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423"/>
      <c r="J65" s="410" t="str">
        <f ca="1">IFERROR(VLOOKUP($B65,INDIRECT(CONCATENATE("'",成績管理表!$D$9,$L$39,"'!",$P$39)),$J$40,FALSE)&amp;"","")</f>
        <v/>
      </c>
      <c r="K65" s="410"/>
      <c r="L65" s="410" t="str">
        <f ca="1">IFERROR(VLOOKUP($B65,INDIRECT(CONCATENATE("'",成績管理表!$D$9,$L$39,"'!",$P$39)),$L$40,FALSE)&amp;"","")</f>
        <v/>
      </c>
      <c r="M65" s="410"/>
      <c r="N65" s="292" t="str">
        <f ca="1">IFERROR(VLOOKUP($B65,INDIRECT(CONCATENATE("'",成績管理表!$D$9,$L$39,"'!",$P$39)),$N$40,FALSE)&amp;"","")</f>
        <v/>
      </c>
      <c r="O65" s="292" t="str">
        <f ca="1">IFERROR(VLOOKUP($B65,INDIRECT(CONCATENATE("'",成績管理表!$D$9,$L$39,"'!",$P$39)),$O$40,FALSE)&amp;"","")</f>
        <v/>
      </c>
      <c r="P65" s="292" t="str">
        <f ca="1">IFERROR(VLOOKUP($B65,INDIRECT(CONCATENATE("'",成績管理表!$D$9,$L$39,"'!",$P$39)),$P$40,FALSE)&amp;"","")</f>
        <v/>
      </c>
      <c r="Q65" s="410" t="str">
        <f ca="1">IFERROR(VLOOKUP($B65,INDIRECT(CONCATENATE("'",成績管理表!$D$9,$L$39,"'!",$P$39)),$Q$40,FALSE)&amp;"","")</f>
        <v/>
      </c>
      <c r="R65" s="410"/>
      <c r="S65" s="129" t="str">
        <f ca="1">IFERROR(VLOOKUP($B65,INDIRECT(CONCATENATE("'",成績管理表!$D$9,$L$39,"'!",$P$39)),$S$40,FALSE),"")</f>
        <v/>
      </c>
      <c r="T65" s="110"/>
      <c r="U65" s="190" t="str">
        <f t="shared" si="128"/>
        <v/>
      </c>
      <c r="V65" s="130" t="str">
        <f ca="1">IFERROR(VLOOKUP($B65,INDIRECT(CONCATENATE("'",成績管理表!$D$9,$L$39,"'!",$P$39)),$V$40,FALSE)&amp;"","")</f>
        <v/>
      </c>
      <c r="W65" s="292" t="str">
        <f t="shared" ca="1" si="129"/>
        <v/>
      </c>
      <c r="X65" s="292" t="str">
        <f t="shared" ca="1" si="130"/>
        <v/>
      </c>
      <c r="Y65" s="292" t="str">
        <f t="shared" ca="1" si="131"/>
        <v/>
      </c>
      <c r="Z65" s="410" t="str">
        <f t="shared" ca="1" si="132"/>
        <v/>
      </c>
      <c r="AA65" s="410"/>
      <c r="AB65" s="411" t="str">
        <f t="shared" ca="1" si="133"/>
        <v/>
      </c>
      <c r="AC65" s="411"/>
      <c r="AD65" s="412"/>
      <c r="AE65" s="273" t="str">
        <f t="shared" ca="1" si="134"/>
        <v/>
      </c>
      <c r="AF65" s="29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93" t="b">
        <f t="shared" ca="1" si="135"/>
        <v>1</v>
      </c>
      <c r="AH65" s="131" t="b">
        <f t="shared" ca="1" si="136"/>
        <v>1</v>
      </c>
      <c r="AI65" s="291" t="s">
        <v>1000</v>
      </c>
    </row>
    <row r="66" spans="2:35" x14ac:dyDescent="0.4">
      <c r="B66" s="420"/>
      <c r="C66" s="421"/>
      <c r="D66" s="421"/>
      <c r="E66" s="421"/>
      <c r="F66" s="422" t="str">
        <f t="shared" ca="1" si="127"/>
        <v/>
      </c>
      <c r="G66" s="422"/>
      <c r="H66" s="42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423"/>
      <c r="J66" s="410" t="str">
        <f ca="1">IFERROR(VLOOKUP($B66,INDIRECT(CONCATENATE("'",成績管理表!$D$9,$L$39,"'!",$P$39)),$J$40,FALSE)&amp;"","")</f>
        <v/>
      </c>
      <c r="K66" s="410"/>
      <c r="L66" s="410" t="str">
        <f ca="1">IFERROR(VLOOKUP($B66,INDIRECT(CONCATENATE("'",成績管理表!$D$9,$L$39,"'!",$P$39)),$L$40,FALSE)&amp;"","")</f>
        <v/>
      </c>
      <c r="M66" s="410"/>
      <c r="N66" s="292" t="str">
        <f ca="1">IFERROR(VLOOKUP($B66,INDIRECT(CONCATENATE("'",成績管理表!$D$9,$L$39,"'!",$P$39)),$N$40,FALSE)&amp;"","")</f>
        <v/>
      </c>
      <c r="O66" s="292" t="str">
        <f ca="1">IFERROR(VLOOKUP($B66,INDIRECT(CONCATENATE("'",成績管理表!$D$9,$L$39,"'!",$P$39)),$O$40,FALSE)&amp;"","")</f>
        <v/>
      </c>
      <c r="P66" s="292" t="str">
        <f ca="1">IFERROR(VLOOKUP($B66,INDIRECT(CONCATENATE("'",成績管理表!$D$9,$L$39,"'!",$P$39)),$P$40,FALSE)&amp;"","")</f>
        <v/>
      </c>
      <c r="Q66" s="410" t="str">
        <f ca="1">IFERROR(VLOOKUP($B66,INDIRECT(CONCATENATE("'",成績管理表!$D$9,$L$39,"'!",$P$39)),$Q$40,FALSE)&amp;"","")</f>
        <v/>
      </c>
      <c r="R66" s="410"/>
      <c r="S66" s="129" t="str">
        <f ca="1">IFERROR(VLOOKUP($B66,INDIRECT(CONCATENATE("'",成績管理表!$D$9,$L$39,"'!",$P$39)),$S$40,FALSE),"")</f>
        <v/>
      </c>
      <c r="T66" s="110"/>
      <c r="U66" s="190" t="str">
        <f t="shared" si="128"/>
        <v/>
      </c>
      <c r="V66" s="130" t="str">
        <f ca="1">IFERROR(VLOOKUP($B66,INDIRECT(CONCATENATE("'",成績管理表!$D$9,$L$39,"'!",$P$39)),$V$40,FALSE)&amp;"","")</f>
        <v/>
      </c>
      <c r="W66" s="292" t="str">
        <f t="shared" ca="1" si="129"/>
        <v/>
      </c>
      <c r="X66" s="292" t="str">
        <f t="shared" ca="1" si="130"/>
        <v/>
      </c>
      <c r="Y66" s="292" t="str">
        <f t="shared" ca="1" si="131"/>
        <v/>
      </c>
      <c r="Z66" s="410" t="str">
        <f t="shared" ca="1" si="132"/>
        <v/>
      </c>
      <c r="AA66" s="410"/>
      <c r="AB66" s="411" t="str">
        <f t="shared" ca="1" si="133"/>
        <v/>
      </c>
      <c r="AC66" s="411"/>
      <c r="AD66" s="412"/>
      <c r="AE66" s="273" t="str">
        <f t="shared" ca="1" si="134"/>
        <v/>
      </c>
      <c r="AF66" s="29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93" t="b">
        <f t="shared" ca="1" si="135"/>
        <v>1</v>
      </c>
      <c r="AH66" s="131" t="b">
        <f t="shared" ca="1" si="136"/>
        <v>1</v>
      </c>
      <c r="AI66" s="291" t="s">
        <v>1000</v>
      </c>
    </row>
    <row r="67" spans="2:35" x14ac:dyDescent="0.4">
      <c r="B67" s="420"/>
      <c r="C67" s="421"/>
      <c r="D67" s="421"/>
      <c r="E67" s="421"/>
      <c r="F67" s="422" t="str">
        <f t="shared" ca="1" si="127"/>
        <v/>
      </c>
      <c r="G67" s="422"/>
      <c r="H67" s="42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423"/>
      <c r="J67" s="410" t="str">
        <f ca="1">IFERROR(VLOOKUP($B67,INDIRECT(CONCATENATE("'",成績管理表!$D$9,$L$39,"'!",$P$39)),$J$40,FALSE)&amp;"","")</f>
        <v/>
      </c>
      <c r="K67" s="410"/>
      <c r="L67" s="410" t="str">
        <f ca="1">IFERROR(VLOOKUP($B67,INDIRECT(CONCATENATE("'",成績管理表!$D$9,$L$39,"'!",$P$39)),$L$40,FALSE)&amp;"","")</f>
        <v/>
      </c>
      <c r="M67" s="410"/>
      <c r="N67" s="292" t="str">
        <f ca="1">IFERROR(VLOOKUP($B67,INDIRECT(CONCATENATE("'",成績管理表!$D$9,$L$39,"'!",$P$39)),$N$40,FALSE)&amp;"","")</f>
        <v/>
      </c>
      <c r="O67" s="292" t="str">
        <f ca="1">IFERROR(VLOOKUP($B67,INDIRECT(CONCATENATE("'",成績管理表!$D$9,$L$39,"'!",$P$39)),$O$40,FALSE)&amp;"","")</f>
        <v/>
      </c>
      <c r="P67" s="292" t="str">
        <f ca="1">IFERROR(VLOOKUP($B67,INDIRECT(CONCATENATE("'",成績管理表!$D$9,$L$39,"'!",$P$39)),$P$40,FALSE)&amp;"","")</f>
        <v/>
      </c>
      <c r="Q67" s="410" t="str">
        <f ca="1">IFERROR(VLOOKUP($B67,INDIRECT(CONCATENATE("'",成績管理表!$D$9,$L$39,"'!",$P$39)),$Q$40,FALSE)&amp;"","")</f>
        <v/>
      </c>
      <c r="R67" s="410"/>
      <c r="S67" s="129" t="str">
        <f ca="1">IFERROR(VLOOKUP($B67,INDIRECT(CONCATENATE("'",成績管理表!$D$9,$L$39,"'!",$P$39)),$S$40,FALSE),"")</f>
        <v/>
      </c>
      <c r="T67" s="110"/>
      <c r="U67" s="190" t="str">
        <f t="shared" si="128"/>
        <v/>
      </c>
      <c r="V67" s="130" t="str">
        <f ca="1">IFERROR(VLOOKUP($B67,INDIRECT(CONCATENATE("'",成績管理表!$D$9,$L$39,"'!",$P$39)),$V$40,FALSE)&amp;"","")</f>
        <v/>
      </c>
      <c r="W67" s="292" t="str">
        <f t="shared" ca="1" si="129"/>
        <v/>
      </c>
      <c r="X67" s="292" t="str">
        <f t="shared" ca="1" si="130"/>
        <v/>
      </c>
      <c r="Y67" s="292" t="str">
        <f t="shared" ca="1" si="131"/>
        <v/>
      </c>
      <c r="Z67" s="410" t="str">
        <f t="shared" ca="1" si="132"/>
        <v/>
      </c>
      <c r="AA67" s="410"/>
      <c r="AB67" s="411" t="str">
        <f t="shared" ca="1" si="133"/>
        <v/>
      </c>
      <c r="AC67" s="411"/>
      <c r="AD67" s="412"/>
      <c r="AE67" s="273" t="str">
        <f t="shared" ca="1" si="134"/>
        <v/>
      </c>
      <c r="AF67" s="29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93" t="b">
        <f t="shared" ca="1" si="135"/>
        <v>1</v>
      </c>
      <c r="AH67" s="131" t="b">
        <f t="shared" ca="1" si="136"/>
        <v>1</v>
      </c>
      <c r="AI67" s="291" t="s">
        <v>1000</v>
      </c>
    </row>
    <row r="68" spans="2:35" x14ac:dyDescent="0.4">
      <c r="B68" s="420"/>
      <c r="C68" s="421"/>
      <c r="D68" s="421"/>
      <c r="E68" s="421"/>
      <c r="F68" s="422" t="str">
        <f t="shared" ca="1" si="127"/>
        <v/>
      </c>
      <c r="G68" s="422"/>
      <c r="H68" s="42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423"/>
      <c r="J68" s="410" t="str">
        <f ca="1">IFERROR(VLOOKUP($B68,INDIRECT(CONCATENATE("'",成績管理表!$D$9,$L$39,"'!",$P$39)),$J$40,FALSE)&amp;"","")</f>
        <v/>
      </c>
      <c r="K68" s="410"/>
      <c r="L68" s="410" t="str">
        <f ca="1">IFERROR(VLOOKUP($B68,INDIRECT(CONCATENATE("'",成績管理表!$D$9,$L$39,"'!",$P$39)),$L$40,FALSE)&amp;"","")</f>
        <v/>
      </c>
      <c r="M68" s="410"/>
      <c r="N68" s="292" t="str">
        <f ca="1">IFERROR(VLOOKUP($B68,INDIRECT(CONCATENATE("'",成績管理表!$D$9,$L$39,"'!",$P$39)),$N$40,FALSE)&amp;"","")</f>
        <v/>
      </c>
      <c r="O68" s="292" t="str">
        <f ca="1">IFERROR(VLOOKUP($B68,INDIRECT(CONCATENATE("'",成績管理表!$D$9,$L$39,"'!",$P$39)),$O$40,FALSE)&amp;"","")</f>
        <v/>
      </c>
      <c r="P68" s="292" t="str">
        <f ca="1">IFERROR(VLOOKUP($B68,INDIRECT(CONCATENATE("'",成績管理表!$D$9,$L$39,"'!",$P$39)),$P$40,FALSE)&amp;"","")</f>
        <v/>
      </c>
      <c r="Q68" s="410" t="str">
        <f ca="1">IFERROR(VLOOKUP($B68,INDIRECT(CONCATENATE("'",成績管理表!$D$9,$L$39,"'!",$P$39)),$Q$40,FALSE)&amp;"","")</f>
        <v/>
      </c>
      <c r="R68" s="410"/>
      <c r="S68" s="129" t="str">
        <f ca="1">IFERROR(VLOOKUP($B68,INDIRECT(CONCATENATE("'",成績管理表!$D$9,$L$39,"'!",$P$39)),$S$40,FALSE),"")</f>
        <v/>
      </c>
      <c r="T68" s="110"/>
      <c r="U68" s="190" t="str">
        <f t="shared" si="128"/>
        <v/>
      </c>
      <c r="V68" s="130" t="str">
        <f ca="1">IFERROR(VLOOKUP($B68,INDIRECT(CONCATENATE("'",成績管理表!$D$9,$L$39,"'!",$P$39)),$V$40,FALSE)&amp;"","")</f>
        <v/>
      </c>
      <c r="W68" s="292" t="str">
        <f t="shared" ca="1" si="129"/>
        <v/>
      </c>
      <c r="X68" s="292" t="str">
        <f t="shared" ca="1" si="130"/>
        <v/>
      </c>
      <c r="Y68" s="292" t="str">
        <f t="shared" ca="1" si="131"/>
        <v/>
      </c>
      <c r="Z68" s="410" t="str">
        <f t="shared" ca="1" si="132"/>
        <v/>
      </c>
      <c r="AA68" s="410"/>
      <c r="AB68" s="411" t="str">
        <f t="shared" ca="1" si="133"/>
        <v/>
      </c>
      <c r="AC68" s="411"/>
      <c r="AD68" s="412"/>
      <c r="AE68" s="273" t="str">
        <f t="shared" ca="1" si="134"/>
        <v/>
      </c>
      <c r="AF68" s="29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93" t="b">
        <f t="shared" ca="1" si="135"/>
        <v>1</v>
      </c>
      <c r="AH68" s="131" t="b">
        <f t="shared" ca="1" si="136"/>
        <v>1</v>
      </c>
      <c r="AI68" s="291" t="s">
        <v>1000</v>
      </c>
    </row>
    <row r="69" spans="2:35" x14ac:dyDescent="0.4">
      <c r="B69" s="420"/>
      <c r="C69" s="421"/>
      <c r="D69" s="421"/>
      <c r="E69" s="421"/>
      <c r="F69" s="422" t="str">
        <f t="shared" ca="1" si="127"/>
        <v/>
      </c>
      <c r="G69" s="422"/>
      <c r="H69" s="42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423"/>
      <c r="J69" s="410" t="str">
        <f ca="1">IFERROR(VLOOKUP($B69,INDIRECT(CONCATENATE("'",成績管理表!$D$9,$L$39,"'!",$P$39)),$J$40,FALSE)&amp;"","")</f>
        <v/>
      </c>
      <c r="K69" s="410"/>
      <c r="L69" s="410" t="str">
        <f ca="1">IFERROR(VLOOKUP($B69,INDIRECT(CONCATENATE("'",成績管理表!$D$9,$L$39,"'!",$P$39)),$L$40,FALSE)&amp;"","")</f>
        <v/>
      </c>
      <c r="M69" s="410"/>
      <c r="N69" s="292" t="str">
        <f ca="1">IFERROR(VLOOKUP($B69,INDIRECT(CONCATENATE("'",成績管理表!$D$9,$L$39,"'!",$P$39)),$N$40,FALSE)&amp;"","")</f>
        <v/>
      </c>
      <c r="O69" s="292" t="str">
        <f ca="1">IFERROR(VLOOKUP($B69,INDIRECT(CONCATENATE("'",成績管理表!$D$9,$L$39,"'!",$P$39)),$O$40,FALSE)&amp;"","")</f>
        <v/>
      </c>
      <c r="P69" s="292" t="str">
        <f ca="1">IFERROR(VLOOKUP($B69,INDIRECT(CONCATENATE("'",成績管理表!$D$9,$L$39,"'!",$P$39)),$P$40,FALSE)&amp;"","")</f>
        <v/>
      </c>
      <c r="Q69" s="410" t="str">
        <f ca="1">IFERROR(VLOOKUP($B69,INDIRECT(CONCATENATE("'",成績管理表!$D$9,$L$39,"'!",$P$39)),$Q$40,FALSE)&amp;"","")</f>
        <v/>
      </c>
      <c r="R69" s="410"/>
      <c r="S69" s="129" t="str">
        <f ca="1">IFERROR(VLOOKUP($B69,INDIRECT(CONCATENATE("'",成績管理表!$D$9,$L$39,"'!",$P$39)),$S$40,FALSE),"")</f>
        <v/>
      </c>
      <c r="T69" s="110"/>
      <c r="U69" s="190" t="str">
        <f t="shared" si="128"/>
        <v/>
      </c>
      <c r="V69" s="130" t="str">
        <f ca="1">IFERROR(VLOOKUP($B69,INDIRECT(CONCATENATE("'",成績管理表!$D$9,$L$39,"'!",$P$39)),$V$40,FALSE)&amp;"","")</f>
        <v/>
      </c>
      <c r="W69" s="292" t="str">
        <f t="shared" ca="1" si="129"/>
        <v/>
      </c>
      <c r="X69" s="292" t="str">
        <f t="shared" ca="1" si="130"/>
        <v/>
      </c>
      <c r="Y69" s="292" t="str">
        <f t="shared" ca="1" si="131"/>
        <v/>
      </c>
      <c r="Z69" s="410" t="str">
        <f t="shared" ca="1" si="132"/>
        <v/>
      </c>
      <c r="AA69" s="410"/>
      <c r="AB69" s="411" t="str">
        <f t="shared" ca="1" si="133"/>
        <v/>
      </c>
      <c r="AC69" s="411"/>
      <c r="AD69" s="412"/>
      <c r="AE69" s="273" t="str">
        <f t="shared" ca="1" si="134"/>
        <v/>
      </c>
      <c r="AF69" s="29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93" t="b">
        <f t="shared" ca="1" si="135"/>
        <v>1</v>
      </c>
      <c r="AH69" s="131" t="b">
        <f t="shared" ca="1" si="136"/>
        <v>1</v>
      </c>
    </row>
    <row r="70" spans="2:35" x14ac:dyDescent="0.4">
      <c r="B70" s="420"/>
      <c r="C70" s="421"/>
      <c r="D70" s="421"/>
      <c r="E70" s="421"/>
      <c r="F70" s="422" t="str">
        <f t="shared" ca="1" si="127"/>
        <v/>
      </c>
      <c r="G70" s="422"/>
      <c r="H70" s="42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423"/>
      <c r="J70" s="410" t="str">
        <f ca="1">IFERROR(VLOOKUP($B70,INDIRECT(CONCATENATE("'",成績管理表!$D$9,$L$39,"'!",$P$39)),$J$40,FALSE)&amp;"","")</f>
        <v/>
      </c>
      <c r="K70" s="410"/>
      <c r="L70" s="410" t="str">
        <f ca="1">IFERROR(VLOOKUP($B70,INDIRECT(CONCATENATE("'",成績管理表!$D$9,$L$39,"'!",$P$39)),$L$40,FALSE)&amp;"","")</f>
        <v/>
      </c>
      <c r="M70" s="410"/>
      <c r="N70" s="292" t="str">
        <f ca="1">IFERROR(VLOOKUP($B70,INDIRECT(CONCATENATE("'",成績管理表!$D$9,$L$39,"'!",$P$39)),$N$40,FALSE)&amp;"","")</f>
        <v/>
      </c>
      <c r="O70" s="292" t="str">
        <f ca="1">IFERROR(VLOOKUP($B70,INDIRECT(CONCATENATE("'",成績管理表!$D$9,$L$39,"'!",$P$39)),$O$40,FALSE)&amp;"","")</f>
        <v/>
      </c>
      <c r="P70" s="292" t="str">
        <f ca="1">IFERROR(VLOOKUP($B70,INDIRECT(CONCATENATE("'",成績管理表!$D$9,$L$39,"'!",$P$39)),$P$40,FALSE)&amp;"","")</f>
        <v/>
      </c>
      <c r="Q70" s="410" t="str">
        <f ca="1">IFERROR(VLOOKUP($B70,INDIRECT(CONCATENATE("'",成績管理表!$D$9,$L$39,"'!",$P$39)),$Q$40,FALSE)&amp;"","")</f>
        <v/>
      </c>
      <c r="R70" s="410"/>
      <c r="S70" s="129" t="str">
        <f ca="1">IFERROR(VLOOKUP($B70,INDIRECT(CONCATENATE("'",成績管理表!$D$9,$L$39,"'!",$P$39)),$S$40,FALSE),"")</f>
        <v/>
      </c>
      <c r="T70" s="110"/>
      <c r="U70" s="190" t="str">
        <f t="shared" si="128"/>
        <v/>
      </c>
      <c r="V70" s="130" t="str">
        <f ca="1">IFERROR(VLOOKUP($B70,INDIRECT(CONCATENATE("'",成績管理表!$D$9,$L$39,"'!",$P$39)),$V$40,FALSE)&amp;"","")</f>
        <v/>
      </c>
      <c r="W70" s="292" t="str">
        <f t="shared" ca="1" si="129"/>
        <v/>
      </c>
      <c r="X70" s="292" t="str">
        <f t="shared" ca="1" si="130"/>
        <v/>
      </c>
      <c r="Y70" s="292" t="str">
        <f t="shared" ca="1" si="131"/>
        <v/>
      </c>
      <c r="Z70" s="410" t="str">
        <f t="shared" ca="1" si="132"/>
        <v/>
      </c>
      <c r="AA70" s="410"/>
      <c r="AB70" s="411" t="str">
        <f t="shared" ca="1" si="133"/>
        <v/>
      </c>
      <c r="AC70" s="411"/>
      <c r="AD70" s="412"/>
      <c r="AE70" s="273" t="str">
        <f t="shared" ca="1" si="134"/>
        <v/>
      </c>
      <c r="AF70" s="29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93" t="b">
        <f t="shared" ca="1" si="135"/>
        <v>1</v>
      </c>
      <c r="AH70" s="131" t="b">
        <f t="shared" ca="1" si="136"/>
        <v>1</v>
      </c>
    </row>
    <row r="71" spans="2:35" x14ac:dyDescent="0.4">
      <c r="B71" s="420"/>
      <c r="C71" s="421"/>
      <c r="D71" s="421"/>
      <c r="E71" s="421"/>
      <c r="F71" s="422" t="str">
        <f t="shared" ca="1" si="127"/>
        <v/>
      </c>
      <c r="G71" s="422"/>
      <c r="H71" s="42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423"/>
      <c r="J71" s="410" t="str">
        <f ca="1">IFERROR(VLOOKUP($B71,INDIRECT(CONCATENATE("'",成績管理表!$D$9,$L$39,"'!",$P$39)),$J$40,FALSE)&amp;"","")</f>
        <v/>
      </c>
      <c r="K71" s="410"/>
      <c r="L71" s="410" t="str">
        <f ca="1">IFERROR(VLOOKUP($B71,INDIRECT(CONCATENATE("'",成績管理表!$D$9,$L$39,"'!",$P$39)),$L$40,FALSE)&amp;"","")</f>
        <v/>
      </c>
      <c r="M71" s="410"/>
      <c r="N71" s="292" t="str">
        <f ca="1">IFERROR(VLOOKUP($B71,INDIRECT(CONCATENATE("'",成績管理表!$D$9,$L$39,"'!",$P$39)),$N$40,FALSE)&amp;"","")</f>
        <v/>
      </c>
      <c r="O71" s="292" t="str">
        <f ca="1">IFERROR(VLOOKUP($B71,INDIRECT(CONCATENATE("'",成績管理表!$D$9,$L$39,"'!",$P$39)),$O$40,FALSE)&amp;"","")</f>
        <v/>
      </c>
      <c r="P71" s="292" t="str">
        <f ca="1">IFERROR(VLOOKUP($B71,INDIRECT(CONCATENATE("'",成績管理表!$D$9,$L$39,"'!",$P$39)),$P$40,FALSE)&amp;"","")</f>
        <v/>
      </c>
      <c r="Q71" s="410" t="str">
        <f ca="1">IFERROR(VLOOKUP($B71,INDIRECT(CONCATENATE("'",成績管理表!$D$9,$L$39,"'!",$P$39)),$Q$40,FALSE)&amp;"","")</f>
        <v/>
      </c>
      <c r="R71" s="410"/>
      <c r="S71" s="129" t="str">
        <f ca="1">IFERROR(VLOOKUP($B71,INDIRECT(CONCATENATE("'",成績管理表!$D$9,$L$39,"'!",$P$39)),$S$40,FALSE),"")</f>
        <v/>
      </c>
      <c r="T71" s="110"/>
      <c r="U71" s="190" t="str">
        <f t="shared" si="128"/>
        <v/>
      </c>
      <c r="V71" s="130" t="str">
        <f ca="1">IFERROR(VLOOKUP($B71,INDIRECT(CONCATENATE("'",成績管理表!$D$9,$L$39,"'!",$P$39)),$V$40,FALSE)&amp;"","")</f>
        <v/>
      </c>
      <c r="W71" s="292" t="str">
        <f t="shared" ca="1" si="129"/>
        <v/>
      </c>
      <c r="X71" s="292" t="str">
        <f t="shared" ca="1" si="130"/>
        <v/>
      </c>
      <c r="Y71" s="292" t="str">
        <f t="shared" ca="1" si="131"/>
        <v/>
      </c>
      <c r="Z71" s="410" t="str">
        <f t="shared" ca="1" si="132"/>
        <v/>
      </c>
      <c r="AA71" s="410"/>
      <c r="AB71" s="411" t="str">
        <f t="shared" ca="1" si="133"/>
        <v/>
      </c>
      <c r="AC71" s="411"/>
      <c r="AD71" s="412"/>
      <c r="AE71" s="273" t="str">
        <f t="shared" ca="1" si="134"/>
        <v/>
      </c>
      <c r="AF71" s="29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93" t="b">
        <f t="shared" ca="1" si="135"/>
        <v>1</v>
      </c>
      <c r="AH71" s="131" t="b">
        <f t="shared" ca="1" si="136"/>
        <v>1</v>
      </c>
    </row>
    <row r="72" spans="2:35" x14ac:dyDescent="0.4">
      <c r="B72" s="420"/>
      <c r="C72" s="421"/>
      <c r="D72" s="421"/>
      <c r="E72" s="421"/>
      <c r="F72" s="422" t="str">
        <f t="shared" ca="1" si="127"/>
        <v/>
      </c>
      <c r="G72" s="422"/>
      <c r="H72" s="42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423"/>
      <c r="J72" s="410" t="str">
        <f ca="1">IFERROR(VLOOKUP($B72,INDIRECT(CONCATENATE("'",成績管理表!$D$9,$L$39,"'!",$P$39)),$J$40,FALSE)&amp;"","")</f>
        <v/>
      </c>
      <c r="K72" s="410"/>
      <c r="L72" s="410" t="str">
        <f ca="1">IFERROR(VLOOKUP($B72,INDIRECT(CONCATENATE("'",成績管理表!$D$9,$L$39,"'!",$P$39)),$L$40,FALSE)&amp;"","")</f>
        <v/>
      </c>
      <c r="M72" s="410"/>
      <c r="N72" s="292" t="str">
        <f ca="1">IFERROR(VLOOKUP($B72,INDIRECT(CONCATENATE("'",成績管理表!$D$9,$L$39,"'!",$P$39)),$N$40,FALSE)&amp;"","")</f>
        <v/>
      </c>
      <c r="O72" s="292" t="str">
        <f ca="1">IFERROR(VLOOKUP($B72,INDIRECT(CONCATENATE("'",成績管理表!$D$9,$L$39,"'!",$P$39)),$O$40,FALSE)&amp;"","")</f>
        <v/>
      </c>
      <c r="P72" s="292" t="str">
        <f ca="1">IFERROR(VLOOKUP($B72,INDIRECT(CONCATENATE("'",成績管理表!$D$9,$L$39,"'!",$P$39)),$P$40,FALSE)&amp;"","")</f>
        <v/>
      </c>
      <c r="Q72" s="410" t="str">
        <f ca="1">IFERROR(VLOOKUP($B72,INDIRECT(CONCATENATE("'",成績管理表!$D$9,$L$39,"'!",$P$39)),$Q$40,FALSE)&amp;"","")</f>
        <v/>
      </c>
      <c r="R72" s="410"/>
      <c r="S72" s="129" t="str">
        <f ca="1">IFERROR(VLOOKUP($B72,INDIRECT(CONCATENATE("'",成績管理表!$D$9,$L$39,"'!",$P$39)),$S$40,FALSE),"")</f>
        <v/>
      </c>
      <c r="T72" s="110"/>
      <c r="U72" s="190" t="str">
        <f t="shared" si="128"/>
        <v/>
      </c>
      <c r="V72" s="130" t="str">
        <f ca="1">IFERROR(VLOOKUP($B72,INDIRECT(CONCATENATE("'",成績管理表!$D$9,$L$39,"'!",$P$39)),$V$40,FALSE)&amp;"","")</f>
        <v/>
      </c>
      <c r="W72" s="292" t="str">
        <f t="shared" ca="1" si="129"/>
        <v/>
      </c>
      <c r="X72" s="292" t="str">
        <f t="shared" ca="1" si="130"/>
        <v/>
      </c>
      <c r="Y72" s="292" t="str">
        <f t="shared" ca="1" si="131"/>
        <v/>
      </c>
      <c r="Z72" s="410" t="str">
        <f t="shared" ca="1" si="132"/>
        <v/>
      </c>
      <c r="AA72" s="410"/>
      <c r="AB72" s="411" t="str">
        <f t="shared" ca="1" si="133"/>
        <v/>
      </c>
      <c r="AC72" s="411"/>
      <c r="AD72" s="412"/>
      <c r="AE72" s="273" t="str">
        <f t="shared" ca="1" si="134"/>
        <v/>
      </c>
      <c r="AF72" s="29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93" t="b">
        <f t="shared" ca="1" si="135"/>
        <v>1</v>
      </c>
      <c r="AH72" s="131" t="b">
        <f t="shared" ca="1" si="136"/>
        <v>1</v>
      </c>
    </row>
    <row r="73" spans="2:35" ht="18.75" customHeight="1" thickBot="1" x14ac:dyDescent="0.45">
      <c r="B73" s="413"/>
      <c r="C73" s="414"/>
      <c r="D73" s="414"/>
      <c r="E73" s="414"/>
      <c r="F73" s="415" t="str">
        <f t="shared" ca="1" si="127"/>
        <v/>
      </c>
      <c r="G73" s="415"/>
      <c r="H73" s="416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416"/>
      <c r="J73" s="417" t="str">
        <f ca="1">IFERROR(VLOOKUP($B73,INDIRECT(CONCATENATE("'",成績管理表!$D$9,$L$39,"'!",$P$39)),$J$40,FALSE)&amp;"","")</f>
        <v/>
      </c>
      <c r="K73" s="417"/>
      <c r="L73" s="417" t="str">
        <f ca="1">IFERROR(VLOOKUP($B73,INDIRECT(CONCATENATE("'",成績管理表!$D$9,$L$39,"'!",$P$39)),$L$40,FALSE)&amp;"","")</f>
        <v/>
      </c>
      <c r="M73" s="417"/>
      <c r="N73" s="301" t="str">
        <f ca="1">IFERROR(VLOOKUP($B73,INDIRECT(CONCATENATE("'",成績管理表!$D$9,$L$39,"'!",$P$39)),$N$40,FALSE)&amp;"","")</f>
        <v/>
      </c>
      <c r="O73" s="301" t="str">
        <f ca="1">IFERROR(VLOOKUP($B73,INDIRECT(CONCATENATE("'",成績管理表!$D$9,$L$39,"'!",$P$39)),$O$40,FALSE)&amp;"","")</f>
        <v/>
      </c>
      <c r="P73" s="301" t="str">
        <f ca="1">IFERROR(VLOOKUP($B73,INDIRECT(CONCATENATE("'",成績管理表!$D$9,$L$39,"'!",$P$39)),$P$40,FALSE)&amp;"","")</f>
        <v/>
      </c>
      <c r="Q73" s="417" t="str">
        <f ca="1">IFERROR(VLOOKUP($B73,INDIRECT(CONCATENATE("'",成績管理表!$D$9,$L$39,"'!",$P$39)),$Q$40,FALSE)&amp;"","")</f>
        <v/>
      </c>
      <c r="R73" s="417"/>
      <c r="S73" s="133" t="str">
        <f ca="1">IFERROR(VLOOKUP($B73,INDIRECT(CONCATENATE("'",成績管理表!$D$9,$L$39,"'!",$P$39)),$S$40,FALSE),"")</f>
        <v/>
      </c>
      <c r="T73" s="111"/>
      <c r="U73" s="191" t="str">
        <f t="shared" si="128"/>
        <v/>
      </c>
      <c r="V73" s="134" t="str">
        <f ca="1">IFERROR(VLOOKUP($B73,INDIRECT(CONCATENATE("'",成績管理表!$D$9,$L$39,"'!",$P$39)),$V$40,FALSE)&amp;"","")</f>
        <v/>
      </c>
      <c r="W73" s="301" t="str">
        <f t="shared" ca="1" si="129"/>
        <v/>
      </c>
      <c r="X73" s="301" t="str">
        <f t="shared" ca="1" si="130"/>
        <v/>
      </c>
      <c r="Y73" s="301" t="str">
        <f t="shared" ca="1" si="131"/>
        <v/>
      </c>
      <c r="Z73" s="417" t="str">
        <f t="shared" ca="1" si="132"/>
        <v/>
      </c>
      <c r="AA73" s="417"/>
      <c r="AB73" s="418" t="str">
        <f t="shared" ca="1" si="133"/>
        <v/>
      </c>
      <c r="AC73" s="418"/>
      <c r="AD73" s="419"/>
      <c r="AE73" s="274" t="str">
        <f t="shared" ca="1" si="134"/>
        <v/>
      </c>
      <c r="AF73" s="300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00" t="b">
        <f t="shared" ca="1" si="135"/>
        <v>1</v>
      </c>
      <c r="AH73" s="131" t="b">
        <f t="shared" ca="1" si="136"/>
        <v>1</v>
      </c>
    </row>
    <row r="74" spans="2:35" ht="6.75" customHeight="1" x14ac:dyDescent="0.4">
      <c r="B74" s="291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291"/>
      <c r="AA74" s="291"/>
      <c r="AB74" s="291"/>
      <c r="AC74" s="291"/>
      <c r="AD74" s="291"/>
      <c r="AE74" s="291"/>
      <c r="AF74" s="291"/>
      <c r="AG74" s="291"/>
      <c r="AH74" s="291"/>
    </row>
  </sheetData>
  <sheetProtection algorithmName="SHA-512" hashValue="e4NhSLJcK3giOQFr3XawB7lMLSD+9EnE/IyeySPGIoc8Hk6GVPeEtqwPVX5M4qjEWWVhsZf4Nd7J2R96qIbnHQ==" saltValue="taLpGKEZFgflhmrvkQKw/w==" spinCount="100000" sheet="1" objects="1" scenarios="1"/>
  <mergeCells count="386">
    <mergeCell ref="B72:E72"/>
    <mergeCell ref="F72:G72"/>
    <mergeCell ref="H72:I72"/>
    <mergeCell ref="J72:K72"/>
    <mergeCell ref="L72:M72"/>
    <mergeCell ref="Q72:R72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0:E70"/>
    <mergeCell ref="F70:G70"/>
    <mergeCell ref="H70:I70"/>
    <mergeCell ref="J70:K70"/>
    <mergeCell ref="L70:M70"/>
    <mergeCell ref="Q70:R70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69:E69"/>
    <mergeCell ref="F69:G69"/>
    <mergeCell ref="H69:I69"/>
    <mergeCell ref="J69:K69"/>
    <mergeCell ref="L69:M69"/>
    <mergeCell ref="Q69:R69"/>
    <mergeCell ref="Z69:AA69"/>
    <mergeCell ref="AB69:AD69"/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D38:E38"/>
    <mergeCell ref="F38:G38"/>
    <mergeCell ref="H38:I38"/>
    <mergeCell ref="J38:K38"/>
    <mergeCell ref="L38:M38"/>
    <mergeCell ref="N38:O38"/>
    <mergeCell ref="P38:Q38"/>
    <mergeCell ref="R38:S38"/>
    <mergeCell ref="T26:V28"/>
    <mergeCell ref="T38:U38"/>
    <mergeCell ref="V38:W38"/>
    <mergeCell ref="X38:Y38"/>
    <mergeCell ref="Z38:AA38"/>
    <mergeCell ref="AB38:AD38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B38:C38"/>
    <mergeCell ref="T39:U39"/>
    <mergeCell ref="V39:W39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59:E59"/>
    <mergeCell ref="F59:G59"/>
    <mergeCell ref="H59:I59"/>
    <mergeCell ref="J59:K59"/>
    <mergeCell ref="L59:M59"/>
    <mergeCell ref="Q59:R59"/>
    <mergeCell ref="Z59:AA59"/>
    <mergeCell ref="AB59:AD59"/>
    <mergeCell ref="B48:E48"/>
    <mergeCell ref="F48:G48"/>
    <mergeCell ref="H48:I48"/>
    <mergeCell ref="J48:K48"/>
    <mergeCell ref="L48:M48"/>
    <mergeCell ref="Q48:R48"/>
    <mergeCell ref="B49:E49"/>
    <mergeCell ref="F49:G49"/>
    <mergeCell ref="H49:I49"/>
    <mergeCell ref="J49:K49"/>
    <mergeCell ref="L49:M49"/>
    <mergeCell ref="Q49:R49"/>
    <mergeCell ref="Z49:AA49"/>
    <mergeCell ref="AB49:AD49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8:AA68"/>
    <mergeCell ref="AB68:AD68"/>
    <mergeCell ref="B68:E68"/>
    <mergeCell ref="F68:G68"/>
    <mergeCell ref="H68:I68"/>
    <mergeCell ref="J68:K68"/>
    <mergeCell ref="L68:M68"/>
    <mergeCell ref="Q68:R68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B50:E50"/>
    <mergeCell ref="F50:G50"/>
    <mergeCell ref="H50:I50"/>
    <mergeCell ref="J50:K50"/>
    <mergeCell ref="L50:M50"/>
    <mergeCell ref="Q50:R50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2:E52"/>
    <mergeCell ref="F52:G52"/>
    <mergeCell ref="H52:I52"/>
    <mergeCell ref="J52:K52"/>
    <mergeCell ref="L52:M52"/>
    <mergeCell ref="Q52:R52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AB57:AD57"/>
    <mergeCell ref="B54:E54"/>
    <mergeCell ref="F54:G54"/>
    <mergeCell ref="H54:I54"/>
    <mergeCell ref="J54:K54"/>
    <mergeCell ref="L54:M54"/>
    <mergeCell ref="Q54:R54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8:E58"/>
    <mergeCell ref="F58:G58"/>
    <mergeCell ref="H58:I58"/>
    <mergeCell ref="J58:K58"/>
    <mergeCell ref="L58:M58"/>
    <mergeCell ref="Q58:R58"/>
    <mergeCell ref="Z58:AA58"/>
    <mergeCell ref="AB58:AD58"/>
    <mergeCell ref="AE37:AH37"/>
    <mergeCell ref="B56:E56"/>
    <mergeCell ref="F56:G56"/>
    <mergeCell ref="H56:I56"/>
    <mergeCell ref="J56:K56"/>
    <mergeCell ref="L56:M56"/>
    <mergeCell ref="Q56:R56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</mergeCells>
  <phoneticPr fontId="5"/>
  <conditionalFormatting sqref="W44:W73">
    <cfRule type="expression" dxfId="56" priority="5">
      <formula>$AG44=FALSE</formula>
    </cfRule>
  </conditionalFormatting>
  <conditionalFormatting sqref="D9:R9 D14:R14 D19:R19 D24:R24 D29:R29">
    <cfRule type="expression" dxfId="55" priority="4">
      <formula>F10="重複あり"</formula>
    </cfRule>
  </conditionalFormatting>
  <conditionalFormatting sqref="D6:R8 D11:R13 D16:R18 D21:R23 D26:R28">
    <cfRule type="expression" dxfId="54" priority="3">
      <formula>F10="重複あり"</formula>
    </cfRule>
  </conditionalFormatting>
  <conditionalFormatting sqref="X44:Y73">
    <cfRule type="expression" dxfId="53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27FCA8A7-E61B-4AB2-B123-0CECEA300D3D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5F871BC2-ED52-416C-A6C5-192E25FB0206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8A853868-DA58-433D-AD67-5B0D0643B6C6}">
      <formula1>"秀,優,良,可,不可"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19A11-8DBF-4EFD-9284-DBA84D50D503}">
  <sheetPr>
    <tabColor theme="8" tint="0.79998168889431442"/>
  </sheetPr>
  <dimension ref="A1:AK74"/>
  <sheetViews>
    <sheetView zoomScale="84" zoomScaleNormal="85" workbookViewId="0">
      <selection activeCell="B44" sqref="B44:E59"/>
    </sheetView>
  </sheetViews>
  <sheetFormatPr defaultColWidth="0" defaultRowHeight="0" customHeight="1" zeroHeight="1" x14ac:dyDescent="0.4"/>
  <cols>
    <col min="1" max="1" width="1.25" style="291" customWidth="1"/>
    <col min="2" max="30" width="8.625" style="95" customWidth="1"/>
    <col min="31" max="34" width="11.25" style="95" hidden="1" customWidth="1"/>
    <col min="35" max="35" width="1.25" style="291" customWidth="1"/>
    <col min="36" max="36" width="8.625" style="275" hidden="1" customWidth="1"/>
    <col min="37" max="37" width="9.125" style="275" hidden="1" customWidth="1"/>
    <col min="38" max="16384" width="8.625" style="275" hidden="1"/>
  </cols>
  <sheetData>
    <row r="1" spans="1:35" ht="7.5" customHeight="1" x14ac:dyDescent="0.4"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</row>
    <row r="2" spans="1:35" s="276" customFormat="1" ht="30" customHeight="1" x14ac:dyDescent="0.4">
      <c r="A2" s="70"/>
      <c r="B2" s="524" t="str">
        <f ca="1">"　"&amp;RIGHT(CELL("filename",A1),LEN(CELL("filename",A1))-FIND("]",CELL("filename",A1)))&amp;"　時間割表"</f>
        <v>　１年秋　時間割表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299"/>
      <c r="AD2" s="70"/>
      <c r="AE2" s="70"/>
      <c r="AF2" s="70"/>
      <c r="AG2" s="70"/>
      <c r="AH2" s="70"/>
      <c r="AI2" s="70"/>
    </row>
    <row r="3" spans="1:35" s="276" customFormat="1" ht="18.95" customHeight="1" x14ac:dyDescent="0.4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211" t="s">
        <v>707</v>
      </c>
      <c r="AA3" s="480">
        <f ca="1">NOW()</f>
        <v>43958.619198726854</v>
      </c>
      <c r="AB3" s="480"/>
      <c r="AC3" s="299"/>
      <c r="AD3" s="70"/>
      <c r="AE3" s="70"/>
      <c r="AF3" s="70"/>
      <c r="AG3" s="70"/>
      <c r="AH3" s="70"/>
      <c r="AI3" s="70"/>
    </row>
    <row r="4" spans="1:35" s="276" customFormat="1" ht="18.95" customHeight="1" thickBot="1" x14ac:dyDescent="0.4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211"/>
      <c r="AB4" s="299"/>
      <c r="AC4" s="299"/>
      <c r="AD4" s="70"/>
      <c r="AE4" s="70"/>
      <c r="AF4" s="70"/>
      <c r="AG4" s="70"/>
      <c r="AH4" s="70"/>
      <c r="AI4" s="70"/>
    </row>
    <row r="5" spans="1:35" s="277" customFormat="1" ht="18.95" customHeight="1" thickBot="1" x14ac:dyDescent="0.45">
      <c r="A5" s="68"/>
      <c r="B5" s="525"/>
      <c r="C5" s="526"/>
      <c r="D5" s="527" t="s">
        <v>988</v>
      </c>
      <c r="E5" s="528"/>
      <c r="F5" s="529"/>
      <c r="G5" s="527" t="s">
        <v>989</v>
      </c>
      <c r="H5" s="528"/>
      <c r="I5" s="529"/>
      <c r="J5" s="527" t="s">
        <v>990</v>
      </c>
      <c r="K5" s="528"/>
      <c r="L5" s="529"/>
      <c r="M5" s="527" t="s">
        <v>991</v>
      </c>
      <c r="N5" s="528"/>
      <c r="O5" s="529"/>
      <c r="P5" s="527" t="s">
        <v>992</v>
      </c>
      <c r="Q5" s="528"/>
      <c r="R5" s="529"/>
      <c r="S5" s="71"/>
      <c r="T5" s="530" t="s">
        <v>987</v>
      </c>
      <c r="U5" s="531"/>
      <c r="V5" s="532"/>
      <c r="W5" s="530" t="s">
        <v>2189</v>
      </c>
      <c r="X5" s="531"/>
      <c r="Y5" s="532"/>
      <c r="Z5" s="68"/>
      <c r="AA5" s="68"/>
      <c r="AB5" s="68"/>
      <c r="AC5" s="68"/>
      <c r="AD5" s="68"/>
      <c r="AE5" s="112"/>
      <c r="AF5" s="112"/>
      <c r="AG5" s="112"/>
      <c r="AH5" s="119"/>
      <c r="AI5" s="68"/>
    </row>
    <row r="6" spans="1:35" s="278" customFormat="1" ht="18.95" customHeight="1" x14ac:dyDescent="0.4">
      <c r="A6" s="72"/>
      <c r="B6" s="522">
        <v>1</v>
      </c>
      <c r="C6" s="523"/>
      <c r="D6" s="506" t="str">
        <f ca="1">IFERROR(IF(F10="ターム",INDIRECT($D$42&amp;D10)&amp;CHAR(10)&amp;INDIRECT($D$42&amp;E10),INDIRECT($D$42&amp;D10)),"")</f>
        <v/>
      </c>
      <c r="E6" s="507"/>
      <c r="F6" s="508"/>
      <c r="G6" s="506" t="str">
        <f t="shared" ref="G6" ca="1" si="0">IFERROR(IF(I10="ターム",INDIRECT($D$42&amp;G10)&amp;CHAR(10)&amp;INDIRECT($D$42&amp;H10),INDIRECT($D$42&amp;G10)),"")</f>
        <v/>
      </c>
      <c r="H6" s="507"/>
      <c r="I6" s="508"/>
      <c r="J6" s="506" t="str">
        <f t="shared" ref="J6" ca="1" si="1">IFERROR(IF(L10="ターム",INDIRECT($D$42&amp;J10)&amp;CHAR(10)&amp;INDIRECT($D$42&amp;K10),INDIRECT($D$42&amp;J10)),"")</f>
        <v/>
      </c>
      <c r="K6" s="507"/>
      <c r="L6" s="508"/>
      <c r="M6" s="506" t="str">
        <f t="shared" ref="M6" ca="1" si="2">IFERROR(IF(O10="ターム",INDIRECT($D$42&amp;M10)&amp;CHAR(10)&amp;INDIRECT($D$42&amp;N10),INDIRECT($D$42&amp;M10)),"")</f>
        <v/>
      </c>
      <c r="N6" s="507"/>
      <c r="O6" s="508"/>
      <c r="P6" s="506" t="str">
        <f t="shared" ref="P6" ca="1" si="3">IFERROR(IF(R10="ターム",INDIRECT($D$42&amp;P10)&amp;CHAR(10)&amp;INDIRECT($D$42&amp;Q10),INDIRECT($D$42&amp;P10)),"")</f>
        <v/>
      </c>
      <c r="Q6" s="507"/>
      <c r="R6" s="508"/>
      <c r="S6" s="72"/>
      <c r="T6" s="506" t="str">
        <f ca="1">IFERROR(IF(V10="ターム",INDIRECT($D$42&amp;T10)&amp;CHAR(10)&amp;INDIRECT($D$42&amp;U10),INDIRECT($D$42&amp;T10)),"")</f>
        <v/>
      </c>
      <c r="U6" s="507"/>
      <c r="V6" s="508"/>
      <c r="W6" s="506" t="str">
        <f ca="1">IFERROR(IF(Y10="ターム",INDIRECT($D$42&amp;W10)&amp;CHAR(10)&amp;INDIRECT($D$42&amp;X10),INDIRECT($D$42&amp;W10)),"")</f>
        <v/>
      </c>
      <c r="X6" s="507"/>
      <c r="Y6" s="508"/>
      <c r="Z6" s="72"/>
      <c r="AA6" s="72"/>
      <c r="AB6" s="72"/>
      <c r="AC6" s="72"/>
      <c r="AD6" s="72"/>
      <c r="AE6" s="113"/>
      <c r="AF6" s="113"/>
      <c r="AG6" s="113"/>
      <c r="AH6" s="358"/>
      <c r="AI6" s="72"/>
    </row>
    <row r="7" spans="1:35" s="278" customFormat="1" ht="18.95" customHeight="1" x14ac:dyDescent="0.4">
      <c r="A7" s="72"/>
      <c r="B7" s="502"/>
      <c r="C7" s="503"/>
      <c r="D7" s="509"/>
      <c r="E7" s="510"/>
      <c r="F7" s="511"/>
      <c r="G7" s="509"/>
      <c r="H7" s="510"/>
      <c r="I7" s="511"/>
      <c r="J7" s="509"/>
      <c r="K7" s="510"/>
      <c r="L7" s="511"/>
      <c r="M7" s="509"/>
      <c r="N7" s="510"/>
      <c r="O7" s="511"/>
      <c r="P7" s="509"/>
      <c r="Q7" s="510"/>
      <c r="R7" s="511"/>
      <c r="S7" s="72"/>
      <c r="T7" s="509"/>
      <c r="U7" s="510"/>
      <c r="V7" s="511"/>
      <c r="W7" s="509"/>
      <c r="X7" s="510"/>
      <c r="Y7" s="511"/>
      <c r="Z7" s="72"/>
      <c r="AA7" s="72"/>
      <c r="AB7" s="72"/>
      <c r="AC7" s="72"/>
      <c r="AD7" s="72"/>
      <c r="AE7" s="113"/>
      <c r="AF7" s="113"/>
      <c r="AG7" s="113"/>
      <c r="AH7" s="358"/>
      <c r="AI7" s="72"/>
    </row>
    <row r="8" spans="1:35" s="279" customFormat="1" ht="18.95" customHeight="1" x14ac:dyDescent="0.4">
      <c r="A8" s="114"/>
      <c r="B8" s="504"/>
      <c r="C8" s="505"/>
      <c r="D8" s="509"/>
      <c r="E8" s="510"/>
      <c r="F8" s="511"/>
      <c r="G8" s="509"/>
      <c r="H8" s="510"/>
      <c r="I8" s="511"/>
      <c r="J8" s="509"/>
      <c r="K8" s="510"/>
      <c r="L8" s="511"/>
      <c r="M8" s="509"/>
      <c r="N8" s="510"/>
      <c r="O8" s="511"/>
      <c r="P8" s="509"/>
      <c r="Q8" s="510"/>
      <c r="R8" s="511"/>
      <c r="S8" s="114"/>
      <c r="T8" s="509"/>
      <c r="U8" s="510"/>
      <c r="V8" s="511"/>
      <c r="W8" s="509"/>
      <c r="X8" s="510"/>
      <c r="Y8" s="511"/>
      <c r="Z8" s="114"/>
      <c r="AA8" s="114"/>
      <c r="AB8" s="114"/>
      <c r="AC8" s="114"/>
      <c r="AD8" s="114"/>
      <c r="AE8" s="115"/>
      <c r="AF8" s="115"/>
      <c r="AG8" s="115"/>
      <c r="AH8" s="359"/>
      <c r="AI8" s="114"/>
    </row>
    <row r="9" spans="1:35" s="278" customFormat="1" ht="18.95" customHeight="1" thickBot="1" x14ac:dyDescent="0.45">
      <c r="A9" s="72"/>
      <c r="B9" s="520" t="s">
        <v>982</v>
      </c>
      <c r="C9" s="521"/>
      <c r="D9" s="497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8"/>
      <c r="F9" s="499"/>
      <c r="G9" s="497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8"/>
      <c r="I9" s="499"/>
      <c r="J9" s="497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8"/>
      <c r="L9" s="499"/>
      <c r="M9" s="497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8"/>
      <c r="O9" s="499"/>
      <c r="P9" s="497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8"/>
      <c r="R9" s="499"/>
      <c r="S9" s="72"/>
      <c r="T9" s="497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8"/>
      <c r="V9" s="499"/>
      <c r="W9" s="497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8"/>
      <c r="Y9" s="499"/>
      <c r="Z9" s="72"/>
      <c r="AA9" s="72"/>
      <c r="AB9" s="72"/>
      <c r="AC9" s="72"/>
      <c r="AD9" s="72"/>
      <c r="AE9" s="113"/>
      <c r="AF9" s="113"/>
      <c r="AG9" s="113"/>
      <c r="AH9" s="358"/>
      <c r="AI9" s="72"/>
    </row>
    <row r="10" spans="1:35" s="278" customFormat="1" ht="18.95" hidden="1" customHeight="1" thickBot="1" x14ac:dyDescent="0.45">
      <c r="A10" s="72"/>
      <c r="B10" s="116" t="s">
        <v>2180</v>
      </c>
      <c r="C10" s="117" t="s">
        <v>2181</v>
      </c>
      <c r="D10" s="209" t="str">
        <f ca="1">IFERROR($AF$39+MATCH("*"&amp;D$5&amp;$B6&amp;"-1"&amp;"*",INDIRECT("$"&amp;$W$42&amp;$AF$39&amp;":"&amp;$W$42&amp;$AF$40),0)-1,"ー")</f>
        <v>ー</v>
      </c>
      <c r="E10" s="216" t="str">
        <f ca="1">IFERROR($AF$39+MATCH("*"&amp;D$5&amp;$B6&amp;"-2"&amp;"*",INDIRECT("$"&amp;$W$42&amp;$AF$39&amp;":"&amp;$W$42&amp;$AF$40),0)-1,"ー")</f>
        <v>ー</v>
      </c>
      <c r="F10" s="210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209" t="str">
        <f t="shared" ref="G10" ca="1" si="8">IFERROR($AF$39+MATCH("*"&amp;G$5&amp;$B6&amp;"-1"&amp;"*",INDIRECT("$"&amp;$W$42&amp;$AF$39&amp;":"&amp;$W$42&amp;$AF$40),0)-1,"ー")</f>
        <v>ー</v>
      </c>
      <c r="H10" s="216" t="str">
        <f t="shared" ref="H10" ca="1" si="9">IFERROR($AF$39+MATCH("*"&amp;G$5&amp;$B6&amp;"-2"&amp;"*",INDIRECT("$"&amp;$W$42&amp;$AF$39&amp;":"&amp;$W$42&amp;$AF$40),0)-1,"ー")</f>
        <v>ー</v>
      </c>
      <c r="I10" s="210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209" t="str">
        <f t="shared" ref="J10" ca="1" si="11">IFERROR($AF$39+MATCH("*"&amp;J$5&amp;$B6&amp;"-1"&amp;"*",INDIRECT("$"&amp;$W$42&amp;$AF$39&amp;":"&amp;$W$42&amp;$AF$40),0)-1,"ー")</f>
        <v>ー</v>
      </c>
      <c r="K10" s="216" t="str">
        <f t="shared" ref="K10" ca="1" si="12">IFERROR($AF$39+MATCH("*"&amp;J$5&amp;$B6&amp;"-2"&amp;"*",INDIRECT("$"&amp;$W$42&amp;$AF$39&amp;":"&amp;$W$42&amp;$AF$40),0)-1,"ー")</f>
        <v>ー</v>
      </c>
      <c r="L10" s="210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209" t="str">
        <f t="shared" ref="M10" ca="1" si="14">IFERROR($AF$39+MATCH("*"&amp;M$5&amp;$B6&amp;"-1"&amp;"*",INDIRECT("$"&amp;$W$42&amp;$AF$39&amp;":"&amp;$W$42&amp;$AF$40),0)-1,"ー")</f>
        <v>ー</v>
      </c>
      <c r="N10" s="216" t="str">
        <f t="shared" ref="N10" ca="1" si="15">IFERROR($AF$39+MATCH("*"&amp;M$5&amp;$B6&amp;"-2"&amp;"*",INDIRECT("$"&amp;$W$42&amp;$AF$39&amp;":"&amp;$W$42&amp;$AF$40),0)-1,"ー")</f>
        <v>ー</v>
      </c>
      <c r="O10" s="210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209" t="str">
        <f t="shared" ref="P10" ca="1" si="17">IFERROR($AF$39+MATCH("*"&amp;P$5&amp;$B6&amp;"-1"&amp;"*",INDIRECT("$"&amp;$W$42&amp;$AF$39&amp;":"&amp;$W$42&amp;$AF$40),0)-1,"ー")</f>
        <v>ー</v>
      </c>
      <c r="Q10" s="216" t="str">
        <f t="shared" ref="Q10" ca="1" si="18">IFERROR($AF$39+MATCH("*"&amp;P$5&amp;$B6&amp;"-2"&amp;"*",INDIRECT("$"&amp;$W$42&amp;$AF$39&amp;":"&amp;$W$42&amp;$AF$40),0)-1,"ー")</f>
        <v>ー</v>
      </c>
      <c r="R10" s="210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72"/>
      <c r="T10" s="209" t="str">
        <f ca="1">IFERROR($AF$39+MATCH(T$5&amp;"-"&amp;$B6,INDIRECT("$"&amp;$W$42&amp;$AF$39&amp;":"&amp;$W$42&amp;$AF$40),0)-1,"ー")</f>
        <v>ー</v>
      </c>
      <c r="U10" s="216" t="str">
        <f ca="1">IFERROR($AF$39+MATCH(T$5&amp;"-"&amp;(VALUE($B6)+5),INDIRECT("$"&amp;$W$42&amp;$AF$39&amp;":"&amp;$W$42&amp;$AF$40),0)-1,"ー")</f>
        <v>ー</v>
      </c>
      <c r="V10" s="210" t="str">
        <f ca="1">IF(U10="ー",
"重複なし",
IF(AND(T10&lt;&gt;"ー",U10&lt;&gt;"ー"),"ターム","重複あり")
)</f>
        <v>重複なし</v>
      </c>
      <c r="W10" s="209" t="str">
        <f ca="1">IFERROR($AF$39+MATCH(W$5&amp;"-"&amp;$B6,INDIRECT("$"&amp;$W$42&amp;$AF$39&amp;":"&amp;$W$42&amp;$AF$40),0)-1,"ー")</f>
        <v>ー</v>
      </c>
      <c r="X10" s="216" t="str">
        <f ca="1">IFERROR($AF$39+MATCH(W$5&amp;"-"&amp;(VALUE($B6)+5),INDIRECT("$"&amp;$W$42&amp;$AF$39&amp;":"&amp;$W$42&amp;$AF$40),0)-1,"ー")</f>
        <v>ー</v>
      </c>
      <c r="Y10" s="210" t="str">
        <f ca="1">IF(X10="ー",
"重複なし",
IF(AND(W10&lt;&gt;"ー",X10&lt;&gt;"ー"),"ターム","重複あり")
)</f>
        <v>重複なし</v>
      </c>
      <c r="Z10" s="72"/>
      <c r="AA10" s="72"/>
      <c r="AB10" s="72"/>
      <c r="AC10" s="72"/>
      <c r="AD10" s="72"/>
      <c r="AE10" s="113"/>
      <c r="AF10" s="113"/>
      <c r="AG10" s="113"/>
      <c r="AH10" s="358"/>
      <c r="AI10" s="72"/>
    </row>
    <row r="11" spans="1:35" s="278" customFormat="1" ht="18.95" customHeight="1" x14ac:dyDescent="0.4">
      <c r="A11" s="72"/>
      <c r="B11" s="500">
        <v>2</v>
      </c>
      <c r="C11" s="501"/>
      <c r="D11" s="506" t="str">
        <f t="shared" ref="D11" ca="1" si="20">IFERROR(IF(F15="ターム",INDIRECT($D$42&amp;D15)&amp;CHAR(10)&amp;INDIRECT($D$42&amp;E15),INDIRECT($D$42&amp;D15)),"")</f>
        <v/>
      </c>
      <c r="E11" s="507"/>
      <c r="F11" s="508"/>
      <c r="G11" s="506" t="str">
        <f t="shared" ref="G11" ca="1" si="21">IFERROR(IF(I15="ターム",INDIRECT($D$42&amp;G15)&amp;CHAR(10)&amp;INDIRECT($D$42&amp;H15),INDIRECT($D$42&amp;G15)),"")</f>
        <v/>
      </c>
      <c r="H11" s="507"/>
      <c r="I11" s="508"/>
      <c r="J11" s="506" t="str">
        <f t="shared" ref="J11" ca="1" si="22">IFERROR(IF(L15="ターム",INDIRECT($D$42&amp;J15)&amp;CHAR(10)&amp;INDIRECT($D$42&amp;K15),INDIRECT($D$42&amp;J15)),"")</f>
        <v/>
      </c>
      <c r="K11" s="507"/>
      <c r="L11" s="508"/>
      <c r="M11" s="506" t="str">
        <f t="shared" ref="M11" ca="1" si="23">IFERROR(IF(O15="ターム",INDIRECT($D$42&amp;M15)&amp;CHAR(10)&amp;INDIRECT($D$42&amp;N15),INDIRECT($D$42&amp;M15)),"")</f>
        <v/>
      </c>
      <c r="N11" s="507"/>
      <c r="O11" s="508"/>
      <c r="P11" s="506" t="str">
        <f t="shared" ref="P11" ca="1" si="24">IFERROR(IF(R15="ターム",INDIRECT($D$42&amp;P15)&amp;CHAR(10)&amp;INDIRECT($D$42&amp;Q15),INDIRECT($D$42&amp;P15)),"")</f>
        <v/>
      </c>
      <c r="Q11" s="507"/>
      <c r="R11" s="508"/>
      <c r="S11" s="72"/>
      <c r="T11" s="506" t="str">
        <f ca="1">IFERROR(IF(V15="ターム",INDIRECT($D$42&amp;T15)&amp;CHAR(10)&amp;INDIRECT($D$42&amp;U15),INDIRECT($D$42&amp;T15)),"")</f>
        <v/>
      </c>
      <c r="U11" s="507"/>
      <c r="V11" s="508"/>
      <c r="W11" s="506" t="str">
        <f t="shared" ref="W11" ca="1" si="25">IFERROR(IF(Y15="ターム",INDIRECT($D$42&amp;W15)&amp;CHAR(10)&amp;INDIRECT($D$42&amp;X15),INDIRECT($D$42&amp;W15)),"")</f>
        <v/>
      </c>
      <c r="X11" s="507"/>
      <c r="Y11" s="508"/>
      <c r="Z11" s="72"/>
      <c r="AA11" s="72"/>
      <c r="AB11" s="72"/>
      <c r="AC11" s="72"/>
      <c r="AD11" s="72"/>
      <c r="AE11" s="113"/>
      <c r="AF11" s="113"/>
      <c r="AG11" s="113"/>
      <c r="AH11" s="358"/>
      <c r="AI11" s="72"/>
    </row>
    <row r="12" spans="1:35" s="279" customFormat="1" ht="18.95" customHeight="1" x14ac:dyDescent="0.4">
      <c r="A12" s="114"/>
      <c r="B12" s="502"/>
      <c r="C12" s="503"/>
      <c r="D12" s="509"/>
      <c r="E12" s="510"/>
      <c r="F12" s="511"/>
      <c r="G12" s="509"/>
      <c r="H12" s="510"/>
      <c r="I12" s="511"/>
      <c r="J12" s="509"/>
      <c r="K12" s="510"/>
      <c r="L12" s="511"/>
      <c r="M12" s="509"/>
      <c r="N12" s="510"/>
      <c r="O12" s="511"/>
      <c r="P12" s="509"/>
      <c r="Q12" s="510"/>
      <c r="R12" s="511"/>
      <c r="S12" s="114"/>
      <c r="T12" s="509"/>
      <c r="U12" s="510"/>
      <c r="V12" s="511"/>
      <c r="W12" s="509"/>
      <c r="X12" s="510"/>
      <c r="Y12" s="511"/>
      <c r="Z12" s="114"/>
      <c r="AA12" s="114"/>
      <c r="AB12" s="114"/>
      <c r="AC12" s="114"/>
      <c r="AD12" s="114"/>
      <c r="AE12" s="115"/>
      <c r="AF12" s="115"/>
      <c r="AG12" s="115"/>
      <c r="AH12" s="359"/>
      <c r="AI12" s="114"/>
    </row>
    <row r="13" spans="1:35" s="278" customFormat="1" ht="18.95" customHeight="1" x14ac:dyDescent="0.4">
      <c r="A13" s="72"/>
      <c r="B13" s="504"/>
      <c r="C13" s="505"/>
      <c r="D13" s="509"/>
      <c r="E13" s="510"/>
      <c r="F13" s="511"/>
      <c r="G13" s="509"/>
      <c r="H13" s="510"/>
      <c r="I13" s="511"/>
      <c r="J13" s="509"/>
      <c r="K13" s="510"/>
      <c r="L13" s="511"/>
      <c r="M13" s="509"/>
      <c r="N13" s="510"/>
      <c r="O13" s="511"/>
      <c r="P13" s="509"/>
      <c r="Q13" s="510"/>
      <c r="R13" s="511"/>
      <c r="S13" s="72"/>
      <c r="T13" s="509"/>
      <c r="U13" s="510"/>
      <c r="V13" s="511"/>
      <c r="W13" s="509"/>
      <c r="X13" s="510"/>
      <c r="Y13" s="511"/>
      <c r="Z13" s="72"/>
      <c r="AA13" s="72"/>
      <c r="AB13" s="72"/>
      <c r="AC13" s="72"/>
      <c r="AD13" s="72"/>
      <c r="AE13" s="113"/>
      <c r="AF13" s="113"/>
      <c r="AG13" s="113"/>
      <c r="AH13" s="358"/>
      <c r="AI13" s="72"/>
    </row>
    <row r="14" spans="1:35" s="278" customFormat="1" ht="18.95" customHeight="1" thickBot="1" x14ac:dyDescent="0.45">
      <c r="A14" s="72"/>
      <c r="B14" s="495" t="s">
        <v>983</v>
      </c>
      <c r="C14" s="496"/>
      <c r="D14" s="497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8"/>
      <c r="F14" s="499"/>
      <c r="G14" s="497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8"/>
      <c r="I14" s="499"/>
      <c r="J14" s="497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8"/>
      <c r="L14" s="499"/>
      <c r="M14" s="497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8"/>
      <c r="O14" s="499"/>
      <c r="P14" s="497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8"/>
      <c r="R14" s="499"/>
      <c r="S14" s="72"/>
      <c r="T14" s="497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8"/>
      <c r="V14" s="499"/>
      <c r="W14" s="497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8"/>
      <c r="Y14" s="499"/>
      <c r="Z14" s="72"/>
      <c r="AA14" s="72"/>
      <c r="AB14" s="72"/>
      <c r="AC14" s="72"/>
      <c r="AD14" s="72"/>
      <c r="AE14" s="113"/>
      <c r="AF14" s="113"/>
      <c r="AG14" s="113"/>
      <c r="AH14" s="358"/>
      <c r="AI14" s="72"/>
    </row>
    <row r="15" spans="1:35" s="278" customFormat="1" ht="18.95" hidden="1" customHeight="1" thickBot="1" x14ac:dyDescent="0.45">
      <c r="A15" s="72"/>
      <c r="B15" s="116" t="s">
        <v>2180</v>
      </c>
      <c r="C15" s="117" t="s">
        <v>2181</v>
      </c>
      <c r="D15" s="209" t="str">
        <f t="shared" ref="D15" ca="1" si="31">IFERROR($AF$39+MATCH("*"&amp;D$5&amp;$B11&amp;"-1"&amp;"*",INDIRECT("$"&amp;$W$42&amp;$AF$39&amp;":"&amp;$W$42&amp;$AF$40),0)-1,"ー")</f>
        <v>ー</v>
      </c>
      <c r="E15" s="216" t="str">
        <f t="shared" ref="E15" ca="1" si="32">IFERROR($AF$39+MATCH("*"&amp;D$5&amp;$B11&amp;"-2"&amp;"*",INDIRECT("$"&amp;$W$42&amp;$AF$39&amp;":"&amp;$W$42&amp;$AF$40),0)-1,"ー")</f>
        <v>ー</v>
      </c>
      <c r="F15" s="210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209" t="str">
        <f t="shared" ref="G15:P15" ca="1" si="34">IFERROR($AF$39+MATCH("*"&amp;G$5&amp;$B11&amp;"-1"&amp;"*",INDIRECT("$"&amp;$W$42&amp;$AF$39&amp;":"&amp;$W$42&amp;$AF$40),0)-1,"ー")</f>
        <v>ー</v>
      </c>
      <c r="H15" s="216" t="str">
        <f t="shared" ref="H15:Q15" ca="1" si="35">IFERROR($AF$39+MATCH("*"&amp;G$5&amp;$B11&amp;"-2"&amp;"*",INDIRECT("$"&amp;$W$42&amp;$AF$39&amp;":"&amp;$W$42&amp;$AF$40),0)-1,"ー")</f>
        <v>ー</v>
      </c>
      <c r="I15" s="210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209" t="str">
        <f t="shared" ca="1" si="34"/>
        <v>ー</v>
      </c>
      <c r="K15" s="216" t="str">
        <f t="shared" ca="1" si="35"/>
        <v>ー</v>
      </c>
      <c r="L15" s="210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209" t="str">
        <f t="shared" ca="1" si="34"/>
        <v>ー</v>
      </c>
      <c r="N15" s="216" t="str">
        <f t="shared" ca="1" si="35"/>
        <v>ー</v>
      </c>
      <c r="O15" s="210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209" t="str">
        <f t="shared" ca="1" si="34"/>
        <v>ー</v>
      </c>
      <c r="Q15" s="216" t="str">
        <f t="shared" ca="1" si="35"/>
        <v>ー</v>
      </c>
      <c r="R15" s="210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72"/>
      <c r="T15" s="209" t="str">
        <f t="shared" ref="T15" ca="1" si="40">IFERROR($AF$39+MATCH(T$5&amp;"-"&amp;$B11,INDIRECT("$"&amp;$W$42&amp;$AF$39&amp;":"&amp;$W$42&amp;$AF$40),0)-1,"ー")</f>
        <v>ー</v>
      </c>
      <c r="U15" s="216" t="str">
        <f t="shared" ref="U15" ca="1" si="41">IFERROR($AF$39+MATCH(T$5&amp;"-"&amp;(VALUE($B11)+5),INDIRECT("$"&amp;$W$42&amp;$AF$39&amp;":"&amp;$W$42&amp;$AF$40),0)-1,"ー")</f>
        <v>ー</v>
      </c>
      <c r="V15" s="210" t="str">
        <f t="shared" ref="V15" ca="1" si="42">IF(U15="ー",
"重複なし",
IF(AND(T15&lt;&gt;"ー",U15&lt;&gt;"ー"),"ターム","重複あり")
)</f>
        <v>重複なし</v>
      </c>
      <c r="W15" s="209" t="str">
        <f t="shared" ref="W15" ca="1" si="43">IFERROR($AF$39+MATCH(W$5&amp;"-"&amp;$B11,INDIRECT("$"&amp;$W$42&amp;$AF$39&amp;":"&amp;$W$42&amp;$AF$40),0)-1,"ー")</f>
        <v>ー</v>
      </c>
      <c r="X15" s="216" t="str">
        <f t="shared" ref="X15" ca="1" si="44">IFERROR($AF$39+MATCH(W$5&amp;"-"&amp;(VALUE($B11)+5),INDIRECT("$"&amp;$W$42&amp;$AF$39&amp;":"&amp;$W$42&amp;$AF$40),0)-1,"ー")</f>
        <v>ー</v>
      </c>
      <c r="Y15" s="210" t="str">
        <f t="shared" ref="Y15" ca="1" si="45">IF(X15="ー",
"重複なし",
IF(AND(W15&lt;&gt;"ー",X15&lt;&gt;"ー"),"ターム","重複あり")
)</f>
        <v>重複なし</v>
      </c>
      <c r="Z15" s="72"/>
      <c r="AA15" s="72"/>
      <c r="AB15" s="72"/>
      <c r="AC15" s="72"/>
      <c r="AD15" s="72"/>
      <c r="AE15" s="113"/>
      <c r="AF15" s="113"/>
      <c r="AG15" s="113"/>
      <c r="AH15" s="358"/>
      <c r="AI15" s="72"/>
    </row>
    <row r="16" spans="1:35" s="279" customFormat="1" ht="18.95" customHeight="1" x14ac:dyDescent="0.4">
      <c r="A16" s="114"/>
      <c r="B16" s="500">
        <v>3</v>
      </c>
      <c r="C16" s="501"/>
      <c r="D16" s="506" t="str">
        <f t="shared" ref="D16" ca="1" si="46">IFERROR(IF(F20="ターム",INDIRECT($D$42&amp;D20)&amp;CHAR(10)&amp;INDIRECT($D$42&amp;E20),INDIRECT($D$42&amp;D20)),"")</f>
        <v/>
      </c>
      <c r="E16" s="507"/>
      <c r="F16" s="508"/>
      <c r="G16" s="506" t="str">
        <f t="shared" ref="G16" ca="1" si="47">IFERROR(IF(I20="ターム",INDIRECT($D$42&amp;G20)&amp;CHAR(10)&amp;INDIRECT($D$42&amp;H20),INDIRECT($D$42&amp;G20)),"")</f>
        <v/>
      </c>
      <c r="H16" s="507"/>
      <c r="I16" s="508"/>
      <c r="J16" s="506" t="str">
        <f t="shared" ref="J16" ca="1" si="48">IFERROR(IF(L20="ターム",INDIRECT($D$42&amp;J20)&amp;CHAR(10)&amp;INDIRECT($D$42&amp;K20),INDIRECT($D$42&amp;J20)),"")</f>
        <v/>
      </c>
      <c r="K16" s="507"/>
      <c r="L16" s="508"/>
      <c r="M16" s="506" t="str">
        <f t="shared" ref="M16" ca="1" si="49">IFERROR(IF(O20="ターム",INDIRECT($D$42&amp;M20)&amp;CHAR(10)&amp;INDIRECT($D$42&amp;N20),INDIRECT($D$42&amp;M20)),"")</f>
        <v/>
      </c>
      <c r="N16" s="507"/>
      <c r="O16" s="508"/>
      <c r="P16" s="506" t="str">
        <f t="shared" ref="P16" ca="1" si="50">IFERROR(IF(R20="ターム",INDIRECT($D$42&amp;P20)&amp;CHAR(10)&amp;INDIRECT($D$42&amp;Q20),INDIRECT($D$42&amp;P20)),"")</f>
        <v/>
      </c>
      <c r="Q16" s="507"/>
      <c r="R16" s="508"/>
      <c r="S16" s="114"/>
      <c r="T16" s="506" t="str">
        <f t="shared" ref="T16" ca="1" si="51">IFERROR(IF(V20="ターム",INDIRECT($D$42&amp;T20)&amp;CHAR(10)&amp;INDIRECT($D$42&amp;U20),INDIRECT($D$42&amp;T20)),"")</f>
        <v/>
      </c>
      <c r="U16" s="507"/>
      <c r="V16" s="508"/>
      <c r="W16" s="506" t="str">
        <f t="shared" ref="W16" ca="1" si="52">IFERROR(IF(Y20="ターム",INDIRECT($D$42&amp;W20)&amp;CHAR(10)&amp;INDIRECT($D$42&amp;X20),INDIRECT($D$42&amp;W20)),"")</f>
        <v/>
      </c>
      <c r="X16" s="507"/>
      <c r="Y16" s="508"/>
      <c r="Z16" s="114"/>
      <c r="AA16" s="114"/>
      <c r="AB16" s="114"/>
      <c r="AC16" s="114"/>
      <c r="AD16" s="114"/>
      <c r="AE16" s="115"/>
      <c r="AF16" s="115"/>
      <c r="AG16" s="115"/>
      <c r="AH16" s="359"/>
      <c r="AI16" s="114"/>
    </row>
    <row r="17" spans="1:35" s="278" customFormat="1" ht="18.95" customHeight="1" x14ac:dyDescent="0.4">
      <c r="A17" s="72"/>
      <c r="B17" s="502"/>
      <c r="C17" s="503"/>
      <c r="D17" s="509"/>
      <c r="E17" s="510"/>
      <c r="F17" s="511"/>
      <c r="G17" s="509"/>
      <c r="H17" s="510"/>
      <c r="I17" s="511"/>
      <c r="J17" s="509"/>
      <c r="K17" s="510"/>
      <c r="L17" s="511"/>
      <c r="M17" s="509"/>
      <c r="N17" s="510"/>
      <c r="O17" s="511"/>
      <c r="P17" s="509"/>
      <c r="Q17" s="510"/>
      <c r="R17" s="511"/>
      <c r="S17" s="72"/>
      <c r="T17" s="509"/>
      <c r="U17" s="510"/>
      <c r="V17" s="511"/>
      <c r="W17" s="509"/>
      <c r="X17" s="510"/>
      <c r="Y17" s="511"/>
      <c r="Z17" s="72"/>
      <c r="AA17" s="72"/>
      <c r="AB17" s="72"/>
      <c r="AC17" s="72"/>
      <c r="AD17" s="72"/>
      <c r="AE17" s="113"/>
      <c r="AF17" s="113"/>
      <c r="AG17" s="113"/>
      <c r="AH17" s="358"/>
      <c r="AI17" s="72"/>
    </row>
    <row r="18" spans="1:35" s="278" customFormat="1" ht="18.95" customHeight="1" x14ac:dyDescent="0.4">
      <c r="A18" s="72"/>
      <c r="B18" s="504"/>
      <c r="C18" s="505"/>
      <c r="D18" s="509"/>
      <c r="E18" s="510"/>
      <c r="F18" s="511"/>
      <c r="G18" s="509"/>
      <c r="H18" s="510"/>
      <c r="I18" s="511"/>
      <c r="J18" s="509"/>
      <c r="K18" s="510"/>
      <c r="L18" s="511"/>
      <c r="M18" s="509"/>
      <c r="N18" s="510"/>
      <c r="O18" s="511"/>
      <c r="P18" s="509"/>
      <c r="Q18" s="510"/>
      <c r="R18" s="511"/>
      <c r="S18" s="72"/>
      <c r="T18" s="509"/>
      <c r="U18" s="510"/>
      <c r="V18" s="511"/>
      <c r="W18" s="509"/>
      <c r="X18" s="510"/>
      <c r="Y18" s="511"/>
      <c r="Z18" s="72"/>
      <c r="AA18" s="72"/>
      <c r="AB18" s="72"/>
      <c r="AC18" s="72"/>
      <c r="AD18" s="72"/>
      <c r="AE18" s="113"/>
      <c r="AF18" s="113"/>
      <c r="AG18" s="113"/>
      <c r="AH18" s="358"/>
      <c r="AI18" s="72"/>
    </row>
    <row r="19" spans="1:35" s="279" customFormat="1" ht="18.95" customHeight="1" thickBot="1" x14ac:dyDescent="0.45">
      <c r="A19" s="114"/>
      <c r="B19" s="495" t="s">
        <v>984</v>
      </c>
      <c r="C19" s="496"/>
      <c r="D19" s="497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8"/>
      <c r="F19" s="499"/>
      <c r="G19" s="497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8"/>
      <c r="I19" s="499"/>
      <c r="J19" s="497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8"/>
      <c r="L19" s="499"/>
      <c r="M19" s="497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8"/>
      <c r="O19" s="499"/>
      <c r="P19" s="497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8"/>
      <c r="R19" s="499"/>
      <c r="S19" s="114"/>
      <c r="T19" s="497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8"/>
      <c r="V19" s="499"/>
      <c r="W19" s="497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8"/>
      <c r="Y19" s="499"/>
      <c r="Z19" s="114"/>
      <c r="AA19" s="114"/>
      <c r="AB19" s="114"/>
      <c r="AC19" s="114"/>
      <c r="AD19" s="114"/>
      <c r="AE19" s="115"/>
      <c r="AF19" s="115"/>
      <c r="AG19" s="115"/>
      <c r="AH19" s="359"/>
      <c r="AI19" s="114"/>
    </row>
    <row r="20" spans="1:35" s="278" customFormat="1" ht="18.95" hidden="1" customHeight="1" thickBot="1" x14ac:dyDescent="0.45">
      <c r="A20" s="72"/>
      <c r="B20" s="116" t="s">
        <v>2180</v>
      </c>
      <c r="C20" s="117" t="s">
        <v>2181</v>
      </c>
      <c r="D20" s="209" t="str">
        <f t="shared" ref="D20" ca="1" si="58">IFERROR($AF$39+MATCH("*"&amp;D$5&amp;$B16&amp;"-1"&amp;"*",INDIRECT("$"&amp;$W$42&amp;$AF$39&amp;":"&amp;$W$42&amp;$AF$40),0)-1,"ー")</f>
        <v>ー</v>
      </c>
      <c r="E20" s="216" t="str">
        <f t="shared" ref="E20" ca="1" si="59">IFERROR($AF$39+MATCH("*"&amp;D$5&amp;$B16&amp;"-2"&amp;"*",INDIRECT("$"&amp;$W$42&amp;$AF$39&amp;":"&amp;$W$42&amp;$AF$40),0)-1,"ー")</f>
        <v>ー</v>
      </c>
      <c r="F20" s="210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209" t="str">
        <f t="shared" ref="G20:P20" ca="1" si="61">IFERROR($AF$39+MATCH("*"&amp;G$5&amp;$B16&amp;"-1"&amp;"*",INDIRECT("$"&amp;$W$42&amp;$AF$39&amp;":"&amp;$W$42&amp;$AF$40),0)-1,"ー")</f>
        <v>ー</v>
      </c>
      <c r="H20" s="216" t="str">
        <f t="shared" ref="H20:Q20" ca="1" si="62">IFERROR($AF$39+MATCH("*"&amp;G$5&amp;$B16&amp;"-2"&amp;"*",INDIRECT("$"&amp;$W$42&amp;$AF$39&amp;":"&amp;$W$42&amp;$AF$40),0)-1,"ー")</f>
        <v>ー</v>
      </c>
      <c r="I20" s="210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209" t="str">
        <f t="shared" ca="1" si="61"/>
        <v>ー</v>
      </c>
      <c r="K20" s="216" t="str">
        <f t="shared" ca="1" si="62"/>
        <v>ー</v>
      </c>
      <c r="L20" s="210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209" t="str">
        <f t="shared" ca="1" si="61"/>
        <v>ー</v>
      </c>
      <c r="N20" s="216" t="str">
        <f t="shared" ca="1" si="62"/>
        <v>ー</v>
      </c>
      <c r="O20" s="210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209" t="str">
        <f t="shared" ca="1" si="61"/>
        <v>ー</v>
      </c>
      <c r="Q20" s="216" t="str">
        <f t="shared" ca="1" si="62"/>
        <v>ー</v>
      </c>
      <c r="R20" s="210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72"/>
      <c r="T20" s="209" t="str">
        <f t="shared" ref="T20" ca="1" si="67">IFERROR($AF$39+MATCH(T$5&amp;"-"&amp;$B16,INDIRECT("$"&amp;$W$42&amp;$AF$39&amp;":"&amp;$W$42&amp;$AF$40),0)-1,"ー")</f>
        <v>ー</v>
      </c>
      <c r="U20" s="216" t="str">
        <f t="shared" ref="U20" ca="1" si="68">IFERROR($AF$39+MATCH(T$5&amp;"-"&amp;(VALUE($B16)+5),INDIRECT("$"&amp;$W$42&amp;$AF$39&amp;":"&amp;$W$42&amp;$AF$40),0)-1,"ー")</f>
        <v>ー</v>
      </c>
      <c r="V20" s="210" t="str">
        <f t="shared" ref="V20" ca="1" si="69">IF(U20="ー",
"重複なし",
IF(AND(T20&lt;&gt;"ー",U20&lt;&gt;"ー"),"ターム","重複あり")
)</f>
        <v>重複なし</v>
      </c>
      <c r="W20" s="209" t="str">
        <f t="shared" ref="W20" ca="1" si="70">IFERROR($AF$39+MATCH(W$5&amp;"-"&amp;$B16,INDIRECT("$"&amp;$W$42&amp;$AF$39&amp;":"&amp;$W$42&amp;$AF$40),0)-1,"ー")</f>
        <v>ー</v>
      </c>
      <c r="X20" s="216" t="str">
        <f t="shared" ref="X20" ca="1" si="71">IFERROR($AF$39+MATCH(W$5&amp;"-"&amp;(VALUE($B16)+5),INDIRECT("$"&amp;$W$42&amp;$AF$39&amp;":"&amp;$W$42&amp;$AF$40),0)-1,"ー")</f>
        <v>ー</v>
      </c>
      <c r="Y20" s="210" t="str">
        <f t="shared" ref="Y20" ca="1" si="72">IF(X20="ー",
"重複なし",
IF(AND(W20&lt;&gt;"ー",X20&lt;&gt;"ー"),"ターム","重複あり")
)</f>
        <v>重複なし</v>
      </c>
      <c r="Z20" s="72"/>
      <c r="AA20" s="72"/>
      <c r="AB20" s="72"/>
      <c r="AC20" s="72"/>
      <c r="AD20" s="72"/>
      <c r="AE20" s="113"/>
      <c r="AF20" s="113"/>
      <c r="AG20" s="113"/>
      <c r="AH20" s="358"/>
      <c r="AI20" s="72"/>
    </row>
    <row r="21" spans="1:35" s="278" customFormat="1" ht="18.95" customHeight="1" x14ac:dyDescent="0.4">
      <c r="A21" s="72"/>
      <c r="B21" s="514">
        <v>4</v>
      </c>
      <c r="C21" s="515"/>
      <c r="D21" s="506" t="str">
        <f t="shared" ref="D21" ca="1" si="73">IFERROR(IF(F25="ターム",INDIRECT($D$42&amp;D25)&amp;CHAR(10)&amp;INDIRECT($D$42&amp;E25),INDIRECT($D$42&amp;D25)),"")</f>
        <v/>
      </c>
      <c r="E21" s="507"/>
      <c r="F21" s="508"/>
      <c r="G21" s="506" t="str">
        <f t="shared" ref="G21" ca="1" si="74">IFERROR(IF(I25="ターム",INDIRECT($D$42&amp;G25)&amp;CHAR(10)&amp;INDIRECT($D$42&amp;H25),INDIRECT($D$42&amp;G25)),"")</f>
        <v/>
      </c>
      <c r="H21" s="507"/>
      <c r="I21" s="508"/>
      <c r="J21" s="506" t="str">
        <f t="shared" ref="J21" ca="1" si="75">IFERROR(IF(L25="ターム",INDIRECT($D$42&amp;J25)&amp;CHAR(10)&amp;INDIRECT($D$42&amp;K25),INDIRECT($D$42&amp;J25)),"")</f>
        <v/>
      </c>
      <c r="K21" s="507"/>
      <c r="L21" s="508"/>
      <c r="M21" s="506" t="str">
        <f t="shared" ref="M21" ca="1" si="76">IFERROR(IF(O25="ターム",INDIRECT($D$42&amp;M25)&amp;CHAR(10)&amp;INDIRECT($D$42&amp;N25),INDIRECT($D$42&amp;M25)),"")</f>
        <v/>
      </c>
      <c r="N21" s="507"/>
      <c r="O21" s="508"/>
      <c r="P21" s="506" t="str">
        <f t="shared" ref="P21" ca="1" si="77">IFERROR(IF(R25="ターム",INDIRECT($D$42&amp;P25)&amp;CHAR(10)&amp;INDIRECT($D$42&amp;Q25),INDIRECT($D$42&amp;P25)),"")</f>
        <v/>
      </c>
      <c r="Q21" s="507"/>
      <c r="R21" s="508"/>
      <c r="S21" s="72"/>
      <c r="T21" s="506" t="str">
        <f t="shared" ref="T21" ca="1" si="78">IFERROR(IF(V25="ターム",INDIRECT($D$42&amp;T25)&amp;CHAR(10)&amp;INDIRECT($D$42&amp;U25),INDIRECT($D$42&amp;T25)),"")</f>
        <v/>
      </c>
      <c r="U21" s="507"/>
      <c r="V21" s="508"/>
      <c r="W21" s="506" t="str">
        <f t="shared" ref="W21" ca="1" si="79">IFERROR(IF(Y25="ターム",INDIRECT($D$42&amp;W25)&amp;CHAR(10)&amp;INDIRECT($D$42&amp;X25),INDIRECT($D$42&amp;W25)),"")</f>
        <v/>
      </c>
      <c r="X21" s="507"/>
      <c r="Y21" s="508"/>
      <c r="Z21" s="72"/>
      <c r="AA21" s="72"/>
      <c r="AB21" s="72"/>
      <c r="AC21" s="72"/>
      <c r="AD21" s="72"/>
      <c r="AE21" s="113"/>
      <c r="AF21" s="113"/>
      <c r="AG21" s="113"/>
      <c r="AH21" s="358"/>
      <c r="AI21" s="72"/>
    </row>
    <row r="22" spans="1:35" s="278" customFormat="1" ht="18.95" customHeight="1" thickBot="1" x14ac:dyDescent="0.45">
      <c r="A22" s="72"/>
      <c r="B22" s="516"/>
      <c r="C22" s="517"/>
      <c r="D22" s="509"/>
      <c r="E22" s="510"/>
      <c r="F22" s="511"/>
      <c r="G22" s="509"/>
      <c r="H22" s="510"/>
      <c r="I22" s="511"/>
      <c r="J22" s="509"/>
      <c r="K22" s="510"/>
      <c r="L22" s="511"/>
      <c r="M22" s="509"/>
      <c r="N22" s="510"/>
      <c r="O22" s="511"/>
      <c r="P22" s="509"/>
      <c r="Q22" s="510"/>
      <c r="R22" s="511"/>
      <c r="S22" s="72"/>
      <c r="T22" s="509"/>
      <c r="U22" s="510"/>
      <c r="V22" s="511"/>
      <c r="W22" s="509"/>
      <c r="X22" s="510"/>
      <c r="Y22" s="511"/>
      <c r="Z22" s="72"/>
      <c r="AA22" s="72"/>
      <c r="AB22" s="72"/>
      <c r="AC22" s="72"/>
      <c r="AD22" s="72"/>
      <c r="AE22" s="113"/>
      <c r="AF22" s="113"/>
      <c r="AG22" s="113"/>
      <c r="AH22" s="358"/>
      <c r="AI22" s="72"/>
    </row>
    <row r="23" spans="1:35" s="279" customFormat="1" ht="18.95" customHeight="1" x14ac:dyDescent="0.4">
      <c r="A23" s="114"/>
      <c r="B23" s="518"/>
      <c r="C23" s="519"/>
      <c r="D23" s="509"/>
      <c r="E23" s="510"/>
      <c r="F23" s="511"/>
      <c r="G23" s="509"/>
      <c r="H23" s="510"/>
      <c r="I23" s="511"/>
      <c r="J23" s="509"/>
      <c r="K23" s="510"/>
      <c r="L23" s="511"/>
      <c r="M23" s="509"/>
      <c r="N23" s="510"/>
      <c r="O23" s="511"/>
      <c r="P23" s="509"/>
      <c r="Q23" s="510"/>
      <c r="R23" s="511"/>
      <c r="S23" s="114"/>
      <c r="T23" s="509"/>
      <c r="U23" s="510"/>
      <c r="V23" s="511"/>
      <c r="W23" s="509"/>
      <c r="X23" s="510"/>
      <c r="Y23" s="511"/>
      <c r="Z23" s="114"/>
      <c r="AA23" s="512" t="s">
        <v>998</v>
      </c>
      <c r="AB23" s="513"/>
      <c r="AC23" s="114"/>
      <c r="AD23" s="114"/>
      <c r="AE23" s="115"/>
      <c r="AF23" s="115"/>
      <c r="AG23" s="115"/>
      <c r="AH23" s="359"/>
      <c r="AI23" s="114"/>
    </row>
    <row r="24" spans="1:35" s="279" customFormat="1" ht="18.95" customHeight="1" thickBot="1" x14ac:dyDescent="0.45">
      <c r="A24" s="114"/>
      <c r="B24" s="495" t="s">
        <v>985</v>
      </c>
      <c r="C24" s="496"/>
      <c r="D24" s="497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8"/>
      <c r="F24" s="499"/>
      <c r="G24" s="497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8"/>
      <c r="I24" s="499"/>
      <c r="J24" s="497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8"/>
      <c r="L24" s="499"/>
      <c r="M24" s="497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8"/>
      <c r="O24" s="499"/>
      <c r="P24" s="497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8"/>
      <c r="R24" s="499"/>
      <c r="S24" s="114"/>
      <c r="T24" s="497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8"/>
      <c r="V24" s="499"/>
      <c r="W24" s="497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8"/>
      <c r="Y24" s="499"/>
      <c r="Z24" s="114"/>
      <c r="AA24" s="491">
        <f ca="1">SUM(INDIRECT($M$42&amp;$AF$39&amp;":"&amp;$M$42&amp;$AF$40))</f>
        <v>0</v>
      </c>
      <c r="AB24" s="492"/>
      <c r="AC24" s="114"/>
      <c r="AD24" s="114"/>
      <c r="AE24" s="115"/>
      <c r="AF24" s="115"/>
      <c r="AG24" s="115"/>
      <c r="AH24" s="359"/>
      <c r="AI24" s="114"/>
    </row>
    <row r="25" spans="1:35" s="278" customFormat="1" ht="18.95" hidden="1" customHeight="1" thickBot="1" x14ac:dyDescent="0.45">
      <c r="A25" s="72"/>
      <c r="B25" s="116" t="s">
        <v>2180</v>
      </c>
      <c r="C25" s="117" t="s">
        <v>2181</v>
      </c>
      <c r="D25" s="209" t="str">
        <f t="shared" ref="D25" ca="1" si="85">IFERROR($AF$39+MATCH("*"&amp;D$5&amp;$B21&amp;"-1"&amp;"*",INDIRECT("$"&amp;$W$42&amp;$AF$39&amp;":"&amp;$W$42&amp;$AF$40),0)-1,"ー")</f>
        <v>ー</v>
      </c>
      <c r="E25" s="216" t="str">
        <f t="shared" ref="E25" ca="1" si="86">IFERROR($AF$39+MATCH("*"&amp;D$5&amp;$B21&amp;"-2"&amp;"*",INDIRECT("$"&amp;$W$42&amp;$AF$39&amp;":"&amp;$W$42&amp;$AF$40),0)-1,"ー")</f>
        <v>ー</v>
      </c>
      <c r="F25" s="210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209" t="str">
        <f t="shared" ref="G25:P25" ca="1" si="88">IFERROR($AF$39+MATCH("*"&amp;G$5&amp;$B21&amp;"-1"&amp;"*",INDIRECT("$"&amp;$W$42&amp;$AF$39&amp;":"&amp;$W$42&amp;$AF$40),0)-1,"ー")</f>
        <v>ー</v>
      </c>
      <c r="H25" s="216" t="str">
        <f t="shared" ref="H25:Q25" ca="1" si="89">IFERROR($AF$39+MATCH("*"&amp;G$5&amp;$B21&amp;"-2"&amp;"*",INDIRECT("$"&amp;$W$42&amp;$AF$39&amp;":"&amp;$W$42&amp;$AF$40),0)-1,"ー")</f>
        <v>ー</v>
      </c>
      <c r="I25" s="210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209" t="str">
        <f t="shared" ca="1" si="88"/>
        <v>ー</v>
      </c>
      <c r="K25" s="216" t="str">
        <f t="shared" ca="1" si="89"/>
        <v>ー</v>
      </c>
      <c r="L25" s="210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209" t="str">
        <f t="shared" ca="1" si="88"/>
        <v>ー</v>
      </c>
      <c r="N25" s="216" t="str">
        <f t="shared" ca="1" si="89"/>
        <v>ー</v>
      </c>
      <c r="O25" s="210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209" t="str">
        <f t="shared" ca="1" si="88"/>
        <v>ー</v>
      </c>
      <c r="Q25" s="216" t="str">
        <f t="shared" ca="1" si="89"/>
        <v>ー</v>
      </c>
      <c r="R25" s="210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72"/>
      <c r="T25" s="209" t="str">
        <f t="shared" ref="T25" ca="1" si="94">IFERROR($AF$39+MATCH(T$5&amp;"-"&amp;$B21,INDIRECT("$"&amp;$W$42&amp;$AF$39&amp;":"&amp;$W$42&amp;$AF$40),0)-1,"ー")</f>
        <v>ー</v>
      </c>
      <c r="U25" s="216" t="str">
        <f t="shared" ref="U25" ca="1" si="95">IFERROR($AF$39+MATCH(T$5&amp;"-"&amp;(VALUE($B21)+5),INDIRECT("$"&amp;$W$42&amp;$AF$39&amp;":"&amp;$W$42&amp;$AF$40),0)-1,"ー")</f>
        <v>ー</v>
      </c>
      <c r="V25" s="210" t="str">
        <f t="shared" ref="V25" ca="1" si="96">IF(U25="ー",
"重複なし",
IF(AND(T25&lt;&gt;"ー",U25&lt;&gt;"ー"),"ターム","重複あり")
)</f>
        <v>重複なし</v>
      </c>
      <c r="W25" s="209" t="str">
        <f t="shared" ref="W25" ca="1" si="97">IFERROR($AF$39+MATCH(W$5&amp;"-"&amp;$B21,INDIRECT("$"&amp;$W$42&amp;$AF$39&amp;":"&amp;$W$42&amp;$AF$40),0)-1,"ー")</f>
        <v>ー</v>
      </c>
      <c r="X25" s="216" t="str">
        <f t="shared" ref="X25" ca="1" si="98">IFERROR($AF$39+MATCH(W$5&amp;"-"&amp;(VALUE($B21)+5),INDIRECT("$"&amp;$W$42&amp;$AF$39&amp;":"&amp;$W$42&amp;$AF$40),0)-1,"ー")</f>
        <v>ー</v>
      </c>
      <c r="Y25" s="210" t="str">
        <f t="shared" ref="Y25" ca="1" si="99">IF(X25="ー",
"重複なし",
IF(AND(W25&lt;&gt;"ー",X25&lt;&gt;"ー"),"ターム","重複あり")
)</f>
        <v>重複なし</v>
      </c>
      <c r="Z25" s="72"/>
      <c r="AA25" s="491"/>
      <c r="AB25" s="492"/>
      <c r="AC25" s="72"/>
      <c r="AD25" s="72"/>
      <c r="AE25" s="113"/>
      <c r="AF25" s="113"/>
      <c r="AG25" s="113"/>
      <c r="AH25" s="358"/>
      <c r="AI25" s="72"/>
    </row>
    <row r="26" spans="1:35" s="279" customFormat="1" ht="18.95" customHeight="1" thickBot="1" x14ac:dyDescent="0.45">
      <c r="A26" s="114"/>
      <c r="B26" s="500">
        <v>5</v>
      </c>
      <c r="C26" s="501"/>
      <c r="D26" s="506" t="str">
        <f t="shared" ref="D26" ca="1" si="100">IFERROR(IF(F30="ターム",INDIRECT($D$42&amp;D30)&amp;CHAR(10)&amp;INDIRECT($D$42&amp;E30),INDIRECT($D$42&amp;D30)),"")</f>
        <v/>
      </c>
      <c r="E26" s="507"/>
      <c r="F26" s="508"/>
      <c r="G26" s="506" t="str">
        <f t="shared" ref="G26" ca="1" si="101">IFERROR(IF(I30="ターム",INDIRECT($D$42&amp;G30)&amp;CHAR(10)&amp;INDIRECT($D$42&amp;H30),INDIRECT($D$42&amp;G30)),"")</f>
        <v/>
      </c>
      <c r="H26" s="507"/>
      <c r="I26" s="508"/>
      <c r="J26" s="506" t="str">
        <f t="shared" ref="J26" ca="1" si="102">IFERROR(IF(L30="ターム",INDIRECT($D$42&amp;J30)&amp;CHAR(10)&amp;INDIRECT($D$42&amp;K30),INDIRECT($D$42&amp;J30)),"")</f>
        <v/>
      </c>
      <c r="K26" s="507"/>
      <c r="L26" s="508"/>
      <c r="M26" s="506" t="str">
        <f t="shared" ref="M26" ca="1" si="103">IFERROR(IF(O30="ターム",INDIRECT($D$42&amp;M30)&amp;CHAR(10)&amp;INDIRECT($D$42&amp;N30),INDIRECT($D$42&amp;M30)),"")</f>
        <v/>
      </c>
      <c r="N26" s="507"/>
      <c r="O26" s="508"/>
      <c r="P26" s="506" t="str">
        <f t="shared" ref="P26" ca="1" si="104">IFERROR(IF(R30="ターム",INDIRECT($D$42&amp;P30)&amp;CHAR(10)&amp;INDIRECT($D$42&amp;Q30),INDIRECT($D$42&amp;P30)),"")</f>
        <v/>
      </c>
      <c r="Q26" s="507"/>
      <c r="R26" s="508"/>
      <c r="S26" s="114"/>
      <c r="T26" s="506" t="str">
        <f t="shared" ref="T26" ca="1" si="105">IFERROR(IF(V30="ターム",INDIRECT($D$42&amp;T30)&amp;CHAR(10)&amp;INDIRECT($D$42&amp;U30),INDIRECT($D$42&amp;T30)),"")</f>
        <v/>
      </c>
      <c r="U26" s="507"/>
      <c r="V26" s="508"/>
      <c r="W26" s="506" t="str">
        <f t="shared" ref="W26" ca="1" si="106">IFERROR(IF(Y30="ターム",INDIRECT($D$42&amp;W30)&amp;CHAR(10)&amp;INDIRECT($D$42&amp;X30),INDIRECT($D$42&amp;W30)),"")</f>
        <v/>
      </c>
      <c r="X26" s="507"/>
      <c r="Y26" s="508"/>
      <c r="Z26" s="114"/>
      <c r="AA26" s="493"/>
      <c r="AB26" s="494"/>
      <c r="AC26" s="114"/>
      <c r="AD26" s="114"/>
      <c r="AE26" s="115"/>
      <c r="AF26" s="115"/>
      <c r="AG26" s="115"/>
      <c r="AH26" s="359"/>
      <c r="AI26" s="114"/>
    </row>
    <row r="27" spans="1:35" s="279" customFormat="1" ht="18.95" customHeight="1" x14ac:dyDescent="0.4">
      <c r="A27" s="114"/>
      <c r="B27" s="502"/>
      <c r="C27" s="503"/>
      <c r="D27" s="509"/>
      <c r="E27" s="510"/>
      <c r="F27" s="511"/>
      <c r="G27" s="509"/>
      <c r="H27" s="510"/>
      <c r="I27" s="511"/>
      <c r="J27" s="509"/>
      <c r="K27" s="510"/>
      <c r="L27" s="511"/>
      <c r="M27" s="509"/>
      <c r="N27" s="510"/>
      <c r="O27" s="511"/>
      <c r="P27" s="509"/>
      <c r="Q27" s="510"/>
      <c r="R27" s="511"/>
      <c r="S27" s="114"/>
      <c r="T27" s="509"/>
      <c r="U27" s="510"/>
      <c r="V27" s="511"/>
      <c r="W27" s="509"/>
      <c r="X27" s="510"/>
      <c r="Y27" s="511"/>
      <c r="Z27" s="114"/>
      <c r="AA27" s="489" t="s">
        <v>999</v>
      </c>
      <c r="AB27" s="490"/>
      <c r="AC27" s="114"/>
      <c r="AD27" s="114"/>
      <c r="AE27" s="115"/>
      <c r="AF27" s="115"/>
      <c r="AG27" s="115"/>
      <c r="AH27" s="359"/>
      <c r="AI27" s="114"/>
    </row>
    <row r="28" spans="1:35" s="277" customFormat="1" ht="18.75" customHeight="1" x14ac:dyDescent="0.4">
      <c r="A28" s="68"/>
      <c r="B28" s="504"/>
      <c r="C28" s="505"/>
      <c r="D28" s="509"/>
      <c r="E28" s="510"/>
      <c r="F28" s="511"/>
      <c r="G28" s="509"/>
      <c r="H28" s="510"/>
      <c r="I28" s="511"/>
      <c r="J28" s="509"/>
      <c r="K28" s="510"/>
      <c r="L28" s="511"/>
      <c r="M28" s="509"/>
      <c r="N28" s="510"/>
      <c r="O28" s="511"/>
      <c r="P28" s="509"/>
      <c r="Q28" s="510"/>
      <c r="R28" s="511"/>
      <c r="S28" s="68"/>
      <c r="T28" s="509"/>
      <c r="U28" s="510"/>
      <c r="V28" s="511"/>
      <c r="W28" s="509"/>
      <c r="X28" s="510"/>
      <c r="Y28" s="511"/>
      <c r="Z28" s="68"/>
      <c r="AA28" s="491">
        <f ca="1">SUMIF(INDIRECT($N$42&amp;$AF$39&amp;":"&amp;$N$42&amp;$AF$40),"?",INDIRECT($M$42&amp;$AF$39&amp;":"&amp;$M$42&amp;$AF$40))</f>
        <v>0</v>
      </c>
      <c r="AB28" s="492"/>
      <c r="AC28" s="68"/>
      <c r="AD28" s="68"/>
      <c r="AE28" s="112"/>
      <c r="AF28" s="112"/>
      <c r="AG28" s="112"/>
      <c r="AH28" s="119"/>
      <c r="AI28" s="68"/>
    </row>
    <row r="29" spans="1:35" s="277" customFormat="1" ht="19.5" thickBot="1" x14ac:dyDescent="0.45">
      <c r="A29" s="68"/>
      <c r="B29" s="495" t="s">
        <v>986</v>
      </c>
      <c r="C29" s="496"/>
      <c r="D29" s="497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8"/>
      <c r="F29" s="499"/>
      <c r="G29" s="497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8"/>
      <c r="I29" s="499"/>
      <c r="J29" s="497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8"/>
      <c r="L29" s="499"/>
      <c r="M29" s="497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8"/>
      <c r="O29" s="499"/>
      <c r="P29" s="497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8"/>
      <c r="R29" s="499"/>
      <c r="S29" s="68"/>
      <c r="T29" s="497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8"/>
      <c r="V29" s="499"/>
      <c r="W29" s="497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8"/>
      <c r="Y29" s="499"/>
      <c r="Z29" s="68"/>
      <c r="AA29" s="493"/>
      <c r="AB29" s="494"/>
      <c r="AC29" s="68"/>
      <c r="AD29" s="68"/>
      <c r="AE29" s="112"/>
      <c r="AF29" s="112"/>
      <c r="AG29" s="112"/>
      <c r="AH29" s="119"/>
      <c r="AI29" s="68"/>
    </row>
    <row r="30" spans="1:35" s="278" customFormat="1" ht="19.5" hidden="1" thickBot="1" x14ac:dyDescent="0.45">
      <c r="A30" s="72"/>
      <c r="B30" s="116" t="s">
        <v>2180</v>
      </c>
      <c r="C30" s="117" t="s">
        <v>2181</v>
      </c>
      <c r="D30" s="207" t="str">
        <f t="shared" ref="D30" ca="1" si="112">IFERROR($AF$39+MATCH("*"&amp;D$5&amp;$B26&amp;"-1"&amp;"*",INDIRECT("$"&amp;$W$42&amp;$AF$39&amp;":"&amp;$W$42&amp;$AF$40),0)-1,"ー")</f>
        <v>ー</v>
      </c>
      <c r="E30" s="217" t="str">
        <f t="shared" ref="E30" ca="1" si="113">IFERROR($AF$39+MATCH("*"&amp;D$5&amp;$B26&amp;"-2"&amp;"*",INDIRECT("$"&amp;$W$42&amp;$AF$39&amp;":"&amp;$W$42&amp;$AF$40),0)-1,"ー")</f>
        <v>ー</v>
      </c>
      <c r="F30" s="208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207" t="str">
        <f t="shared" ref="G30:P30" ca="1" si="115">IFERROR($AF$39+MATCH("*"&amp;G$5&amp;$B26&amp;"-1"&amp;"*",INDIRECT("$"&amp;$W$42&amp;$AF$39&amp;":"&amp;$W$42&amp;$AF$40),0)-1,"ー")</f>
        <v>ー</v>
      </c>
      <c r="H30" s="217" t="str">
        <f t="shared" ref="H30:Q30" ca="1" si="116">IFERROR($AF$39+MATCH("*"&amp;G$5&amp;$B26&amp;"-2"&amp;"*",INDIRECT("$"&amp;$W$42&amp;$AF$39&amp;":"&amp;$W$42&amp;$AF$40),0)-1,"ー")</f>
        <v>ー</v>
      </c>
      <c r="I30" s="208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207" t="str">
        <f t="shared" ca="1" si="115"/>
        <v>ー</v>
      </c>
      <c r="K30" s="217" t="str">
        <f t="shared" ca="1" si="116"/>
        <v>ー</v>
      </c>
      <c r="L30" s="208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207" t="str">
        <f t="shared" ca="1" si="115"/>
        <v>ー</v>
      </c>
      <c r="N30" s="217" t="str">
        <f t="shared" ca="1" si="116"/>
        <v>ー</v>
      </c>
      <c r="O30" s="208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207" t="str">
        <f t="shared" ca="1" si="115"/>
        <v>ー</v>
      </c>
      <c r="Q30" s="217" t="str">
        <f t="shared" ca="1" si="116"/>
        <v>ー</v>
      </c>
      <c r="R30" s="208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72"/>
      <c r="T30" s="207" t="str">
        <f t="shared" ref="T30" ca="1" si="121">IFERROR($AF$39+MATCH(T$5&amp;"-"&amp;$B26,INDIRECT("$"&amp;$W$42&amp;$AF$39&amp;":"&amp;$W$42&amp;$AF$40),0)-1,"ー")</f>
        <v>ー</v>
      </c>
      <c r="U30" s="217" t="str">
        <f t="shared" ref="U30" ca="1" si="122">IFERROR($AF$39+MATCH(T$5&amp;"-"&amp;(VALUE($B26)+5),INDIRECT("$"&amp;$W$42&amp;$AF$39&amp;":"&amp;$W$42&amp;$AF$40),0)-1,"ー")</f>
        <v>ー</v>
      </c>
      <c r="V30" s="208" t="str">
        <f t="shared" ref="V30" ca="1" si="123">IF(U30="ー",
"重複なし",
IF(AND(T30&lt;&gt;"ー",U30&lt;&gt;"ー"),"ターム","重複あり")
)</f>
        <v>重複なし</v>
      </c>
      <c r="W30" s="207" t="str">
        <f t="shared" ref="W30" ca="1" si="124">IFERROR($AF$39+MATCH(W$5&amp;"-"&amp;$B26,INDIRECT("$"&amp;$W$42&amp;$AF$39&amp;":"&amp;$W$42&amp;$AF$40),0)-1,"ー")</f>
        <v>ー</v>
      </c>
      <c r="X30" s="217" t="str">
        <f t="shared" ref="X30" ca="1" si="125">IFERROR($AF$39+MATCH(W$5&amp;"-"&amp;(VALUE($B26)+5),INDIRECT("$"&amp;$W$42&amp;$AF$39&amp;":"&amp;$W$42&amp;$AF$40),0)-1,"ー")</f>
        <v>ー</v>
      </c>
      <c r="Y30" s="208" t="str">
        <f t="shared" ref="Y30" ca="1" si="126">IF(X30="ー",
"重複なし",
IF(AND(W30&lt;&gt;"ー",X30&lt;&gt;"ー"),"ターム","重複あり")
)</f>
        <v>重複なし</v>
      </c>
      <c r="Z30" s="72"/>
      <c r="AA30" s="72"/>
      <c r="AB30" s="72"/>
      <c r="AC30" s="72"/>
      <c r="AD30" s="72"/>
      <c r="AE30" s="113"/>
      <c r="AF30" s="113"/>
      <c r="AG30" s="113"/>
      <c r="AH30" s="358"/>
      <c r="AI30" s="72"/>
    </row>
    <row r="31" spans="1:35" s="277" customFormat="1" ht="18.75" x14ac:dyDescent="0.4">
      <c r="A31" s="68"/>
      <c r="B31" s="68"/>
      <c r="C31" s="68"/>
      <c r="D31" s="70"/>
      <c r="E31" s="70"/>
      <c r="F31" s="70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112"/>
      <c r="AF31" s="112"/>
      <c r="AG31" s="112"/>
      <c r="AH31" s="119"/>
      <c r="AI31" s="68"/>
    </row>
    <row r="32" spans="1:35" s="277" customFormat="1" ht="18.75" x14ac:dyDescent="0.4">
      <c r="A32" s="68"/>
      <c r="B32" s="68"/>
      <c r="C32" s="68"/>
      <c r="D32" s="70"/>
      <c r="E32" s="70"/>
      <c r="F32" s="70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112"/>
      <c r="AF32" s="112"/>
      <c r="AG32" s="112"/>
      <c r="AH32" s="119"/>
      <c r="AI32" s="68"/>
    </row>
    <row r="33" spans="1:35" s="277" customFormat="1" ht="30" x14ac:dyDescent="0.4">
      <c r="A33" s="68"/>
      <c r="B33" s="479" t="str">
        <f ca="1">"　"&amp;RIGHT(CELL("filename",A1),LEN(CELL("filename",A1))-FIND("]",CELL("filename",A1)))&amp;"　単位表"</f>
        <v>　１年秋　単位表</v>
      </c>
      <c r="C33" s="479"/>
      <c r="D33" s="479"/>
      <c r="E33" s="479"/>
      <c r="F33" s="479"/>
      <c r="G33" s="479"/>
      <c r="H33" s="479"/>
      <c r="I33" s="479"/>
      <c r="J33" s="479"/>
      <c r="K33" s="479"/>
      <c r="L33" s="479"/>
      <c r="M33" s="479"/>
      <c r="N33" s="479"/>
      <c r="O33" s="479"/>
      <c r="P33" s="479"/>
      <c r="Q33" s="479"/>
      <c r="R33" s="479"/>
      <c r="S33" s="479"/>
      <c r="T33" s="479"/>
      <c r="U33" s="479"/>
      <c r="V33" s="479"/>
      <c r="W33" s="479"/>
      <c r="X33" s="479"/>
      <c r="Y33" s="479"/>
      <c r="Z33" s="479"/>
      <c r="AA33" s="479"/>
      <c r="AB33" s="479"/>
      <c r="AC33" s="479"/>
      <c r="AD33" s="479"/>
      <c r="AE33" s="112"/>
      <c r="AF33" s="112"/>
      <c r="AG33" s="112"/>
      <c r="AH33" s="119"/>
      <c r="AI33" s="68"/>
    </row>
    <row r="34" spans="1:35" s="276" customFormat="1" ht="18" customHeight="1" x14ac:dyDescent="0.4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211"/>
      <c r="AB34" s="211" t="s">
        <v>707</v>
      </c>
      <c r="AC34" s="480">
        <f ca="1">NOW()</f>
        <v>43958.619198726854</v>
      </c>
      <c r="AD34" s="480"/>
      <c r="AE34" s="119"/>
      <c r="AF34" s="119"/>
      <c r="AG34" s="119"/>
      <c r="AH34" s="119"/>
      <c r="AI34" s="70"/>
    </row>
    <row r="35" spans="1:35" ht="19.5" thickBot="1" x14ac:dyDescent="0.45"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120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121"/>
      <c r="AF35" s="121"/>
      <c r="AG35" s="121"/>
      <c r="AH35" s="121"/>
    </row>
    <row r="36" spans="1:35" ht="19.5" thickBot="1" x14ac:dyDescent="0.45">
      <c r="B36" s="481">
        <v>2020</v>
      </c>
      <c r="C36" s="482"/>
      <c r="D36" s="280" t="s">
        <v>970</v>
      </c>
      <c r="E36" s="482" t="s">
        <v>979</v>
      </c>
      <c r="F36" s="482"/>
      <c r="G36" s="281" t="s">
        <v>978</v>
      </c>
      <c r="H36" s="483"/>
      <c r="I36" s="483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121"/>
      <c r="AF36" s="121"/>
      <c r="AG36" s="121"/>
      <c r="AH36" s="121"/>
    </row>
    <row r="37" spans="1:35" ht="19.5" thickBot="1" x14ac:dyDescent="0.45">
      <c r="B37" s="484" t="s">
        <v>967</v>
      </c>
      <c r="C37" s="485"/>
      <c r="D37" s="485"/>
      <c r="E37" s="485"/>
      <c r="F37" s="485"/>
      <c r="G37" s="485"/>
      <c r="H37" s="485"/>
      <c r="I37" s="485"/>
      <c r="J37" s="485"/>
      <c r="K37" s="485"/>
      <c r="L37" s="485"/>
      <c r="M37" s="485"/>
      <c r="N37" s="485"/>
      <c r="O37" s="485"/>
      <c r="P37" s="485"/>
      <c r="Q37" s="485"/>
      <c r="R37" s="485"/>
      <c r="S37" s="485"/>
      <c r="T37" s="485"/>
      <c r="U37" s="485"/>
      <c r="V37" s="486" t="s">
        <v>968</v>
      </c>
      <c r="W37" s="487"/>
      <c r="X37" s="487"/>
      <c r="Y37" s="487"/>
      <c r="Z37" s="487"/>
      <c r="AA37" s="487"/>
      <c r="AB37" s="487"/>
      <c r="AC37" s="487"/>
      <c r="AD37" s="488"/>
      <c r="AE37" s="472" t="s">
        <v>993</v>
      </c>
      <c r="AF37" s="473"/>
      <c r="AG37" s="473"/>
      <c r="AH37" s="474"/>
    </row>
    <row r="38" spans="1:35" ht="19.5" hidden="1" thickBot="1" x14ac:dyDescent="0.45">
      <c r="B38" s="434" t="s">
        <v>2174</v>
      </c>
      <c r="C38" s="435"/>
      <c r="D38" s="475" t="str">
        <f>$E$36</f>
        <v>秋</v>
      </c>
      <c r="E38" s="476"/>
      <c r="F38" s="477" t="str">
        <f>IF($D$38="春","第１ターム",IF($D$38="秋","第４ターム",""))</f>
        <v>第４ターム</v>
      </c>
      <c r="G38" s="477"/>
      <c r="H38" s="477" t="str">
        <f>IF($D$38="春","第２ターム",IF($D$38="秋","第５ターム",""))</f>
        <v>第５ターム</v>
      </c>
      <c r="I38" s="478"/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460"/>
      <c r="U38" s="460"/>
      <c r="V38" s="460"/>
      <c r="W38" s="460"/>
      <c r="X38" s="460"/>
      <c r="Y38" s="460"/>
      <c r="Z38" s="460"/>
      <c r="AA38" s="460"/>
      <c r="AB38" s="460"/>
      <c r="AC38" s="460"/>
      <c r="AD38" s="460"/>
      <c r="AE38" s="298"/>
      <c r="AF38" s="298"/>
      <c r="AG38" s="298"/>
      <c r="AH38" s="298"/>
    </row>
    <row r="39" spans="1:35" ht="18.600000000000001" hidden="1" customHeight="1" thickBot="1" x14ac:dyDescent="0.45">
      <c r="B39" s="432" t="s">
        <v>977</v>
      </c>
      <c r="C39" s="461"/>
      <c r="D39" s="464" t="s">
        <v>970</v>
      </c>
      <c r="E39" s="465"/>
      <c r="F39" s="466">
        <f>$B$36</f>
        <v>2020</v>
      </c>
      <c r="G39" s="467"/>
      <c r="H39" s="468" t="s">
        <v>971</v>
      </c>
      <c r="I39" s="469"/>
      <c r="J39" s="470" t="s">
        <v>972</v>
      </c>
      <c r="K39" s="471"/>
      <c r="L39" s="450" t="s">
        <v>58</v>
      </c>
      <c r="M39" s="450"/>
      <c r="N39" s="451" t="s">
        <v>973</v>
      </c>
      <c r="O39" s="452"/>
      <c r="P39" s="448" t="s">
        <v>975</v>
      </c>
      <c r="Q39" s="453"/>
      <c r="R39" s="454" t="s">
        <v>974</v>
      </c>
      <c r="S39" s="455"/>
      <c r="T39" s="456" t="s">
        <v>972</v>
      </c>
      <c r="U39" s="457"/>
      <c r="V39" s="458" t="s">
        <v>500</v>
      </c>
      <c r="W39" s="459"/>
      <c r="X39" s="440" t="s">
        <v>973</v>
      </c>
      <c r="Y39" s="441"/>
      <c r="Z39" s="442" t="s">
        <v>976</v>
      </c>
      <c r="AA39" s="443"/>
      <c r="AB39" s="282"/>
      <c r="AC39" s="282"/>
      <c r="AD39" s="282"/>
      <c r="AE39" s="360" t="s">
        <v>994</v>
      </c>
      <c r="AF39" s="122">
        <f>ROW(AE43)+1</f>
        <v>44</v>
      </c>
      <c r="AG39" s="298"/>
      <c r="AH39" s="298"/>
    </row>
    <row r="40" spans="1:35" ht="19.5" hidden="1" thickBot="1" x14ac:dyDescent="0.45">
      <c r="B40" s="462"/>
      <c r="C40" s="463"/>
      <c r="D40" s="444" t="s">
        <v>969</v>
      </c>
      <c r="E40" s="445"/>
      <c r="F40" s="446">
        <v>3</v>
      </c>
      <c r="G40" s="447"/>
      <c r="H40" s="448">
        <v>2</v>
      </c>
      <c r="I40" s="447"/>
      <c r="J40" s="448">
        <v>2</v>
      </c>
      <c r="K40" s="447"/>
      <c r="L40" s="448">
        <v>3</v>
      </c>
      <c r="M40" s="447"/>
      <c r="N40" s="297">
        <v>7</v>
      </c>
      <c r="O40" s="297">
        <v>8</v>
      </c>
      <c r="P40" s="297">
        <v>10</v>
      </c>
      <c r="Q40" s="448">
        <v>11</v>
      </c>
      <c r="R40" s="447"/>
      <c r="S40" s="297">
        <v>6</v>
      </c>
      <c r="T40" s="297" t="s">
        <v>11</v>
      </c>
      <c r="U40" s="297" t="s">
        <v>11</v>
      </c>
      <c r="V40" s="123">
        <v>12</v>
      </c>
      <c r="W40" s="206">
        <v>4</v>
      </c>
      <c r="X40" s="206">
        <v>5</v>
      </c>
      <c r="Y40" s="206">
        <v>6</v>
      </c>
      <c r="Z40" s="430">
        <v>7</v>
      </c>
      <c r="AA40" s="449"/>
      <c r="AB40" s="430">
        <v>8</v>
      </c>
      <c r="AC40" s="431"/>
      <c r="AD40" s="431"/>
      <c r="AE40" s="361" t="s">
        <v>995</v>
      </c>
      <c r="AF40" s="124">
        <f ca="1">AF39+COUNTA(AF44:AF108)-1</f>
        <v>73</v>
      </c>
      <c r="AG40" s="298"/>
      <c r="AH40" s="298"/>
    </row>
    <row r="41" spans="1:35" ht="19.5" hidden="1" thickBot="1" x14ac:dyDescent="0.45">
      <c r="B41" s="432" t="s">
        <v>1005</v>
      </c>
      <c r="C41" s="433"/>
      <c r="D41" s="196" t="s">
        <v>939</v>
      </c>
      <c r="E41" s="197" t="s">
        <v>941</v>
      </c>
      <c r="F41" s="197" t="s">
        <v>940</v>
      </c>
      <c r="G41" s="197" t="s">
        <v>944</v>
      </c>
      <c r="H41" s="197" t="s">
        <v>954</v>
      </c>
      <c r="I41" s="197" t="s">
        <v>958</v>
      </c>
      <c r="J41" s="197" t="s">
        <v>960</v>
      </c>
      <c r="K41" s="197" t="s">
        <v>957</v>
      </c>
      <c r="L41" s="197" t="s">
        <v>961</v>
      </c>
      <c r="M41" s="197" t="s">
        <v>15</v>
      </c>
      <c r="N41" s="197" t="s">
        <v>9</v>
      </c>
      <c r="O41" s="197" t="s">
        <v>16</v>
      </c>
      <c r="P41" s="198" t="s">
        <v>959</v>
      </c>
      <c r="Q41" s="198" t="s">
        <v>962</v>
      </c>
      <c r="R41" s="198" t="s">
        <v>945</v>
      </c>
      <c r="S41" s="198" t="s">
        <v>946</v>
      </c>
      <c r="T41" s="198" t="s">
        <v>947</v>
      </c>
      <c r="U41" s="198" t="s">
        <v>948</v>
      </c>
      <c r="V41" s="199" t="s">
        <v>996</v>
      </c>
      <c r="W41" s="200" t="s">
        <v>997</v>
      </c>
      <c r="X41" s="195"/>
      <c r="Y41" s="195"/>
      <c r="Z41" s="296"/>
      <c r="AA41" s="296"/>
      <c r="AB41" s="296"/>
      <c r="AC41" s="296"/>
      <c r="AD41" s="296"/>
      <c r="AE41" s="298"/>
      <c r="AF41" s="298"/>
      <c r="AG41" s="298"/>
      <c r="AH41" s="298"/>
    </row>
    <row r="42" spans="1:35" ht="19.5" hidden="1" thickBot="1" x14ac:dyDescent="0.45">
      <c r="B42" s="434"/>
      <c r="C42" s="435"/>
      <c r="D42" s="201" t="str">
        <f>LEFT(ADDRESS(1,COLUMN($B$43),2),FIND("$",ADDRESS(1,COLUMN($B$43),2))-1)</f>
        <v>B</v>
      </c>
      <c r="E42" s="202" t="str">
        <f>LEFT(ADDRESS(1,COLUMN($F$43),2),FIND("$",ADDRESS(1,COLUMN($F$43),2))-1)</f>
        <v>F</v>
      </c>
      <c r="F42" s="203" t="str">
        <f>LEFT(ADDRESS(1,COLUMN($H$43),2),FIND("$",ADDRESS(1,COLUMN($H$43),2))-1)</f>
        <v>H</v>
      </c>
      <c r="G42" s="203" t="str">
        <f>LEFT(ADDRESS(1,COLUMN($J$43),2),FIND("$",ADDRESS(1,COLUMN($J$43),2))-1)</f>
        <v>J</v>
      </c>
      <c r="H42" s="203" t="str">
        <f>LEFT(ADDRESS(1,COLUMN($L$43),2),FIND("$",ADDRESS(1,COLUMN($L$43),2))-1)</f>
        <v>L</v>
      </c>
      <c r="I42" s="203" t="str">
        <f>LEFT(ADDRESS(1,COLUMN($N$43),2),FIND("$",ADDRESS(1,COLUMN($N$43),2))-1)</f>
        <v>N</v>
      </c>
      <c r="J42" s="203" t="str">
        <f>LEFT(ADDRESS(1,COLUMN($O$43),2),FIND("$",ADDRESS(1,COLUMN($O$43),2))-1)</f>
        <v>O</v>
      </c>
      <c r="K42" s="203" t="str">
        <f>LEFT(ADDRESS(1,COLUMN($P$43),2),FIND("$",ADDRESS(1,COLUMN($P$43),2))-1)</f>
        <v>P</v>
      </c>
      <c r="L42" s="203" t="str">
        <f>LEFT(ADDRESS(1,COLUMN($Q$43),2),FIND("$",ADDRESS(1,COLUMN($Q$43),2))-1)</f>
        <v>Q</v>
      </c>
      <c r="M42" s="202" t="str">
        <f>LEFT(ADDRESS(1,COLUMN($S$43),2),FIND("$",ADDRESS(1,COLUMN($S$43),2))-1)</f>
        <v>S</v>
      </c>
      <c r="N42" s="202" t="str">
        <f>LEFT(ADDRESS(1,COLUMN($T$43),2),FIND("$",ADDRESS(1,COLUMN($T$43),2))-1)</f>
        <v>T</v>
      </c>
      <c r="O42" s="202" t="str">
        <f>LEFT(ADDRESS(1,COLUMN($U$43),2),FIND("$",ADDRESS(1,COLUMN($U$43),2))-1)</f>
        <v>U</v>
      </c>
      <c r="P42" s="204" t="str">
        <f>LEFT(ADDRESS(1,COLUMN($V$43),2),FIND("$",ADDRESS(1,COLUMN($V$43),2))-1)</f>
        <v>V</v>
      </c>
      <c r="Q42" s="204" t="str">
        <f>LEFT(ADDRESS(1,COLUMN($W$43),2),FIND("$",ADDRESS(1,COLUMN($W$43),2))-1)</f>
        <v>W</v>
      </c>
      <c r="R42" s="204" t="str">
        <f>LEFT(ADDRESS(1,COLUMN($X$43),2),FIND("$",ADDRESS(1,COLUMN($X$43),2))-1)</f>
        <v>X</v>
      </c>
      <c r="S42" s="204" t="str">
        <f>LEFT(ADDRESS(1,COLUMN($Y$43),2),FIND("$",ADDRESS(1,COLUMN($Y$43),2))-1)</f>
        <v>Y</v>
      </c>
      <c r="T42" s="205" t="str">
        <f>LEFT(ADDRESS(1,COLUMN($Z$43),2),FIND("$",ADDRESS(1,COLUMN($Z$43),2))-1)</f>
        <v>Z</v>
      </c>
      <c r="U42" s="205" t="str">
        <f>LEFT(ADDRESS(1,COLUMN($AB$43),2),FIND("$",ADDRESS(1,COLUMN($AB$43),2))-1)</f>
        <v>AB</v>
      </c>
      <c r="V42" s="125" t="str">
        <f>LEFT(ADDRESS(1,COLUMN($AE$43),2),FIND("$",ADDRESS(1,COLUMN($AE$43),2))-1)</f>
        <v>AE</v>
      </c>
      <c r="W42" s="126" t="str">
        <f>LEFT(ADDRESS(1,COLUMN($AF$43),2),FIND("$",ADDRESS(1,COLUMN($AF$43),2))-1)</f>
        <v>AF</v>
      </c>
      <c r="X42" s="127"/>
      <c r="Y42" s="127"/>
      <c r="Z42" s="296"/>
      <c r="AA42" s="296"/>
      <c r="AB42" s="296"/>
      <c r="AC42" s="296"/>
      <c r="AD42" s="296"/>
      <c r="AE42" s="298"/>
      <c r="AF42" s="298"/>
      <c r="AG42" s="298"/>
      <c r="AH42" s="298"/>
    </row>
    <row r="43" spans="1:35" ht="19.5" thickBot="1" x14ac:dyDescent="0.45">
      <c r="B43" s="436" t="s">
        <v>939</v>
      </c>
      <c r="C43" s="437"/>
      <c r="D43" s="437"/>
      <c r="E43" s="437"/>
      <c r="F43" s="437" t="s">
        <v>941</v>
      </c>
      <c r="G43" s="437"/>
      <c r="H43" s="437" t="s">
        <v>940</v>
      </c>
      <c r="I43" s="437"/>
      <c r="J43" s="437" t="s">
        <v>944</v>
      </c>
      <c r="K43" s="437"/>
      <c r="L43" s="437" t="s">
        <v>954</v>
      </c>
      <c r="M43" s="437"/>
      <c r="N43" s="294" t="s">
        <v>958</v>
      </c>
      <c r="O43" s="294" t="s">
        <v>960</v>
      </c>
      <c r="P43" s="294" t="s">
        <v>957</v>
      </c>
      <c r="Q43" s="437" t="s">
        <v>961</v>
      </c>
      <c r="R43" s="437"/>
      <c r="S43" s="294" t="s">
        <v>15</v>
      </c>
      <c r="T43" s="294" t="s">
        <v>9</v>
      </c>
      <c r="U43" s="189" t="s">
        <v>16</v>
      </c>
      <c r="V43" s="128" t="s">
        <v>959</v>
      </c>
      <c r="W43" s="295" t="s">
        <v>962</v>
      </c>
      <c r="X43" s="295" t="s">
        <v>945</v>
      </c>
      <c r="Y43" s="295" t="s">
        <v>946</v>
      </c>
      <c r="Z43" s="438" t="s">
        <v>947</v>
      </c>
      <c r="AA43" s="438"/>
      <c r="AB43" s="438" t="s">
        <v>948</v>
      </c>
      <c r="AC43" s="438"/>
      <c r="AD43" s="439"/>
      <c r="AE43" s="355" t="s">
        <v>996</v>
      </c>
      <c r="AF43" s="357" t="s">
        <v>997</v>
      </c>
      <c r="AG43" s="357" t="s">
        <v>2179</v>
      </c>
      <c r="AH43" s="356" t="s">
        <v>2508</v>
      </c>
    </row>
    <row r="44" spans="1:35" ht="19.5" thickTop="1" x14ac:dyDescent="0.4">
      <c r="B44" s="424"/>
      <c r="C44" s="425"/>
      <c r="D44" s="425"/>
      <c r="E44" s="425"/>
      <c r="F44" s="410" t="str">
        <f ca="1">IFERROR(VLOOKUP($B44,INDIRECT(CONCATENATE("'",$F$39,$V$39,"'!",$Z$39)),$F$40,FALSE)&amp;"","")</f>
        <v/>
      </c>
      <c r="G44" s="410"/>
      <c r="H44" s="429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429"/>
      <c r="J44" s="410" t="str">
        <f ca="1">IFERROR(VLOOKUP($B44,INDIRECT(CONCATENATE("'",成績管理表!$D$9,$L$39,"'!",$P$39)),$J$40,FALSE)&amp;"","")</f>
        <v/>
      </c>
      <c r="K44" s="410"/>
      <c r="L44" s="410" t="str">
        <f ca="1">IFERROR(VLOOKUP($B44,INDIRECT(CONCATENATE("'",成績管理表!$D$9,$L$39,"'!",$P$39)),$L$40,FALSE)&amp;"","")</f>
        <v/>
      </c>
      <c r="M44" s="410"/>
      <c r="N44" s="292" t="str">
        <f ca="1">IFERROR(VLOOKUP($B44,INDIRECT(CONCATENATE("'",成績管理表!$D$9,$L$39,"'!",$P$39)),$N$40,FALSE)&amp;"","")</f>
        <v/>
      </c>
      <c r="O44" s="292" t="str">
        <f ca="1">IFERROR(VLOOKUP($B44,INDIRECT(CONCATENATE("'",成績管理表!$D$9,$L$39,"'!",$P$39)),$O$40,FALSE)&amp;"","")</f>
        <v/>
      </c>
      <c r="P44" s="292" t="str">
        <f ca="1">IFERROR(VLOOKUP($B44,INDIRECT(CONCATENATE("'",成績管理表!$D$9,$L$39,"'!",$P$39)),$P$40,FALSE)&amp;"","")</f>
        <v/>
      </c>
      <c r="Q44" s="410" t="str">
        <f ca="1">IFERROR(VLOOKUP($B44,INDIRECT(CONCATENATE("'",成績管理表!$D$9,$L$39,"'!",$P$39)),$Q$40,FALSE)&amp;"","")</f>
        <v/>
      </c>
      <c r="R44" s="410"/>
      <c r="S44" s="129" t="str">
        <f ca="1">IFERROR(VLOOKUP($B44,INDIRECT(CONCATENATE("'",成績管理表!$D$9,$L$39,"'!",$P$39)),$S$40,FALSE),"")</f>
        <v/>
      </c>
      <c r="T44" s="110"/>
      <c r="U44" s="190" t="str">
        <f>IF($T44="秀",4.5*$S44,IF($T44="優",4*$S44,IF($T44="良",3*$S44,IF($T44="可",2*$S44,IF($T44="不可",0,"")))))</f>
        <v/>
      </c>
      <c r="V44" s="130" t="str">
        <f ca="1">IFERROR(VLOOKUP($B44,INDIRECT(CONCATENATE("'",成績管理表!$D$9,$L$39,"'!",$P$39)),$V$40,FALSE)&amp;"","")</f>
        <v/>
      </c>
      <c r="W44" s="292" t="str">
        <f ca="1">IFERROR(VLOOKUP($B44,INDIRECT(CONCATENATE("'",$F$39,$V$39,"'!",$Z$39)),$W$40,FALSE)&amp;"","")</f>
        <v/>
      </c>
      <c r="X44" s="292" t="str">
        <f ca="1">IFERROR(VLOOKUP($B44,INDIRECT(CONCATENATE("'",$F$39,$V$39,"'!",$Z$39)),$X$40,FALSE)&amp;"","")</f>
        <v/>
      </c>
      <c r="Y44" s="292" t="str">
        <f ca="1">IFERROR(VLOOKUP($B44,INDIRECT(CONCATENATE("'",$F$39,$V$39,"'!",$Z$39)),$Y$40,FALSE)&amp;"","")</f>
        <v/>
      </c>
      <c r="Z44" s="410" t="str">
        <f ca="1">IFERROR(VLOOKUP($B44,INDIRECT(CONCATENATE("'",$F$39,$V$39,"'!",$Z$39)),$Z$40,FALSE)&amp;"","")</f>
        <v/>
      </c>
      <c r="AA44" s="410"/>
      <c r="AB44" s="411" t="str">
        <f ca="1">IFERROR(VLOOKUP($B44,INDIRECT(CONCATENATE("'",$F$39,$V$39,"'!",$Z$39)),$AB$40,FALSE)&amp;"","")</f>
        <v/>
      </c>
      <c r="AC44" s="411"/>
      <c r="AD44" s="412"/>
      <c r="AE44" s="130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9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92" t="b">
        <f ca="1">OR(OR($W44=$D$38,$W44=$F$38,$W44=$H$38),LEN($W44)=0)</f>
        <v>1</v>
      </c>
      <c r="AH44" s="131" t="b">
        <f ca="1">OR(LEN(AF44)=0,
$AE44="集中講義等",
$AE44="演習",
IF(COUNTIF($AF44,"*/*")=1,COUNTIF($AF44,"*-1*-1*")=1,COUNTIF($AF44,"*-1*")=1)
)</f>
        <v>1</v>
      </c>
      <c r="AI44" s="132"/>
    </row>
    <row r="45" spans="1:35" ht="18.75" x14ac:dyDescent="0.4">
      <c r="B45" s="426"/>
      <c r="C45" s="427"/>
      <c r="D45" s="427"/>
      <c r="E45" s="428"/>
      <c r="F45" s="422" t="str">
        <f t="shared" ref="F45:F73" ca="1" si="127">IFERROR(VLOOKUP($B45,INDIRECT(CONCATENATE("'",$F$39,$V$39,"'!",$Z$39)),$F$40,FALSE)&amp;"","")</f>
        <v/>
      </c>
      <c r="G45" s="422"/>
      <c r="H45" s="42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423"/>
      <c r="J45" s="410" t="str">
        <f ca="1">IFERROR(VLOOKUP($B45,INDIRECT(CONCATENATE("'",成績管理表!$D$9,$L$39,"'!",$P$39)),$J$40,FALSE)&amp;"","")</f>
        <v/>
      </c>
      <c r="K45" s="410"/>
      <c r="L45" s="410" t="str">
        <f ca="1">IFERROR(VLOOKUP($B45,INDIRECT(CONCATENATE("'",成績管理表!$D$9,$L$39,"'!",$P$39)),$L$40,FALSE)&amp;"","")</f>
        <v/>
      </c>
      <c r="M45" s="410"/>
      <c r="N45" s="292" t="str">
        <f ca="1">IFERROR(VLOOKUP($B45,INDIRECT(CONCATENATE("'",成績管理表!$D$9,$L$39,"'!",$P$39)),$N$40,FALSE)&amp;"","")</f>
        <v/>
      </c>
      <c r="O45" s="292" t="str">
        <f ca="1">IFERROR(VLOOKUP($B45,INDIRECT(CONCATENATE("'",成績管理表!$D$9,$L$39,"'!",$P$39)),$O$40,FALSE)&amp;"","")</f>
        <v/>
      </c>
      <c r="P45" s="292" t="str">
        <f ca="1">IFERROR(VLOOKUP($B45,INDIRECT(CONCATENATE("'",成績管理表!$D$9,$L$39,"'!",$P$39)),$P$40,FALSE)&amp;"","")</f>
        <v/>
      </c>
      <c r="Q45" s="410" t="str">
        <f ca="1">IFERROR(VLOOKUP($B45,INDIRECT(CONCATENATE("'",成績管理表!$D$9,$L$39,"'!",$P$39)),$Q$40,FALSE)&amp;"","")</f>
        <v/>
      </c>
      <c r="R45" s="410"/>
      <c r="S45" s="129" t="str">
        <f ca="1">IFERROR(VLOOKUP($B45,INDIRECT(CONCATENATE("'",成績管理表!$D$9,$L$39,"'!",$P$39)),$S$40,FALSE),"")</f>
        <v/>
      </c>
      <c r="T45" s="110"/>
      <c r="U45" s="190" t="str">
        <f t="shared" ref="U45:U73" si="128">IF($T45="秀",4.5*$S45,IF($T45="優",4*$S45,IF($T45="良",3*$S45,IF($T45="可",2*$S45,IF($T45="不可",0,"")))))</f>
        <v/>
      </c>
      <c r="V45" s="130" t="str">
        <f ca="1">IFERROR(VLOOKUP($B45,INDIRECT(CONCATENATE("'",成績管理表!$D$9,$L$39,"'!",$P$39)),$V$40,FALSE)&amp;"","")</f>
        <v/>
      </c>
      <c r="W45" s="292" t="str">
        <f t="shared" ref="W45:W73" ca="1" si="129">IFERROR(VLOOKUP($B45,INDIRECT(CONCATENATE("'",$F$39,$V$39,"'!",$Z$39)),$W$40,FALSE)&amp;"","")</f>
        <v/>
      </c>
      <c r="X45" s="292" t="str">
        <f t="shared" ref="X45:X73" ca="1" si="130">IFERROR(VLOOKUP($B45,INDIRECT(CONCATENATE("'",$F$39,$V$39,"'!",$Z$39)),$X$40,FALSE)&amp;"","")</f>
        <v/>
      </c>
      <c r="Y45" s="292" t="str">
        <f t="shared" ref="Y45:Y73" ca="1" si="131">IFERROR(VLOOKUP($B45,INDIRECT(CONCATENATE("'",$F$39,$V$39,"'!",$Z$39)),$Y$40,FALSE)&amp;"","")</f>
        <v/>
      </c>
      <c r="Z45" s="410" t="str">
        <f t="shared" ref="Z45:Z73" ca="1" si="132">IFERROR(VLOOKUP($B45,INDIRECT(CONCATENATE("'",$F$39,$V$39,"'!",$Z$39)),$Z$40,FALSE)&amp;"","")</f>
        <v/>
      </c>
      <c r="AA45" s="410"/>
      <c r="AB45" s="411" t="str">
        <f t="shared" ref="AB45:AB73" ca="1" si="133">IFERROR(VLOOKUP($B45,INDIRECT(CONCATENATE("'",$F$39,$V$39,"'!",$Z$39)),$AB$40,FALSE)&amp;"","")</f>
        <v/>
      </c>
      <c r="AC45" s="411"/>
      <c r="AD45" s="412"/>
      <c r="AE45" s="273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9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93" t="b">
        <f t="shared" ref="AG45:AG73" ca="1" si="135">OR(OR($W45=$D$38,$W45=$F$38,$W45=$H$38),LEN($W45)=0)</f>
        <v>1</v>
      </c>
      <c r="AH45" s="131" t="b">
        <f t="shared" ref="AH45:AH73" ca="1" si="136">OR(LEN(AF45)=0,
$AE45="集中講義等",
$AE45="演習",
IF(COUNTIF($AF45,"*/*")=1,COUNTIF($AF45,"*-1*-1*")=1,COUNTIF($AF45,"*-1*")=1)
)</f>
        <v>1</v>
      </c>
      <c r="AI45" s="132"/>
    </row>
    <row r="46" spans="1:35" ht="18.75" x14ac:dyDescent="0.4">
      <c r="B46" s="426"/>
      <c r="C46" s="427"/>
      <c r="D46" s="427"/>
      <c r="E46" s="428"/>
      <c r="F46" s="422" t="str">
        <f t="shared" ca="1" si="127"/>
        <v/>
      </c>
      <c r="G46" s="422"/>
      <c r="H46" s="42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423"/>
      <c r="J46" s="410" t="str">
        <f ca="1">IFERROR(VLOOKUP($B46,INDIRECT(CONCATENATE("'",成績管理表!$D$9,$L$39,"'!",$P$39)),$J$40,FALSE)&amp;"","")</f>
        <v/>
      </c>
      <c r="K46" s="410"/>
      <c r="L46" s="410" t="str">
        <f ca="1">IFERROR(VLOOKUP($B46,INDIRECT(CONCATENATE("'",成績管理表!$D$9,$L$39,"'!",$P$39)),$L$40,FALSE)&amp;"","")</f>
        <v/>
      </c>
      <c r="M46" s="410"/>
      <c r="N46" s="292" t="str">
        <f ca="1">IFERROR(VLOOKUP($B46,INDIRECT(CONCATENATE("'",成績管理表!$D$9,$L$39,"'!",$P$39)),$N$40,FALSE)&amp;"","")</f>
        <v/>
      </c>
      <c r="O46" s="292" t="str">
        <f ca="1">IFERROR(VLOOKUP($B46,INDIRECT(CONCATENATE("'",成績管理表!$D$9,$L$39,"'!",$P$39)),$O$40,FALSE)&amp;"","")</f>
        <v/>
      </c>
      <c r="P46" s="292" t="str">
        <f ca="1">IFERROR(VLOOKUP($B46,INDIRECT(CONCATENATE("'",成績管理表!$D$9,$L$39,"'!",$P$39)),$P$40,FALSE)&amp;"","")</f>
        <v/>
      </c>
      <c r="Q46" s="410" t="str">
        <f ca="1">IFERROR(VLOOKUP($B46,INDIRECT(CONCATENATE("'",成績管理表!$D$9,$L$39,"'!",$P$39)),$Q$40,FALSE)&amp;"","")</f>
        <v/>
      </c>
      <c r="R46" s="410"/>
      <c r="S46" s="129" t="str">
        <f ca="1">IFERROR(VLOOKUP($B46,INDIRECT(CONCATENATE("'",成績管理表!$D$9,$L$39,"'!",$P$39)),$S$40,FALSE),"")</f>
        <v/>
      </c>
      <c r="T46" s="110"/>
      <c r="U46" s="190" t="str">
        <f t="shared" si="128"/>
        <v/>
      </c>
      <c r="V46" s="130" t="str">
        <f ca="1">IFERROR(VLOOKUP($B46,INDIRECT(CONCATENATE("'",成績管理表!$D$9,$L$39,"'!",$P$39)),$V$40,FALSE)&amp;"","")</f>
        <v/>
      </c>
      <c r="W46" s="292" t="str">
        <f t="shared" ca="1" si="129"/>
        <v/>
      </c>
      <c r="X46" s="292" t="str">
        <f t="shared" ca="1" si="130"/>
        <v/>
      </c>
      <c r="Y46" s="292" t="str">
        <f t="shared" ca="1" si="131"/>
        <v/>
      </c>
      <c r="Z46" s="410" t="str">
        <f t="shared" ca="1" si="132"/>
        <v/>
      </c>
      <c r="AA46" s="410"/>
      <c r="AB46" s="411" t="str">
        <f t="shared" ca="1" si="133"/>
        <v/>
      </c>
      <c r="AC46" s="411"/>
      <c r="AD46" s="412"/>
      <c r="AE46" s="273" t="str">
        <f t="shared" ca="1" si="134"/>
        <v/>
      </c>
      <c r="AF46" s="29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93" t="b">
        <f t="shared" ca="1" si="135"/>
        <v>1</v>
      </c>
      <c r="AH46" s="131" t="b">
        <f t="shared" ca="1" si="136"/>
        <v>1</v>
      </c>
      <c r="AI46" s="132"/>
    </row>
    <row r="47" spans="1:35" ht="18.75" x14ac:dyDescent="0.4">
      <c r="B47" s="426"/>
      <c r="C47" s="427"/>
      <c r="D47" s="427"/>
      <c r="E47" s="428"/>
      <c r="F47" s="422" t="str">
        <f t="shared" ca="1" si="127"/>
        <v/>
      </c>
      <c r="G47" s="422"/>
      <c r="H47" s="42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423"/>
      <c r="J47" s="410" t="str">
        <f ca="1">IFERROR(VLOOKUP($B47,INDIRECT(CONCATENATE("'",成績管理表!$D$9,$L$39,"'!",$P$39)),$J$40,FALSE)&amp;"","")</f>
        <v/>
      </c>
      <c r="K47" s="410"/>
      <c r="L47" s="410" t="str">
        <f ca="1">IFERROR(VLOOKUP($B47,INDIRECT(CONCATENATE("'",成績管理表!$D$9,$L$39,"'!",$P$39)),$L$40,FALSE)&amp;"","")</f>
        <v/>
      </c>
      <c r="M47" s="410"/>
      <c r="N47" s="292" t="str">
        <f ca="1">IFERROR(VLOOKUP($B47,INDIRECT(CONCATENATE("'",成績管理表!$D$9,$L$39,"'!",$P$39)),$N$40,FALSE)&amp;"","")</f>
        <v/>
      </c>
      <c r="O47" s="292" t="str">
        <f ca="1">IFERROR(VLOOKUP($B47,INDIRECT(CONCATENATE("'",成績管理表!$D$9,$L$39,"'!",$P$39)),$O$40,FALSE)&amp;"","")</f>
        <v/>
      </c>
      <c r="P47" s="292" t="str">
        <f ca="1">IFERROR(VLOOKUP($B47,INDIRECT(CONCATENATE("'",成績管理表!$D$9,$L$39,"'!",$P$39)),$P$40,FALSE)&amp;"","")</f>
        <v/>
      </c>
      <c r="Q47" s="410" t="str">
        <f ca="1">IFERROR(VLOOKUP($B47,INDIRECT(CONCATENATE("'",成績管理表!$D$9,$L$39,"'!",$P$39)),$Q$40,FALSE)&amp;"","")</f>
        <v/>
      </c>
      <c r="R47" s="410"/>
      <c r="S47" s="129" t="str">
        <f ca="1">IFERROR(VLOOKUP($B47,INDIRECT(CONCATENATE("'",成績管理表!$D$9,$L$39,"'!",$P$39)),$S$40,FALSE),"")</f>
        <v/>
      </c>
      <c r="T47" s="110"/>
      <c r="U47" s="190" t="str">
        <f t="shared" si="128"/>
        <v/>
      </c>
      <c r="V47" s="130" t="str">
        <f ca="1">IFERROR(VLOOKUP($B47,INDIRECT(CONCATENATE("'",成績管理表!$D$9,$L$39,"'!",$P$39)),$V$40,FALSE)&amp;"","")</f>
        <v/>
      </c>
      <c r="W47" s="292" t="str">
        <f ca="1">IFERROR(VLOOKUP($B47,INDIRECT(CONCATENATE("'",$F$39,$V$39,"'!",$Z$39)),$W$40,FALSE)&amp;"","")</f>
        <v/>
      </c>
      <c r="X47" s="292" t="str">
        <f t="shared" ca="1" si="130"/>
        <v/>
      </c>
      <c r="Y47" s="292" t="str">
        <f t="shared" ca="1" si="131"/>
        <v/>
      </c>
      <c r="Z47" s="410" t="str">
        <f t="shared" ca="1" si="132"/>
        <v/>
      </c>
      <c r="AA47" s="410"/>
      <c r="AB47" s="411" t="str">
        <f t="shared" ca="1" si="133"/>
        <v/>
      </c>
      <c r="AC47" s="411"/>
      <c r="AD47" s="412"/>
      <c r="AE47" s="273" t="str">
        <f t="shared" ca="1" si="134"/>
        <v/>
      </c>
      <c r="AF47" s="29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93" t="b">
        <f t="shared" ca="1" si="135"/>
        <v>1</v>
      </c>
      <c r="AH47" s="131" t="b">
        <f t="shared" ca="1" si="136"/>
        <v>1</v>
      </c>
      <c r="AI47" s="132"/>
    </row>
    <row r="48" spans="1:35" ht="18.75" x14ac:dyDescent="0.4">
      <c r="B48" s="420"/>
      <c r="C48" s="421"/>
      <c r="D48" s="421"/>
      <c r="E48" s="421"/>
      <c r="F48" s="422" t="str">
        <f t="shared" ca="1" si="127"/>
        <v/>
      </c>
      <c r="G48" s="422"/>
      <c r="H48" s="42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423"/>
      <c r="J48" s="410" t="str">
        <f ca="1">IFERROR(VLOOKUP($B48,INDIRECT(CONCATENATE("'",成績管理表!$D$9,$L$39,"'!",$P$39)),$J$40,FALSE)&amp;"","")</f>
        <v/>
      </c>
      <c r="K48" s="410"/>
      <c r="L48" s="410" t="str">
        <f ca="1">IFERROR(VLOOKUP($B48,INDIRECT(CONCATENATE("'",成績管理表!$D$9,$L$39,"'!",$P$39)),$L$40,FALSE)&amp;"","")</f>
        <v/>
      </c>
      <c r="M48" s="410"/>
      <c r="N48" s="292" t="str">
        <f ca="1">IFERROR(VLOOKUP($B48,INDIRECT(CONCATENATE("'",成績管理表!$D$9,$L$39,"'!",$P$39)),$N$40,FALSE)&amp;"","")</f>
        <v/>
      </c>
      <c r="O48" s="292" t="str">
        <f ca="1">IFERROR(VLOOKUP($B48,INDIRECT(CONCATENATE("'",成績管理表!$D$9,$L$39,"'!",$P$39)),$O$40,FALSE)&amp;"","")</f>
        <v/>
      </c>
      <c r="P48" s="292" t="str">
        <f ca="1">IFERROR(VLOOKUP($B48,INDIRECT(CONCATENATE("'",成績管理表!$D$9,$L$39,"'!",$P$39)),$P$40,FALSE)&amp;"","")</f>
        <v/>
      </c>
      <c r="Q48" s="410" t="str">
        <f ca="1">IFERROR(VLOOKUP($B48,INDIRECT(CONCATENATE("'",成績管理表!$D$9,$L$39,"'!",$P$39)),$Q$40,FALSE)&amp;"","")</f>
        <v/>
      </c>
      <c r="R48" s="410"/>
      <c r="S48" s="129" t="str">
        <f ca="1">IFERROR(VLOOKUP($B48,INDIRECT(CONCATENATE("'",成績管理表!$D$9,$L$39,"'!",$P$39)),$S$40,FALSE),"")</f>
        <v/>
      </c>
      <c r="T48" s="110"/>
      <c r="U48" s="190" t="str">
        <f t="shared" si="128"/>
        <v/>
      </c>
      <c r="V48" s="130" t="str">
        <f ca="1">IFERROR(VLOOKUP($B48,INDIRECT(CONCATENATE("'",成績管理表!$D$9,$L$39,"'!",$P$39)),$V$40,FALSE)&amp;"","")</f>
        <v/>
      </c>
      <c r="W48" s="292" t="str">
        <f t="shared" ca="1" si="129"/>
        <v/>
      </c>
      <c r="X48" s="292" t="str">
        <f t="shared" ca="1" si="130"/>
        <v/>
      </c>
      <c r="Y48" s="292" t="str">
        <f t="shared" ca="1" si="131"/>
        <v/>
      </c>
      <c r="Z48" s="410" t="str">
        <f t="shared" ca="1" si="132"/>
        <v/>
      </c>
      <c r="AA48" s="410"/>
      <c r="AB48" s="411" t="str">
        <f t="shared" ca="1" si="133"/>
        <v/>
      </c>
      <c r="AC48" s="411"/>
      <c r="AD48" s="412"/>
      <c r="AE48" s="273" t="str">
        <f t="shared" ca="1" si="134"/>
        <v/>
      </c>
      <c r="AF48" s="29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93" t="b">
        <f t="shared" ca="1" si="135"/>
        <v>1</v>
      </c>
      <c r="AH48" s="131" t="b">
        <f t="shared" ca="1" si="136"/>
        <v>1</v>
      </c>
      <c r="AI48" s="132"/>
    </row>
    <row r="49" spans="2:35" ht="18.75" x14ac:dyDescent="0.4">
      <c r="B49" s="426"/>
      <c r="C49" s="427"/>
      <c r="D49" s="427"/>
      <c r="E49" s="428"/>
      <c r="F49" s="422" t="str">
        <f t="shared" ca="1" si="127"/>
        <v/>
      </c>
      <c r="G49" s="422"/>
      <c r="H49" s="42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423"/>
      <c r="J49" s="410" t="str">
        <f ca="1">IFERROR(VLOOKUP($B49,INDIRECT(CONCATENATE("'",成績管理表!$D$9,$L$39,"'!",$P$39)),$J$40,FALSE)&amp;"","")</f>
        <v/>
      </c>
      <c r="K49" s="410"/>
      <c r="L49" s="410" t="str">
        <f ca="1">IFERROR(VLOOKUP($B49,INDIRECT(CONCATENATE("'",成績管理表!$D$9,$L$39,"'!",$P$39)),$L$40,FALSE)&amp;"","")</f>
        <v/>
      </c>
      <c r="M49" s="410"/>
      <c r="N49" s="292" t="str">
        <f ca="1">IFERROR(VLOOKUP($B49,INDIRECT(CONCATENATE("'",成績管理表!$D$9,$L$39,"'!",$P$39)),$N$40,FALSE)&amp;"","")</f>
        <v/>
      </c>
      <c r="O49" s="292" t="str">
        <f ca="1">IFERROR(VLOOKUP($B49,INDIRECT(CONCATENATE("'",成績管理表!$D$9,$L$39,"'!",$P$39)),$O$40,FALSE)&amp;"","")</f>
        <v/>
      </c>
      <c r="P49" s="292" t="str">
        <f ca="1">IFERROR(VLOOKUP($B49,INDIRECT(CONCATENATE("'",成績管理表!$D$9,$L$39,"'!",$P$39)),$P$40,FALSE)&amp;"","")</f>
        <v/>
      </c>
      <c r="Q49" s="410" t="str">
        <f ca="1">IFERROR(VLOOKUP($B49,INDIRECT(CONCATENATE("'",成績管理表!$D$9,$L$39,"'!",$P$39)),$Q$40,FALSE)&amp;"","")</f>
        <v/>
      </c>
      <c r="R49" s="410"/>
      <c r="S49" s="129" t="str">
        <f ca="1">IFERROR(VLOOKUP($B49,INDIRECT(CONCATENATE("'",成績管理表!$D$9,$L$39,"'!",$P$39)),$S$40,FALSE),"")</f>
        <v/>
      </c>
      <c r="T49" s="110"/>
      <c r="U49" s="190" t="str">
        <f t="shared" si="128"/>
        <v/>
      </c>
      <c r="V49" s="130" t="str">
        <f ca="1">IFERROR(VLOOKUP($B49,INDIRECT(CONCATENATE("'",成績管理表!$D$9,$L$39,"'!",$P$39)),$V$40,FALSE)&amp;"","")</f>
        <v/>
      </c>
      <c r="W49" s="292" t="str">
        <f t="shared" ca="1" si="129"/>
        <v/>
      </c>
      <c r="X49" s="292" t="str">
        <f t="shared" ca="1" si="130"/>
        <v/>
      </c>
      <c r="Y49" s="292" t="str">
        <f t="shared" ca="1" si="131"/>
        <v/>
      </c>
      <c r="Z49" s="410" t="str">
        <f t="shared" ca="1" si="132"/>
        <v/>
      </c>
      <c r="AA49" s="410"/>
      <c r="AB49" s="411" t="str">
        <f t="shared" ca="1" si="133"/>
        <v/>
      </c>
      <c r="AC49" s="411"/>
      <c r="AD49" s="412"/>
      <c r="AE49" s="273" t="str">
        <f t="shared" ca="1" si="134"/>
        <v/>
      </c>
      <c r="AF49" s="29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93" t="b">
        <f t="shared" ca="1" si="135"/>
        <v>1</v>
      </c>
      <c r="AH49" s="131" t="b">
        <f t="shared" ca="1" si="136"/>
        <v>1</v>
      </c>
      <c r="AI49" s="132"/>
    </row>
    <row r="50" spans="2:35" ht="18.75" x14ac:dyDescent="0.4">
      <c r="B50" s="426"/>
      <c r="C50" s="427"/>
      <c r="D50" s="427"/>
      <c r="E50" s="428"/>
      <c r="F50" s="422" t="str">
        <f t="shared" ca="1" si="127"/>
        <v/>
      </c>
      <c r="G50" s="422"/>
      <c r="H50" s="42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423"/>
      <c r="J50" s="410" t="str">
        <f ca="1">IFERROR(VLOOKUP($B50,INDIRECT(CONCATENATE("'",成績管理表!$D$9,$L$39,"'!",$P$39)),$J$40,FALSE)&amp;"","")</f>
        <v/>
      </c>
      <c r="K50" s="410"/>
      <c r="L50" s="410" t="str">
        <f ca="1">IFERROR(VLOOKUP($B50,INDIRECT(CONCATENATE("'",成績管理表!$D$9,$L$39,"'!",$P$39)),$L$40,FALSE)&amp;"","")</f>
        <v/>
      </c>
      <c r="M50" s="410"/>
      <c r="N50" s="292" t="str">
        <f ca="1">IFERROR(VLOOKUP($B50,INDIRECT(CONCATENATE("'",成績管理表!$D$9,$L$39,"'!",$P$39)),$N$40,FALSE)&amp;"","")</f>
        <v/>
      </c>
      <c r="O50" s="292" t="str">
        <f ca="1">IFERROR(VLOOKUP($B50,INDIRECT(CONCATENATE("'",成績管理表!$D$9,$L$39,"'!",$P$39)),$O$40,FALSE)&amp;"","")</f>
        <v/>
      </c>
      <c r="P50" s="292" t="str">
        <f ca="1">IFERROR(VLOOKUP($B50,INDIRECT(CONCATENATE("'",成績管理表!$D$9,$L$39,"'!",$P$39)),$P$40,FALSE)&amp;"","")</f>
        <v/>
      </c>
      <c r="Q50" s="410" t="str">
        <f ca="1">IFERROR(VLOOKUP($B50,INDIRECT(CONCATENATE("'",成績管理表!$D$9,$L$39,"'!",$P$39)),$Q$40,FALSE)&amp;"","")</f>
        <v/>
      </c>
      <c r="R50" s="410"/>
      <c r="S50" s="129" t="str">
        <f ca="1">IFERROR(VLOOKUP($B50,INDIRECT(CONCATENATE("'",成績管理表!$D$9,$L$39,"'!",$P$39)),$S$40,FALSE),"")</f>
        <v/>
      </c>
      <c r="T50" s="110"/>
      <c r="U50" s="190" t="str">
        <f t="shared" si="128"/>
        <v/>
      </c>
      <c r="V50" s="130" t="str">
        <f ca="1">IFERROR(VLOOKUP($B50,INDIRECT(CONCATENATE("'",成績管理表!$D$9,$L$39,"'!",$P$39)),$V$40,FALSE)&amp;"","")</f>
        <v/>
      </c>
      <c r="W50" s="292" t="str">
        <f t="shared" ca="1" si="129"/>
        <v/>
      </c>
      <c r="X50" s="292" t="str">
        <f t="shared" ca="1" si="130"/>
        <v/>
      </c>
      <c r="Y50" s="292" t="str">
        <f t="shared" ca="1" si="131"/>
        <v/>
      </c>
      <c r="Z50" s="410" t="str">
        <f t="shared" ca="1" si="132"/>
        <v/>
      </c>
      <c r="AA50" s="410"/>
      <c r="AB50" s="411" t="str">
        <f t="shared" ca="1" si="133"/>
        <v/>
      </c>
      <c r="AC50" s="411"/>
      <c r="AD50" s="412"/>
      <c r="AE50" s="273" t="str">
        <f t="shared" ca="1" si="134"/>
        <v/>
      </c>
      <c r="AF50" s="29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93" t="b">
        <f t="shared" ca="1" si="135"/>
        <v>1</v>
      </c>
      <c r="AH50" s="131" t="b">
        <f t="shared" ca="1" si="136"/>
        <v>1</v>
      </c>
      <c r="AI50" s="132"/>
    </row>
    <row r="51" spans="2:35" ht="18.75" x14ac:dyDescent="0.4">
      <c r="B51" s="420"/>
      <c r="C51" s="421"/>
      <c r="D51" s="421"/>
      <c r="E51" s="421"/>
      <c r="F51" s="422" t="str">
        <f t="shared" ca="1" si="127"/>
        <v/>
      </c>
      <c r="G51" s="422"/>
      <c r="H51" s="42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423"/>
      <c r="J51" s="410" t="str">
        <f ca="1">IFERROR(VLOOKUP($B51,INDIRECT(CONCATENATE("'",成績管理表!$D$9,$L$39,"'!",$P$39)),$J$40,FALSE)&amp;"","")</f>
        <v/>
      </c>
      <c r="K51" s="410"/>
      <c r="L51" s="410" t="str">
        <f ca="1">IFERROR(VLOOKUP($B51,INDIRECT(CONCATENATE("'",成績管理表!$D$9,$L$39,"'!",$P$39)),$L$40,FALSE)&amp;"","")</f>
        <v/>
      </c>
      <c r="M51" s="410"/>
      <c r="N51" s="292" t="str">
        <f ca="1">IFERROR(VLOOKUP($B51,INDIRECT(CONCATENATE("'",成績管理表!$D$9,$L$39,"'!",$P$39)),$N$40,FALSE)&amp;"","")</f>
        <v/>
      </c>
      <c r="O51" s="292" t="str">
        <f ca="1">IFERROR(VLOOKUP($B51,INDIRECT(CONCATENATE("'",成績管理表!$D$9,$L$39,"'!",$P$39)),$O$40,FALSE)&amp;"","")</f>
        <v/>
      </c>
      <c r="P51" s="292" t="str">
        <f ca="1">IFERROR(VLOOKUP($B51,INDIRECT(CONCATENATE("'",成績管理表!$D$9,$L$39,"'!",$P$39)),$P$40,FALSE)&amp;"","")</f>
        <v/>
      </c>
      <c r="Q51" s="410" t="str">
        <f ca="1">IFERROR(VLOOKUP($B51,INDIRECT(CONCATENATE("'",成績管理表!$D$9,$L$39,"'!",$P$39)),$Q$40,FALSE)&amp;"","")</f>
        <v/>
      </c>
      <c r="R51" s="410"/>
      <c r="S51" s="129" t="str">
        <f ca="1">IFERROR(VLOOKUP($B51,INDIRECT(CONCATENATE("'",成績管理表!$D$9,$L$39,"'!",$P$39)),$S$40,FALSE),"")</f>
        <v/>
      </c>
      <c r="T51" s="110"/>
      <c r="U51" s="190" t="str">
        <f t="shared" si="128"/>
        <v/>
      </c>
      <c r="V51" s="130" t="str">
        <f ca="1">IFERROR(VLOOKUP($B51,INDIRECT(CONCATENATE("'",成績管理表!$D$9,$L$39,"'!",$P$39)),$V$40,FALSE)&amp;"","")</f>
        <v/>
      </c>
      <c r="W51" s="292" t="str">
        <f t="shared" ca="1" si="129"/>
        <v/>
      </c>
      <c r="X51" s="292" t="str">
        <f t="shared" ca="1" si="130"/>
        <v/>
      </c>
      <c r="Y51" s="292" t="str">
        <f t="shared" ca="1" si="131"/>
        <v/>
      </c>
      <c r="Z51" s="410" t="str">
        <f t="shared" ca="1" si="132"/>
        <v/>
      </c>
      <c r="AA51" s="410"/>
      <c r="AB51" s="411" t="str">
        <f t="shared" ca="1" si="133"/>
        <v/>
      </c>
      <c r="AC51" s="411"/>
      <c r="AD51" s="412"/>
      <c r="AE51" s="273" t="str">
        <f t="shared" ca="1" si="134"/>
        <v/>
      </c>
      <c r="AF51" s="29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93" t="b">
        <f t="shared" ca="1" si="135"/>
        <v>1</v>
      </c>
      <c r="AH51" s="131" t="b">
        <f t="shared" ca="1" si="136"/>
        <v>1</v>
      </c>
      <c r="AI51" s="132"/>
    </row>
    <row r="52" spans="2:35" ht="18.75" x14ac:dyDescent="0.4">
      <c r="B52" s="420"/>
      <c r="C52" s="421"/>
      <c r="D52" s="421"/>
      <c r="E52" s="421"/>
      <c r="F52" s="422" t="str">
        <f t="shared" ca="1" si="127"/>
        <v/>
      </c>
      <c r="G52" s="422"/>
      <c r="H52" s="42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423"/>
      <c r="J52" s="410" t="str">
        <f ca="1">IFERROR(VLOOKUP($B52,INDIRECT(CONCATENATE("'",成績管理表!$D$9,$L$39,"'!",$P$39)),$J$40,FALSE)&amp;"","")</f>
        <v/>
      </c>
      <c r="K52" s="410"/>
      <c r="L52" s="410" t="str">
        <f ca="1">IFERROR(VLOOKUP($B52,INDIRECT(CONCATENATE("'",成績管理表!$D$9,$L$39,"'!",$P$39)),$L$40,FALSE)&amp;"","")</f>
        <v/>
      </c>
      <c r="M52" s="410"/>
      <c r="N52" s="292" t="str">
        <f ca="1">IFERROR(VLOOKUP($B52,INDIRECT(CONCATENATE("'",成績管理表!$D$9,$L$39,"'!",$P$39)),$N$40,FALSE)&amp;"","")</f>
        <v/>
      </c>
      <c r="O52" s="292" t="str">
        <f ca="1">IFERROR(VLOOKUP($B52,INDIRECT(CONCATENATE("'",成績管理表!$D$9,$L$39,"'!",$P$39)),$O$40,FALSE)&amp;"","")</f>
        <v/>
      </c>
      <c r="P52" s="292" t="str">
        <f ca="1">IFERROR(VLOOKUP($B52,INDIRECT(CONCATENATE("'",成績管理表!$D$9,$L$39,"'!",$P$39)),$P$40,FALSE)&amp;"","")</f>
        <v/>
      </c>
      <c r="Q52" s="410" t="str">
        <f ca="1">IFERROR(VLOOKUP($B52,INDIRECT(CONCATENATE("'",成績管理表!$D$9,$L$39,"'!",$P$39)),$Q$40,FALSE)&amp;"","")</f>
        <v/>
      </c>
      <c r="R52" s="410"/>
      <c r="S52" s="129" t="str">
        <f ca="1">IFERROR(VLOOKUP($B52,INDIRECT(CONCATENATE("'",成績管理表!$D$9,$L$39,"'!",$P$39)),$S$40,FALSE),"")</f>
        <v/>
      </c>
      <c r="T52" s="110"/>
      <c r="U52" s="190" t="str">
        <f t="shared" si="128"/>
        <v/>
      </c>
      <c r="V52" s="130" t="str">
        <f ca="1">IFERROR(VLOOKUP($B52,INDIRECT(CONCATENATE("'",成績管理表!$D$9,$L$39,"'!",$P$39)),$V$40,FALSE)&amp;"","")</f>
        <v/>
      </c>
      <c r="W52" s="292" t="str">
        <f t="shared" ca="1" si="129"/>
        <v/>
      </c>
      <c r="X52" s="292" t="str">
        <f t="shared" ca="1" si="130"/>
        <v/>
      </c>
      <c r="Y52" s="292" t="str">
        <f t="shared" ca="1" si="131"/>
        <v/>
      </c>
      <c r="Z52" s="410" t="str">
        <f t="shared" ca="1" si="132"/>
        <v/>
      </c>
      <c r="AA52" s="410"/>
      <c r="AB52" s="411" t="str">
        <f t="shared" ca="1" si="133"/>
        <v/>
      </c>
      <c r="AC52" s="411"/>
      <c r="AD52" s="412"/>
      <c r="AE52" s="273" t="str">
        <f t="shared" ca="1" si="134"/>
        <v/>
      </c>
      <c r="AF52" s="29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93" t="b">
        <f t="shared" ca="1" si="135"/>
        <v>1</v>
      </c>
      <c r="AH52" s="131" t="b">
        <f t="shared" ca="1" si="136"/>
        <v>1</v>
      </c>
      <c r="AI52" s="132"/>
    </row>
    <row r="53" spans="2:35" ht="18.75" x14ac:dyDescent="0.4">
      <c r="B53" s="420"/>
      <c r="C53" s="421"/>
      <c r="D53" s="421"/>
      <c r="E53" s="421"/>
      <c r="F53" s="422" t="str">
        <f t="shared" ca="1" si="127"/>
        <v/>
      </c>
      <c r="G53" s="422"/>
      <c r="H53" s="42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423"/>
      <c r="J53" s="410" t="str">
        <f ca="1">IFERROR(VLOOKUP($B53,INDIRECT(CONCATENATE("'",成績管理表!$D$9,$L$39,"'!",$P$39)),$J$40,FALSE)&amp;"","")</f>
        <v/>
      </c>
      <c r="K53" s="410"/>
      <c r="L53" s="410" t="str">
        <f ca="1">IFERROR(VLOOKUP($B53,INDIRECT(CONCATENATE("'",成績管理表!$D$9,$L$39,"'!",$P$39)),$L$40,FALSE)&amp;"","")</f>
        <v/>
      </c>
      <c r="M53" s="410"/>
      <c r="N53" s="292" t="str">
        <f ca="1">IFERROR(VLOOKUP($B53,INDIRECT(CONCATENATE("'",成績管理表!$D$9,$L$39,"'!",$P$39)),$N$40,FALSE)&amp;"","")</f>
        <v/>
      </c>
      <c r="O53" s="292" t="str">
        <f ca="1">IFERROR(VLOOKUP($B53,INDIRECT(CONCATENATE("'",成績管理表!$D$9,$L$39,"'!",$P$39)),$O$40,FALSE)&amp;"","")</f>
        <v/>
      </c>
      <c r="P53" s="292" t="str">
        <f ca="1">IFERROR(VLOOKUP($B53,INDIRECT(CONCATENATE("'",成績管理表!$D$9,$L$39,"'!",$P$39)),$P$40,FALSE)&amp;"","")</f>
        <v/>
      </c>
      <c r="Q53" s="410" t="str">
        <f ca="1">IFERROR(VLOOKUP($B53,INDIRECT(CONCATENATE("'",成績管理表!$D$9,$L$39,"'!",$P$39)),$Q$40,FALSE)&amp;"","")</f>
        <v/>
      </c>
      <c r="R53" s="410"/>
      <c r="S53" s="129" t="str">
        <f ca="1">IFERROR(VLOOKUP($B53,INDIRECT(CONCATENATE("'",成績管理表!$D$9,$L$39,"'!",$P$39)),$S$40,FALSE),"")</f>
        <v/>
      </c>
      <c r="T53" s="110"/>
      <c r="U53" s="190" t="str">
        <f t="shared" si="128"/>
        <v/>
      </c>
      <c r="V53" s="130" t="str">
        <f ca="1">IFERROR(VLOOKUP($B53,INDIRECT(CONCATENATE("'",成績管理表!$D$9,$L$39,"'!",$P$39)),$V$40,FALSE)&amp;"","")</f>
        <v/>
      </c>
      <c r="W53" s="292" t="str">
        <f t="shared" ca="1" si="129"/>
        <v/>
      </c>
      <c r="X53" s="292" t="str">
        <f t="shared" ca="1" si="130"/>
        <v/>
      </c>
      <c r="Y53" s="292" t="str">
        <f t="shared" ca="1" si="131"/>
        <v/>
      </c>
      <c r="Z53" s="410" t="str">
        <f t="shared" ca="1" si="132"/>
        <v/>
      </c>
      <c r="AA53" s="410"/>
      <c r="AB53" s="411" t="str">
        <f t="shared" ca="1" si="133"/>
        <v/>
      </c>
      <c r="AC53" s="411"/>
      <c r="AD53" s="412"/>
      <c r="AE53" s="273" t="str">
        <f t="shared" ca="1" si="134"/>
        <v/>
      </c>
      <c r="AF53" s="29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93" t="b">
        <f t="shared" ca="1" si="135"/>
        <v>1</v>
      </c>
      <c r="AH53" s="131" t="b">
        <f t="shared" ca="1" si="136"/>
        <v>1</v>
      </c>
      <c r="AI53" s="132"/>
    </row>
    <row r="54" spans="2:35" ht="18.75" x14ac:dyDescent="0.4">
      <c r="B54" s="420"/>
      <c r="C54" s="421"/>
      <c r="D54" s="421"/>
      <c r="E54" s="421"/>
      <c r="F54" s="422" t="str">
        <f t="shared" ca="1" si="127"/>
        <v/>
      </c>
      <c r="G54" s="422"/>
      <c r="H54" s="42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423"/>
      <c r="J54" s="410" t="str">
        <f ca="1">IFERROR(VLOOKUP($B54,INDIRECT(CONCATENATE("'",成績管理表!$D$9,$L$39,"'!",$P$39)),$J$40,FALSE)&amp;"","")</f>
        <v/>
      </c>
      <c r="K54" s="410"/>
      <c r="L54" s="410" t="str">
        <f ca="1">IFERROR(VLOOKUP($B54,INDIRECT(CONCATENATE("'",成績管理表!$D$9,$L$39,"'!",$P$39)),$L$40,FALSE)&amp;"","")</f>
        <v/>
      </c>
      <c r="M54" s="410"/>
      <c r="N54" s="292" t="str">
        <f ca="1">IFERROR(VLOOKUP($B54,INDIRECT(CONCATENATE("'",成績管理表!$D$9,$L$39,"'!",$P$39)),$N$40,FALSE)&amp;"","")</f>
        <v/>
      </c>
      <c r="O54" s="292" t="str">
        <f ca="1">IFERROR(VLOOKUP($B54,INDIRECT(CONCATENATE("'",成績管理表!$D$9,$L$39,"'!",$P$39)),$O$40,FALSE)&amp;"","")</f>
        <v/>
      </c>
      <c r="P54" s="292" t="str">
        <f ca="1">IFERROR(VLOOKUP($B54,INDIRECT(CONCATENATE("'",成績管理表!$D$9,$L$39,"'!",$P$39)),$P$40,FALSE)&amp;"","")</f>
        <v/>
      </c>
      <c r="Q54" s="410" t="str">
        <f ca="1">IFERROR(VLOOKUP($B54,INDIRECT(CONCATENATE("'",成績管理表!$D$9,$L$39,"'!",$P$39)),$Q$40,FALSE)&amp;"","")</f>
        <v/>
      </c>
      <c r="R54" s="410"/>
      <c r="S54" s="129" t="str">
        <f ca="1">IFERROR(VLOOKUP($B54,INDIRECT(CONCATENATE("'",成績管理表!$D$9,$L$39,"'!",$P$39)),$S$40,FALSE),"")</f>
        <v/>
      </c>
      <c r="T54" s="110"/>
      <c r="U54" s="190" t="str">
        <f t="shared" si="128"/>
        <v/>
      </c>
      <c r="V54" s="130" t="str">
        <f ca="1">IFERROR(VLOOKUP($B54,INDIRECT(CONCATENATE("'",成績管理表!$D$9,$L$39,"'!",$P$39)),$V$40,FALSE)&amp;"","")</f>
        <v/>
      </c>
      <c r="W54" s="292" t="str">
        <f t="shared" ca="1" si="129"/>
        <v/>
      </c>
      <c r="X54" s="292" t="str">
        <f t="shared" ca="1" si="130"/>
        <v/>
      </c>
      <c r="Y54" s="292" t="str">
        <f t="shared" ca="1" si="131"/>
        <v/>
      </c>
      <c r="Z54" s="410" t="str">
        <f t="shared" ca="1" si="132"/>
        <v/>
      </c>
      <c r="AA54" s="410"/>
      <c r="AB54" s="411" t="str">
        <f t="shared" ca="1" si="133"/>
        <v/>
      </c>
      <c r="AC54" s="411"/>
      <c r="AD54" s="412"/>
      <c r="AE54" s="273" t="str">
        <f t="shared" ca="1" si="134"/>
        <v/>
      </c>
      <c r="AF54" s="29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93" t="b">
        <f t="shared" ca="1" si="135"/>
        <v>1</v>
      </c>
      <c r="AH54" s="131" t="b">
        <f t="shared" ca="1" si="136"/>
        <v>1</v>
      </c>
      <c r="AI54" s="132"/>
    </row>
    <row r="55" spans="2:35" ht="18.75" x14ac:dyDescent="0.4">
      <c r="B55" s="426"/>
      <c r="C55" s="427"/>
      <c r="D55" s="427"/>
      <c r="E55" s="428"/>
      <c r="F55" s="422" t="str">
        <f t="shared" ca="1" si="127"/>
        <v/>
      </c>
      <c r="G55" s="422"/>
      <c r="H55" s="42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423"/>
      <c r="J55" s="410" t="str">
        <f ca="1">IFERROR(VLOOKUP($B55,INDIRECT(CONCATENATE("'",成績管理表!$D$9,$L$39,"'!",$P$39)),$J$40,FALSE)&amp;"","")</f>
        <v/>
      </c>
      <c r="K55" s="410"/>
      <c r="L55" s="410" t="str">
        <f ca="1">IFERROR(VLOOKUP($B55,INDIRECT(CONCATENATE("'",成績管理表!$D$9,$L$39,"'!",$P$39)),$L$40,FALSE)&amp;"","")</f>
        <v/>
      </c>
      <c r="M55" s="410"/>
      <c r="N55" s="292" t="str">
        <f ca="1">IFERROR(VLOOKUP($B55,INDIRECT(CONCATENATE("'",成績管理表!$D$9,$L$39,"'!",$P$39)),$N$40,FALSE)&amp;"","")</f>
        <v/>
      </c>
      <c r="O55" s="292" t="str">
        <f ca="1">IFERROR(VLOOKUP($B55,INDIRECT(CONCATENATE("'",成績管理表!$D$9,$L$39,"'!",$P$39)),$O$40,FALSE)&amp;"","")</f>
        <v/>
      </c>
      <c r="P55" s="292" t="str">
        <f ca="1">IFERROR(VLOOKUP($B55,INDIRECT(CONCATENATE("'",成績管理表!$D$9,$L$39,"'!",$P$39)),$P$40,FALSE)&amp;"","")</f>
        <v/>
      </c>
      <c r="Q55" s="410" t="str">
        <f ca="1">IFERROR(VLOOKUP($B55,INDIRECT(CONCATENATE("'",成績管理表!$D$9,$L$39,"'!",$P$39)),$Q$40,FALSE)&amp;"","")</f>
        <v/>
      </c>
      <c r="R55" s="410"/>
      <c r="S55" s="129" t="str">
        <f ca="1">IFERROR(VLOOKUP($B55,INDIRECT(CONCATENATE("'",成績管理表!$D$9,$L$39,"'!",$P$39)),$S$40,FALSE),"")</f>
        <v/>
      </c>
      <c r="T55" s="110"/>
      <c r="U55" s="190" t="str">
        <f t="shared" si="128"/>
        <v/>
      </c>
      <c r="V55" s="130" t="str">
        <f ca="1">IFERROR(VLOOKUP($B55,INDIRECT(CONCATENATE("'",成績管理表!$D$9,$L$39,"'!",$P$39)),$V$40,FALSE)&amp;"","")</f>
        <v/>
      </c>
      <c r="W55" s="292" t="str">
        <f t="shared" ca="1" si="129"/>
        <v/>
      </c>
      <c r="X55" s="292" t="str">
        <f t="shared" ca="1" si="130"/>
        <v/>
      </c>
      <c r="Y55" s="292" t="str">
        <f t="shared" ca="1" si="131"/>
        <v/>
      </c>
      <c r="Z55" s="410" t="str">
        <f t="shared" ca="1" si="132"/>
        <v/>
      </c>
      <c r="AA55" s="410"/>
      <c r="AB55" s="411" t="str">
        <f t="shared" ca="1" si="133"/>
        <v/>
      </c>
      <c r="AC55" s="411"/>
      <c r="AD55" s="412"/>
      <c r="AE55" s="273" t="str">
        <f t="shared" ca="1" si="134"/>
        <v/>
      </c>
      <c r="AF55" s="29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93" t="b">
        <f t="shared" ca="1" si="135"/>
        <v>1</v>
      </c>
      <c r="AH55" s="131" t="b">
        <f t="shared" ca="1" si="136"/>
        <v>1</v>
      </c>
      <c r="AI55" s="132"/>
    </row>
    <row r="56" spans="2:35" ht="18.75" x14ac:dyDescent="0.4">
      <c r="B56" s="426"/>
      <c r="C56" s="427"/>
      <c r="D56" s="427"/>
      <c r="E56" s="428"/>
      <c r="F56" s="422" t="str">
        <f t="shared" ca="1" si="127"/>
        <v/>
      </c>
      <c r="G56" s="422"/>
      <c r="H56" s="42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423"/>
      <c r="J56" s="410" t="str">
        <f ca="1">IFERROR(VLOOKUP($B56,INDIRECT(CONCATENATE("'",成績管理表!$D$9,$L$39,"'!",$P$39)),$J$40,FALSE)&amp;"","")</f>
        <v/>
      </c>
      <c r="K56" s="410"/>
      <c r="L56" s="410" t="str">
        <f ca="1">IFERROR(VLOOKUP($B56,INDIRECT(CONCATENATE("'",成績管理表!$D$9,$L$39,"'!",$P$39)),$L$40,FALSE)&amp;"","")</f>
        <v/>
      </c>
      <c r="M56" s="410"/>
      <c r="N56" s="292" t="str">
        <f ca="1">IFERROR(VLOOKUP($B56,INDIRECT(CONCATENATE("'",成績管理表!$D$9,$L$39,"'!",$P$39)),$N$40,FALSE)&amp;"","")</f>
        <v/>
      </c>
      <c r="O56" s="292" t="str">
        <f ca="1">IFERROR(VLOOKUP($B56,INDIRECT(CONCATENATE("'",成績管理表!$D$9,$L$39,"'!",$P$39)),$O$40,FALSE)&amp;"","")</f>
        <v/>
      </c>
      <c r="P56" s="292" t="str">
        <f ca="1">IFERROR(VLOOKUP($B56,INDIRECT(CONCATENATE("'",成績管理表!$D$9,$L$39,"'!",$P$39)),$P$40,FALSE)&amp;"","")</f>
        <v/>
      </c>
      <c r="Q56" s="410" t="str">
        <f ca="1">IFERROR(VLOOKUP($B56,INDIRECT(CONCATENATE("'",成績管理表!$D$9,$L$39,"'!",$P$39)),$Q$40,FALSE)&amp;"","")</f>
        <v/>
      </c>
      <c r="R56" s="410"/>
      <c r="S56" s="129" t="str">
        <f ca="1">IFERROR(VLOOKUP($B56,INDIRECT(CONCATENATE("'",成績管理表!$D$9,$L$39,"'!",$P$39)),$S$40,FALSE),"")</f>
        <v/>
      </c>
      <c r="T56" s="110"/>
      <c r="U56" s="190" t="str">
        <f t="shared" si="128"/>
        <v/>
      </c>
      <c r="V56" s="130" t="str">
        <f ca="1">IFERROR(VLOOKUP($B56,INDIRECT(CONCATENATE("'",成績管理表!$D$9,$L$39,"'!",$P$39)),$V$40,FALSE)&amp;"","")</f>
        <v/>
      </c>
      <c r="W56" s="292" t="str">
        <f t="shared" ca="1" si="129"/>
        <v/>
      </c>
      <c r="X56" s="292" t="str">
        <f t="shared" ca="1" si="130"/>
        <v/>
      </c>
      <c r="Y56" s="292" t="str">
        <f t="shared" ca="1" si="131"/>
        <v/>
      </c>
      <c r="Z56" s="410" t="str">
        <f t="shared" ca="1" si="132"/>
        <v/>
      </c>
      <c r="AA56" s="410"/>
      <c r="AB56" s="411" t="str">
        <f t="shared" ca="1" si="133"/>
        <v/>
      </c>
      <c r="AC56" s="411"/>
      <c r="AD56" s="412"/>
      <c r="AE56" s="273" t="str">
        <f t="shared" ca="1" si="134"/>
        <v/>
      </c>
      <c r="AF56" s="29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93" t="b">
        <f t="shared" ca="1" si="135"/>
        <v>1</v>
      </c>
      <c r="AH56" s="131" t="b">
        <f t="shared" ca="1" si="136"/>
        <v>1</v>
      </c>
      <c r="AI56" s="132"/>
    </row>
    <row r="57" spans="2:35" ht="18.75" x14ac:dyDescent="0.4">
      <c r="B57" s="426"/>
      <c r="C57" s="427"/>
      <c r="D57" s="427"/>
      <c r="E57" s="428"/>
      <c r="F57" s="422" t="str">
        <f t="shared" ca="1" si="127"/>
        <v/>
      </c>
      <c r="G57" s="422"/>
      <c r="H57" s="42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423"/>
      <c r="J57" s="410" t="str">
        <f ca="1">IFERROR(VLOOKUP($B57,INDIRECT(CONCATENATE("'",成績管理表!$D$9,$L$39,"'!",$P$39)),$J$40,FALSE)&amp;"","")</f>
        <v/>
      </c>
      <c r="K57" s="410"/>
      <c r="L57" s="410" t="str">
        <f ca="1">IFERROR(VLOOKUP($B57,INDIRECT(CONCATENATE("'",成績管理表!$D$9,$L$39,"'!",$P$39)),$L$40,FALSE)&amp;"","")</f>
        <v/>
      </c>
      <c r="M57" s="410"/>
      <c r="N57" s="292" t="str">
        <f ca="1">IFERROR(VLOOKUP($B57,INDIRECT(CONCATENATE("'",成績管理表!$D$9,$L$39,"'!",$P$39)),$N$40,FALSE)&amp;"","")</f>
        <v/>
      </c>
      <c r="O57" s="292" t="str">
        <f ca="1">IFERROR(VLOOKUP($B57,INDIRECT(CONCATENATE("'",成績管理表!$D$9,$L$39,"'!",$P$39)),$O$40,FALSE)&amp;"","")</f>
        <v/>
      </c>
      <c r="P57" s="292" t="str">
        <f ca="1">IFERROR(VLOOKUP($B57,INDIRECT(CONCATENATE("'",成績管理表!$D$9,$L$39,"'!",$P$39)),$P$40,FALSE)&amp;"","")</f>
        <v/>
      </c>
      <c r="Q57" s="410" t="str">
        <f ca="1">IFERROR(VLOOKUP($B57,INDIRECT(CONCATENATE("'",成績管理表!$D$9,$L$39,"'!",$P$39)),$Q$40,FALSE)&amp;"","")</f>
        <v/>
      </c>
      <c r="R57" s="410"/>
      <c r="S57" s="129" t="str">
        <f ca="1">IFERROR(VLOOKUP($B57,INDIRECT(CONCATENATE("'",成績管理表!$D$9,$L$39,"'!",$P$39)),$S$40,FALSE),"")</f>
        <v/>
      </c>
      <c r="T57" s="110"/>
      <c r="U57" s="190" t="str">
        <f t="shared" si="128"/>
        <v/>
      </c>
      <c r="V57" s="130" t="str">
        <f ca="1">IFERROR(VLOOKUP($B57,INDIRECT(CONCATENATE("'",成績管理表!$D$9,$L$39,"'!",$P$39)),$V$40,FALSE)&amp;"","")</f>
        <v/>
      </c>
      <c r="W57" s="292" t="str">
        <f t="shared" ca="1" si="129"/>
        <v/>
      </c>
      <c r="X57" s="292" t="str">
        <f t="shared" ca="1" si="130"/>
        <v/>
      </c>
      <c r="Y57" s="292" t="str">
        <f t="shared" ca="1" si="131"/>
        <v/>
      </c>
      <c r="Z57" s="410" t="str">
        <f t="shared" ca="1" si="132"/>
        <v/>
      </c>
      <c r="AA57" s="410"/>
      <c r="AB57" s="411" t="str">
        <f t="shared" ca="1" si="133"/>
        <v/>
      </c>
      <c r="AC57" s="411"/>
      <c r="AD57" s="412"/>
      <c r="AE57" s="273" t="str">
        <f t="shared" ca="1" si="134"/>
        <v/>
      </c>
      <c r="AF57" s="29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93" t="b">
        <f t="shared" ca="1" si="135"/>
        <v>1</v>
      </c>
      <c r="AH57" s="131" t="b">
        <f t="shared" ca="1" si="136"/>
        <v>1</v>
      </c>
      <c r="AI57" s="132"/>
    </row>
    <row r="58" spans="2:35" ht="18.75" x14ac:dyDescent="0.4">
      <c r="B58" s="420"/>
      <c r="C58" s="421"/>
      <c r="D58" s="421"/>
      <c r="E58" s="421"/>
      <c r="F58" s="422" t="str">
        <f t="shared" ca="1" si="127"/>
        <v/>
      </c>
      <c r="G58" s="422"/>
      <c r="H58" s="42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423"/>
      <c r="J58" s="410" t="str">
        <f ca="1">IFERROR(VLOOKUP($B58,INDIRECT(CONCATENATE("'",成績管理表!$D$9,$L$39,"'!",$P$39)),$J$40,FALSE)&amp;"","")</f>
        <v/>
      </c>
      <c r="K58" s="410"/>
      <c r="L58" s="410" t="str">
        <f ca="1">IFERROR(VLOOKUP($B58,INDIRECT(CONCATENATE("'",成績管理表!$D$9,$L$39,"'!",$P$39)),$L$40,FALSE)&amp;"","")</f>
        <v/>
      </c>
      <c r="M58" s="410"/>
      <c r="N58" s="292" t="str">
        <f ca="1">IFERROR(VLOOKUP($B58,INDIRECT(CONCATENATE("'",成績管理表!$D$9,$L$39,"'!",$P$39)),$N$40,FALSE)&amp;"","")</f>
        <v/>
      </c>
      <c r="O58" s="292" t="str">
        <f ca="1">IFERROR(VLOOKUP($B58,INDIRECT(CONCATENATE("'",成績管理表!$D$9,$L$39,"'!",$P$39)),$O$40,FALSE)&amp;"","")</f>
        <v/>
      </c>
      <c r="P58" s="292" t="str">
        <f ca="1">IFERROR(VLOOKUP($B58,INDIRECT(CONCATENATE("'",成績管理表!$D$9,$L$39,"'!",$P$39)),$P$40,FALSE)&amp;"","")</f>
        <v/>
      </c>
      <c r="Q58" s="410" t="str">
        <f ca="1">IFERROR(VLOOKUP($B58,INDIRECT(CONCATENATE("'",成績管理表!$D$9,$L$39,"'!",$P$39)),$Q$40,FALSE)&amp;"","")</f>
        <v/>
      </c>
      <c r="R58" s="410"/>
      <c r="S58" s="129" t="str">
        <f ca="1">IFERROR(VLOOKUP($B58,INDIRECT(CONCATENATE("'",成績管理表!$D$9,$L$39,"'!",$P$39)),$S$40,FALSE),"")</f>
        <v/>
      </c>
      <c r="T58" s="110"/>
      <c r="U58" s="190" t="str">
        <f t="shared" si="128"/>
        <v/>
      </c>
      <c r="V58" s="130" t="str">
        <f ca="1">IFERROR(VLOOKUP($B58,INDIRECT(CONCATENATE("'",成績管理表!$D$9,$L$39,"'!",$P$39)),$V$40,FALSE)&amp;"","")</f>
        <v/>
      </c>
      <c r="W58" s="292" t="str">
        <f t="shared" ca="1" si="129"/>
        <v/>
      </c>
      <c r="X58" s="292" t="str">
        <f t="shared" ca="1" si="130"/>
        <v/>
      </c>
      <c r="Y58" s="292" t="str">
        <f t="shared" ca="1" si="131"/>
        <v/>
      </c>
      <c r="Z58" s="410" t="str">
        <f t="shared" ca="1" si="132"/>
        <v/>
      </c>
      <c r="AA58" s="410"/>
      <c r="AB58" s="411" t="str">
        <f t="shared" ca="1" si="133"/>
        <v/>
      </c>
      <c r="AC58" s="411"/>
      <c r="AD58" s="412"/>
      <c r="AE58" s="273" t="str">
        <f t="shared" ca="1" si="134"/>
        <v/>
      </c>
      <c r="AF58" s="29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93" t="b">
        <f t="shared" ca="1" si="135"/>
        <v>1</v>
      </c>
      <c r="AH58" s="131" t="b">
        <f t="shared" ca="1" si="136"/>
        <v>1</v>
      </c>
      <c r="AI58" s="132"/>
    </row>
    <row r="59" spans="2:35" ht="18.75" x14ac:dyDescent="0.4">
      <c r="B59" s="426"/>
      <c r="C59" s="427"/>
      <c r="D59" s="427"/>
      <c r="E59" s="428"/>
      <c r="F59" s="422" t="str">
        <f t="shared" ca="1" si="127"/>
        <v/>
      </c>
      <c r="G59" s="422"/>
      <c r="H59" s="42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423"/>
      <c r="J59" s="410" t="str">
        <f ca="1">IFERROR(VLOOKUP($B59,INDIRECT(CONCATENATE("'",成績管理表!$D$9,$L$39,"'!",$P$39)),$J$40,FALSE)&amp;"","")</f>
        <v/>
      </c>
      <c r="K59" s="410"/>
      <c r="L59" s="410" t="str">
        <f ca="1">IFERROR(VLOOKUP($B59,INDIRECT(CONCATENATE("'",成績管理表!$D$9,$L$39,"'!",$P$39)),$L$40,FALSE)&amp;"","")</f>
        <v/>
      </c>
      <c r="M59" s="410"/>
      <c r="N59" s="292" t="str">
        <f ca="1">IFERROR(VLOOKUP($B59,INDIRECT(CONCATENATE("'",成績管理表!$D$9,$L$39,"'!",$P$39)),$N$40,FALSE)&amp;"","")</f>
        <v/>
      </c>
      <c r="O59" s="292" t="str">
        <f ca="1">IFERROR(VLOOKUP($B59,INDIRECT(CONCATENATE("'",成績管理表!$D$9,$L$39,"'!",$P$39)),$O$40,FALSE)&amp;"","")</f>
        <v/>
      </c>
      <c r="P59" s="292" t="str">
        <f ca="1">IFERROR(VLOOKUP($B59,INDIRECT(CONCATENATE("'",成績管理表!$D$9,$L$39,"'!",$P$39)),$P$40,FALSE)&amp;"","")</f>
        <v/>
      </c>
      <c r="Q59" s="410" t="str">
        <f ca="1">IFERROR(VLOOKUP($B59,INDIRECT(CONCATENATE("'",成績管理表!$D$9,$L$39,"'!",$P$39)),$Q$40,FALSE)&amp;"","")</f>
        <v/>
      </c>
      <c r="R59" s="410"/>
      <c r="S59" s="129" t="str">
        <f ca="1">IFERROR(VLOOKUP($B59,INDIRECT(CONCATENATE("'",成績管理表!$D$9,$L$39,"'!",$P$39)),$S$40,FALSE),"")</f>
        <v/>
      </c>
      <c r="T59" s="110"/>
      <c r="U59" s="190" t="str">
        <f t="shared" si="128"/>
        <v/>
      </c>
      <c r="V59" s="130" t="str">
        <f ca="1">IFERROR(VLOOKUP($B59,INDIRECT(CONCATENATE("'",成績管理表!$D$9,$L$39,"'!",$P$39)),$V$40,FALSE)&amp;"","")</f>
        <v/>
      </c>
      <c r="W59" s="292" t="str">
        <f t="shared" ca="1" si="129"/>
        <v/>
      </c>
      <c r="X59" s="292" t="str">
        <f t="shared" ca="1" si="130"/>
        <v/>
      </c>
      <c r="Y59" s="292" t="str">
        <f t="shared" ca="1" si="131"/>
        <v/>
      </c>
      <c r="Z59" s="410" t="str">
        <f t="shared" ca="1" si="132"/>
        <v/>
      </c>
      <c r="AA59" s="410"/>
      <c r="AB59" s="411" t="str">
        <f t="shared" ca="1" si="133"/>
        <v/>
      </c>
      <c r="AC59" s="411"/>
      <c r="AD59" s="412"/>
      <c r="AE59" s="273" t="str">
        <f t="shared" ca="1" si="134"/>
        <v/>
      </c>
      <c r="AF59" s="29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93" t="b">
        <f t="shared" ca="1" si="135"/>
        <v>1</v>
      </c>
      <c r="AH59" s="131" t="b">
        <f t="shared" ca="1" si="136"/>
        <v>1</v>
      </c>
    </row>
    <row r="60" spans="2:35" ht="18.75" x14ac:dyDescent="0.4">
      <c r="B60" s="424"/>
      <c r="C60" s="425"/>
      <c r="D60" s="425"/>
      <c r="E60" s="425"/>
      <c r="F60" s="422" t="str">
        <f t="shared" ca="1" si="127"/>
        <v/>
      </c>
      <c r="G60" s="422"/>
      <c r="H60" s="42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423"/>
      <c r="J60" s="410" t="str">
        <f ca="1">IFERROR(VLOOKUP($B60,INDIRECT(CONCATENATE("'",成績管理表!$D$9,$L$39,"'!",$P$39)),$J$40,FALSE)&amp;"","")</f>
        <v/>
      </c>
      <c r="K60" s="410"/>
      <c r="L60" s="410" t="str">
        <f ca="1">IFERROR(VLOOKUP($B60,INDIRECT(CONCATENATE("'",成績管理表!$D$9,$L$39,"'!",$P$39)),$L$40,FALSE)&amp;"","")</f>
        <v/>
      </c>
      <c r="M60" s="410"/>
      <c r="N60" s="292" t="str">
        <f ca="1">IFERROR(VLOOKUP($B60,INDIRECT(CONCATENATE("'",成績管理表!$D$9,$L$39,"'!",$P$39)),$N$40,FALSE)&amp;"","")</f>
        <v/>
      </c>
      <c r="O60" s="292" t="str">
        <f ca="1">IFERROR(VLOOKUP($B60,INDIRECT(CONCATENATE("'",成績管理表!$D$9,$L$39,"'!",$P$39)),$O$40,FALSE)&amp;"","")</f>
        <v/>
      </c>
      <c r="P60" s="292" t="str">
        <f ca="1">IFERROR(VLOOKUP($B60,INDIRECT(CONCATENATE("'",成績管理表!$D$9,$L$39,"'!",$P$39)),$P$40,FALSE)&amp;"","")</f>
        <v/>
      </c>
      <c r="Q60" s="410" t="str">
        <f ca="1">IFERROR(VLOOKUP($B60,INDIRECT(CONCATENATE("'",成績管理表!$D$9,$L$39,"'!",$P$39)),$Q$40,FALSE)&amp;"","")</f>
        <v/>
      </c>
      <c r="R60" s="410"/>
      <c r="S60" s="129" t="str">
        <f ca="1">IFERROR(VLOOKUP($B60,INDIRECT(CONCATENATE("'",成績管理表!$D$9,$L$39,"'!",$P$39)),$S$40,FALSE),"")</f>
        <v/>
      </c>
      <c r="T60" s="110"/>
      <c r="U60" s="190" t="str">
        <f t="shared" si="128"/>
        <v/>
      </c>
      <c r="V60" s="130" t="str">
        <f ca="1">IFERROR(VLOOKUP($B60,INDIRECT(CONCATENATE("'",成績管理表!$D$9,$L$39,"'!",$P$39)),$V$40,FALSE)&amp;"","")</f>
        <v/>
      </c>
      <c r="W60" s="292" t="str">
        <f t="shared" ca="1" si="129"/>
        <v/>
      </c>
      <c r="X60" s="292" t="str">
        <f t="shared" ca="1" si="130"/>
        <v/>
      </c>
      <c r="Y60" s="292" t="str">
        <f t="shared" ca="1" si="131"/>
        <v/>
      </c>
      <c r="Z60" s="410" t="str">
        <f t="shared" ca="1" si="132"/>
        <v/>
      </c>
      <c r="AA60" s="410"/>
      <c r="AB60" s="411" t="str">
        <f t="shared" ca="1" si="133"/>
        <v/>
      </c>
      <c r="AC60" s="411"/>
      <c r="AD60" s="412"/>
      <c r="AE60" s="273" t="str">
        <f t="shared" ca="1" si="134"/>
        <v/>
      </c>
      <c r="AF60" s="29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93" t="b">
        <f t="shared" ca="1" si="135"/>
        <v>1</v>
      </c>
      <c r="AH60" s="131" t="b">
        <f t="shared" ca="1" si="136"/>
        <v>1</v>
      </c>
    </row>
    <row r="61" spans="2:35" ht="18.75" x14ac:dyDescent="0.4">
      <c r="B61" s="424"/>
      <c r="C61" s="425"/>
      <c r="D61" s="425"/>
      <c r="E61" s="425"/>
      <c r="F61" s="422" t="str">
        <f t="shared" ca="1" si="127"/>
        <v/>
      </c>
      <c r="G61" s="422"/>
      <c r="H61" s="42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423"/>
      <c r="J61" s="410" t="str">
        <f ca="1">IFERROR(VLOOKUP($B61,INDIRECT(CONCATENATE("'",成績管理表!$D$9,$L$39,"'!",$P$39)),$J$40,FALSE)&amp;"","")</f>
        <v/>
      </c>
      <c r="K61" s="410"/>
      <c r="L61" s="410" t="str">
        <f ca="1">IFERROR(VLOOKUP($B61,INDIRECT(CONCATENATE("'",成績管理表!$D$9,$L$39,"'!",$P$39)),$L$40,FALSE)&amp;"","")</f>
        <v/>
      </c>
      <c r="M61" s="410"/>
      <c r="N61" s="292" t="str">
        <f ca="1">IFERROR(VLOOKUP($B61,INDIRECT(CONCATENATE("'",成績管理表!$D$9,$L$39,"'!",$P$39)),$N$40,FALSE)&amp;"","")</f>
        <v/>
      </c>
      <c r="O61" s="292" t="str">
        <f ca="1">IFERROR(VLOOKUP($B61,INDIRECT(CONCATENATE("'",成績管理表!$D$9,$L$39,"'!",$P$39)),$O$40,FALSE)&amp;"","")</f>
        <v/>
      </c>
      <c r="P61" s="292" t="str">
        <f ca="1">IFERROR(VLOOKUP($B61,INDIRECT(CONCATENATE("'",成績管理表!$D$9,$L$39,"'!",$P$39)),$P$40,FALSE)&amp;"","")</f>
        <v/>
      </c>
      <c r="Q61" s="410" t="str">
        <f ca="1">IFERROR(VLOOKUP($B61,INDIRECT(CONCATENATE("'",成績管理表!$D$9,$L$39,"'!",$P$39)),$Q$40,FALSE)&amp;"","")</f>
        <v/>
      </c>
      <c r="R61" s="410"/>
      <c r="S61" s="129" t="str">
        <f ca="1">IFERROR(VLOOKUP($B61,INDIRECT(CONCATENATE("'",成績管理表!$D$9,$L$39,"'!",$P$39)),$S$40,FALSE),"")</f>
        <v/>
      </c>
      <c r="T61" s="110"/>
      <c r="U61" s="190" t="str">
        <f t="shared" si="128"/>
        <v/>
      </c>
      <c r="V61" s="130" t="str">
        <f ca="1">IFERROR(VLOOKUP($B61,INDIRECT(CONCATENATE("'",成績管理表!$D$9,$L$39,"'!",$P$39)),$V$40,FALSE)&amp;"","")</f>
        <v/>
      </c>
      <c r="W61" s="292" t="str">
        <f t="shared" ca="1" si="129"/>
        <v/>
      </c>
      <c r="X61" s="292" t="str">
        <f t="shared" ca="1" si="130"/>
        <v/>
      </c>
      <c r="Y61" s="292" t="str">
        <f t="shared" ca="1" si="131"/>
        <v/>
      </c>
      <c r="Z61" s="410" t="str">
        <f t="shared" ca="1" si="132"/>
        <v/>
      </c>
      <c r="AA61" s="410"/>
      <c r="AB61" s="411" t="str">
        <f t="shared" ca="1" si="133"/>
        <v/>
      </c>
      <c r="AC61" s="411"/>
      <c r="AD61" s="412"/>
      <c r="AE61" s="273" t="str">
        <f t="shared" ca="1" si="134"/>
        <v/>
      </c>
      <c r="AF61" s="29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93" t="b">
        <f t="shared" ca="1" si="135"/>
        <v>1</v>
      </c>
      <c r="AH61" s="131" t="b">
        <f t="shared" ca="1" si="136"/>
        <v>1</v>
      </c>
      <c r="AI61" s="291" t="s">
        <v>1000</v>
      </c>
    </row>
    <row r="62" spans="2:35" ht="18.75" x14ac:dyDescent="0.4">
      <c r="B62" s="420"/>
      <c r="C62" s="421"/>
      <c r="D62" s="421"/>
      <c r="E62" s="421"/>
      <c r="F62" s="422" t="str">
        <f t="shared" ca="1" si="127"/>
        <v/>
      </c>
      <c r="G62" s="422"/>
      <c r="H62" s="42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423"/>
      <c r="J62" s="410" t="str">
        <f ca="1">IFERROR(VLOOKUP($B62,INDIRECT(CONCATENATE("'",成績管理表!$D$9,$L$39,"'!",$P$39)),$J$40,FALSE)&amp;"","")</f>
        <v/>
      </c>
      <c r="K62" s="410"/>
      <c r="L62" s="410" t="str">
        <f ca="1">IFERROR(VLOOKUP($B62,INDIRECT(CONCATENATE("'",成績管理表!$D$9,$L$39,"'!",$P$39)),$L$40,FALSE)&amp;"","")</f>
        <v/>
      </c>
      <c r="M62" s="410"/>
      <c r="N62" s="292" t="str">
        <f ca="1">IFERROR(VLOOKUP($B62,INDIRECT(CONCATENATE("'",成績管理表!$D$9,$L$39,"'!",$P$39)),$N$40,FALSE)&amp;"","")</f>
        <v/>
      </c>
      <c r="O62" s="292" t="str">
        <f ca="1">IFERROR(VLOOKUP($B62,INDIRECT(CONCATENATE("'",成績管理表!$D$9,$L$39,"'!",$P$39)),$O$40,FALSE)&amp;"","")</f>
        <v/>
      </c>
      <c r="P62" s="292" t="str">
        <f ca="1">IFERROR(VLOOKUP($B62,INDIRECT(CONCATENATE("'",成績管理表!$D$9,$L$39,"'!",$P$39)),$P$40,FALSE)&amp;"","")</f>
        <v/>
      </c>
      <c r="Q62" s="410" t="str">
        <f ca="1">IFERROR(VLOOKUP($B62,INDIRECT(CONCATENATE("'",成績管理表!$D$9,$L$39,"'!",$P$39)),$Q$40,FALSE)&amp;"","")</f>
        <v/>
      </c>
      <c r="R62" s="410"/>
      <c r="S62" s="129" t="str">
        <f ca="1">IFERROR(VLOOKUP($B62,INDIRECT(CONCATENATE("'",成績管理表!$D$9,$L$39,"'!",$P$39)),$S$40,FALSE),"")</f>
        <v/>
      </c>
      <c r="T62" s="110"/>
      <c r="U62" s="190" t="str">
        <f t="shared" si="128"/>
        <v/>
      </c>
      <c r="V62" s="130" t="str">
        <f ca="1">IFERROR(VLOOKUP($B62,INDIRECT(CONCATENATE("'",成績管理表!$D$9,$L$39,"'!",$P$39)),$V$40,FALSE)&amp;"","")</f>
        <v/>
      </c>
      <c r="W62" s="292" t="str">
        <f t="shared" ca="1" si="129"/>
        <v/>
      </c>
      <c r="X62" s="292" t="str">
        <f t="shared" ca="1" si="130"/>
        <v/>
      </c>
      <c r="Y62" s="292" t="str">
        <f t="shared" ca="1" si="131"/>
        <v/>
      </c>
      <c r="Z62" s="410" t="str">
        <f t="shared" ca="1" si="132"/>
        <v/>
      </c>
      <c r="AA62" s="410"/>
      <c r="AB62" s="411" t="str">
        <f t="shared" ca="1" si="133"/>
        <v/>
      </c>
      <c r="AC62" s="411"/>
      <c r="AD62" s="412"/>
      <c r="AE62" s="273" t="str">
        <f t="shared" ca="1" si="134"/>
        <v/>
      </c>
      <c r="AF62" s="29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93" t="b">
        <f t="shared" ca="1" si="135"/>
        <v>1</v>
      </c>
      <c r="AH62" s="131" t="b">
        <f t="shared" ca="1" si="136"/>
        <v>1</v>
      </c>
      <c r="AI62" s="291" t="s">
        <v>1000</v>
      </c>
    </row>
    <row r="63" spans="2:35" ht="18.75" x14ac:dyDescent="0.4">
      <c r="B63" s="420"/>
      <c r="C63" s="421"/>
      <c r="D63" s="421"/>
      <c r="E63" s="421"/>
      <c r="F63" s="422" t="str">
        <f t="shared" ca="1" si="127"/>
        <v/>
      </c>
      <c r="G63" s="422"/>
      <c r="H63" s="42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423"/>
      <c r="J63" s="410" t="str">
        <f ca="1">IFERROR(VLOOKUP($B63,INDIRECT(CONCATENATE("'",成績管理表!$D$9,$L$39,"'!",$P$39)),$J$40,FALSE)&amp;"","")</f>
        <v/>
      </c>
      <c r="K63" s="410"/>
      <c r="L63" s="410" t="str">
        <f ca="1">IFERROR(VLOOKUP($B63,INDIRECT(CONCATENATE("'",成績管理表!$D$9,$L$39,"'!",$P$39)),$L$40,FALSE)&amp;"","")</f>
        <v/>
      </c>
      <c r="M63" s="410"/>
      <c r="N63" s="292" t="str">
        <f ca="1">IFERROR(VLOOKUP($B63,INDIRECT(CONCATENATE("'",成績管理表!$D$9,$L$39,"'!",$P$39)),$N$40,FALSE)&amp;"","")</f>
        <v/>
      </c>
      <c r="O63" s="292" t="str">
        <f ca="1">IFERROR(VLOOKUP($B63,INDIRECT(CONCATENATE("'",成績管理表!$D$9,$L$39,"'!",$P$39)),$O$40,FALSE)&amp;"","")</f>
        <v/>
      </c>
      <c r="P63" s="292" t="str">
        <f ca="1">IFERROR(VLOOKUP($B63,INDIRECT(CONCATENATE("'",成績管理表!$D$9,$L$39,"'!",$P$39)),$P$40,FALSE)&amp;"","")</f>
        <v/>
      </c>
      <c r="Q63" s="410" t="str">
        <f ca="1">IFERROR(VLOOKUP($B63,INDIRECT(CONCATENATE("'",成績管理表!$D$9,$L$39,"'!",$P$39)),$Q$40,FALSE)&amp;"","")</f>
        <v/>
      </c>
      <c r="R63" s="410"/>
      <c r="S63" s="129" t="str">
        <f ca="1">IFERROR(VLOOKUP($B63,INDIRECT(CONCATENATE("'",成績管理表!$D$9,$L$39,"'!",$P$39)),$S$40,FALSE),"")</f>
        <v/>
      </c>
      <c r="T63" s="110"/>
      <c r="U63" s="190" t="str">
        <f t="shared" si="128"/>
        <v/>
      </c>
      <c r="V63" s="130" t="str">
        <f ca="1">IFERROR(VLOOKUP($B63,INDIRECT(CONCATENATE("'",成績管理表!$D$9,$L$39,"'!",$P$39)),$V$40,FALSE)&amp;"","")</f>
        <v/>
      </c>
      <c r="W63" s="292" t="str">
        <f t="shared" ca="1" si="129"/>
        <v/>
      </c>
      <c r="X63" s="292" t="str">
        <f t="shared" ca="1" si="130"/>
        <v/>
      </c>
      <c r="Y63" s="292" t="str">
        <f t="shared" ca="1" si="131"/>
        <v/>
      </c>
      <c r="Z63" s="410" t="str">
        <f t="shared" ca="1" si="132"/>
        <v/>
      </c>
      <c r="AA63" s="410"/>
      <c r="AB63" s="411" t="str">
        <f t="shared" ca="1" si="133"/>
        <v/>
      </c>
      <c r="AC63" s="411"/>
      <c r="AD63" s="412"/>
      <c r="AE63" s="273" t="str">
        <f t="shared" ca="1" si="134"/>
        <v/>
      </c>
      <c r="AF63" s="29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93" t="b">
        <f t="shared" ca="1" si="135"/>
        <v>1</v>
      </c>
      <c r="AH63" s="131" t="b">
        <f t="shared" ca="1" si="136"/>
        <v>1</v>
      </c>
      <c r="AI63" s="291" t="s">
        <v>1000</v>
      </c>
    </row>
    <row r="64" spans="2:35" ht="18.75" x14ac:dyDescent="0.4">
      <c r="B64" s="420"/>
      <c r="C64" s="421"/>
      <c r="D64" s="421"/>
      <c r="E64" s="421"/>
      <c r="F64" s="422" t="str">
        <f t="shared" ca="1" si="127"/>
        <v/>
      </c>
      <c r="G64" s="422"/>
      <c r="H64" s="42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423"/>
      <c r="J64" s="410" t="str">
        <f ca="1">IFERROR(VLOOKUP($B64,INDIRECT(CONCATENATE("'",成績管理表!$D$9,$L$39,"'!",$P$39)),$J$40,FALSE)&amp;"","")</f>
        <v/>
      </c>
      <c r="K64" s="410"/>
      <c r="L64" s="410" t="str">
        <f ca="1">IFERROR(VLOOKUP($B64,INDIRECT(CONCATENATE("'",成績管理表!$D$9,$L$39,"'!",$P$39)),$L$40,FALSE)&amp;"","")</f>
        <v/>
      </c>
      <c r="M64" s="410"/>
      <c r="N64" s="292" t="str">
        <f ca="1">IFERROR(VLOOKUP($B64,INDIRECT(CONCATENATE("'",成績管理表!$D$9,$L$39,"'!",$P$39)),$N$40,FALSE)&amp;"","")</f>
        <v/>
      </c>
      <c r="O64" s="292" t="str">
        <f ca="1">IFERROR(VLOOKUP($B64,INDIRECT(CONCATENATE("'",成績管理表!$D$9,$L$39,"'!",$P$39)),$O$40,FALSE)&amp;"","")</f>
        <v/>
      </c>
      <c r="P64" s="292" t="str">
        <f ca="1">IFERROR(VLOOKUP($B64,INDIRECT(CONCATENATE("'",成績管理表!$D$9,$L$39,"'!",$P$39)),$P$40,FALSE)&amp;"","")</f>
        <v/>
      </c>
      <c r="Q64" s="410" t="str">
        <f ca="1">IFERROR(VLOOKUP($B64,INDIRECT(CONCATENATE("'",成績管理表!$D$9,$L$39,"'!",$P$39)),$Q$40,FALSE)&amp;"","")</f>
        <v/>
      </c>
      <c r="R64" s="410"/>
      <c r="S64" s="129" t="str">
        <f ca="1">IFERROR(VLOOKUP($B64,INDIRECT(CONCATENATE("'",成績管理表!$D$9,$L$39,"'!",$P$39)),$S$40,FALSE),"")</f>
        <v/>
      </c>
      <c r="T64" s="110"/>
      <c r="U64" s="190" t="str">
        <f t="shared" si="128"/>
        <v/>
      </c>
      <c r="V64" s="130" t="str">
        <f ca="1">IFERROR(VLOOKUP($B64,INDIRECT(CONCATENATE("'",成績管理表!$D$9,$L$39,"'!",$P$39)),$V$40,FALSE)&amp;"","")</f>
        <v/>
      </c>
      <c r="W64" s="292" t="str">
        <f t="shared" ca="1" si="129"/>
        <v/>
      </c>
      <c r="X64" s="292" t="str">
        <f t="shared" ca="1" si="130"/>
        <v/>
      </c>
      <c r="Y64" s="292" t="str">
        <f t="shared" ca="1" si="131"/>
        <v/>
      </c>
      <c r="Z64" s="410" t="str">
        <f t="shared" ca="1" si="132"/>
        <v/>
      </c>
      <c r="AA64" s="410"/>
      <c r="AB64" s="411" t="str">
        <f t="shared" ca="1" si="133"/>
        <v/>
      </c>
      <c r="AC64" s="411"/>
      <c r="AD64" s="412"/>
      <c r="AE64" s="273" t="str">
        <f t="shared" ca="1" si="134"/>
        <v/>
      </c>
      <c r="AF64" s="29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93" t="b">
        <f t="shared" ca="1" si="135"/>
        <v>1</v>
      </c>
      <c r="AH64" s="131" t="b">
        <f t="shared" ca="1" si="136"/>
        <v>1</v>
      </c>
      <c r="AI64" s="291" t="s">
        <v>1000</v>
      </c>
    </row>
    <row r="65" spans="2:35" ht="18.75" x14ac:dyDescent="0.4">
      <c r="B65" s="420"/>
      <c r="C65" s="421"/>
      <c r="D65" s="421"/>
      <c r="E65" s="421"/>
      <c r="F65" s="422" t="str">
        <f t="shared" ca="1" si="127"/>
        <v/>
      </c>
      <c r="G65" s="422"/>
      <c r="H65" s="42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423"/>
      <c r="J65" s="410" t="str">
        <f ca="1">IFERROR(VLOOKUP($B65,INDIRECT(CONCATENATE("'",成績管理表!$D$9,$L$39,"'!",$P$39)),$J$40,FALSE)&amp;"","")</f>
        <v/>
      </c>
      <c r="K65" s="410"/>
      <c r="L65" s="410" t="str">
        <f ca="1">IFERROR(VLOOKUP($B65,INDIRECT(CONCATENATE("'",成績管理表!$D$9,$L$39,"'!",$P$39)),$L$40,FALSE)&amp;"","")</f>
        <v/>
      </c>
      <c r="M65" s="410"/>
      <c r="N65" s="292" t="str">
        <f ca="1">IFERROR(VLOOKUP($B65,INDIRECT(CONCATENATE("'",成績管理表!$D$9,$L$39,"'!",$P$39)),$N$40,FALSE)&amp;"","")</f>
        <v/>
      </c>
      <c r="O65" s="292" t="str">
        <f ca="1">IFERROR(VLOOKUP($B65,INDIRECT(CONCATENATE("'",成績管理表!$D$9,$L$39,"'!",$P$39)),$O$40,FALSE)&amp;"","")</f>
        <v/>
      </c>
      <c r="P65" s="292" t="str">
        <f ca="1">IFERROR(VLOOKUP($B65,INDIRECT(CONCATENATE("'",成績管理表!$D$9,$L$39,"'!",$P$39)),$P$40,FALSE)&amp;"","")</f>
        <v/>
      </c>
      <c r="Q65" s="410" t="str">
        <f ca="1">IFERROR(VLOOKUP($B65,INDIRECT(CONCATENATE("'",成績管理表!$D$9,$L$39,"'!",$P$39)),$Q$40,FALSE)&amp;"","")</f>
        <v/>
      </c>
      <c r="R65" s="410"/>
      <c r="S65" s="129" t="str">
        <f ca="1">IFERROR(VLOOKUP($B65,INDIRECT(CONCATENATE("'",成績管理表!$D$9,$L$39,"'!",$P$39)),$S$40,FALSE),"")</f>
        <v/>
      </c>
      <c r="T65" s="110"/>
      <c r="U65" s="190" t="str">
        <f t="shared" si="128"/>
        <v/>
      </c>
      <c r="V65" s="130" t="str">
        <f ca="1">IFERROR(VLOOKUP($B65,INDIRECT(CONCATENATE("'",成績管理表!$D$9,$L$39,"'!",$P$39)),$V$40,FALSE)&amp;"","")</f>
        <v/>
      </c>
      <c r="W65" s="292" t="str">
        <f t="shared" ca="1" si="129"/>
        <v/>
      </c>
      <c r="X65" s="292" t="str">
        <f t="shared" ca="1" si="130"/>
        <v/>
      </c>
      <c r="Y65" s="292" t="str">
        <f t="shared" ca="1" si="131"/>
        <v/>
      </c>
      <c r="Z65" s="410" t="str">
        <f t="shared" ca="1" si="132"/>
        <v/>
      </c>
      <c r="AA65" s="410"/>
      <c r="AB65" s="411" t="str">
        <f t="shared" ca="1" si="133"/>
        <v/>
      </c>
      <c r="AC65" s="411"/>
      <c r="AD65" s="412"/>
      <c r="AE65" s="273" t="str">
        <f t="shared" ca="1" si="134"/>
        <v/>
      </c>
      <c r="AF65" s="29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93" t="b">
        <f t="shared" ca="1" si="135"/>
        <v>1</v>
      </c>
      <c r="AH65" s="131" t="b">
        <f t="shared" ca="1" si="136"/>
        <v>1</v>
      </c>
      <c r="AI65" s="291" t="s">
        <v>1000</v>
      </c>
    </row>
    <row r="66" spans="2:35" ht="18.75" x14ac:dyDescent="0.4">
      <c r="B66" s="420"/>
      <c r="C66" s="421"/>
      <c r="D66" s="421"/>
      <c r="E66" s="421"/>
      <c r="F66" s="422" t="str">
        <f t="shared" ca="1" si="127"/>
        <v/>
      </c>
      <c r="G66" s="422"/>
      <c r="H66" s="42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423"/>
      <c r="J66" s="410" t="str">
        <f ca="1">IFERROR(VLOOKUP($B66,INDIRECT(CONCATENATE("'",成績管理表!$D$9,$L$39,"'!",$P$39)),$J$40,FALSE)&amp;"","")</f>
        <v/>
      </c>
      <c r="K66" s="410"/>
      <c r="L66" s="410" t="str">
        <f ca="1">IFERROR(VLOOKUP($B66,INDIRECT(CONCATENATE("'",成績管理表!$D$9,$L$39,"'!",$P$39)),$L$40,FALSE)&amp;"","")</f>
        <v/>
      </c>
      <c r="M66" s="410"/>
      <c r="N66" s="292" t="str">
        <f ca="1">IFERROR(VLOOKUP($B66,INDIRECT(CONCATENATE("'",成績管理表!$D$9,$L$39,"'!",$P$39)),$N$40,FALSE)&amp;"","")</f>
        <v/>
      </c>
      <c r="O66" s="292" t="str">
        <f ca="1">IFERROR(VLOOKUP($B66,INDIRECT(CONCATENATE("'",成績管理表!$D$9,$L$39,"'!",$P$39)),$O$40,FALSE)&amp;"","")</f>
        <v/>
      </c>
      <c r="P66" s="292" t="str">
        <f ca="1">IFERROR(VLOOKUP($B66,INDIRECT(CONCATENATE("'",成績管理表!$D$9,$L$39,"'!",$P$39)),$P$40,FALSE)&amp;"","")</f>
        <v/>
      </c>
      <c r="Q66" s="410" t="str">
        <f ca="1">IFERROR(VLOOKUP($B66,INDIRECT(CONCATENATE("'",成績管理表!$D$9,$L$39,"'!",$P$39)),$Q$40,FALSE)&amp;"","")</f>
        <v/>
      </c>
      <c r="R66" s="410"/>
      <c r="S66" s="129" t="str">
        <f ca="1">IFERROR(VLOOKUP($B66,INDIRECT(CONCATENATE("'",成績管理表!$D$9,$L$39,"'!",$P$39)),$S$40,FALSE),"")</f>
        <v/>
      </c>
      <c r="T66" s="110"/>
      <c r="U66" s="190" t="str">
        <f t="shared" si="128"/>
        <v/>
      </c>
      <c r="V66" s="130" t="str">
        <f ca="1">IFERROR(VLOOKUP($B66,INDIRECT(CONCATENATE("'",成績管理表!$D$9,$L$39,"'!",$P$39)),$V$40,FALSE)&amp;"","")</f>
        <v/>
      </c>
      <c r="W66" s="292" t="str">
        <f t="shared" ca="1" si="129"/>
        <v/>
      </c>
      <c r="X66" s="292" t="str">
        <f t="shared" ca="1" si="130"/>
        <v/>
      </c>
      <c r="Y66" s="292" t="str">
        <f t="shared" ca="1" si="131"/>
        <v/>
      </c>
      <c r="Z66" s="410" t="str">
        <f t="shared" ca="1" si="132"/>
        <v/>
      </c>
      <c r="AA66" s="410"/>
      <c r="AB66" s="411" t="str">
        <f t="shared" ca="1" si="133"/>
        <v/>
      </c>
      <c r="AC66" s="411"/>
      <c r="AD66" s="412"/>
      <c r="AE66" s="273" t="str">
        <f t="shared" ca="1" si="134"/>
        <v/>
      </c>
      <c r="AF66" s="29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93" t="b">
        <f t="shared" ca="1" si="135"/>
        <v>1</v>
      </c>
      <c r="AH66" s="131" t="b">
        <f t="shared" ca="1" si="136"/>
        <v>1</v>
      </c>
      <c r="AI66" s="291" t="s">
        <v>1000</v>
      </c>
    </row>
    <row r="67" spans="2:35" ht="18.75" x14ac:dyDescent="0.4">
      <c r="B67" s="420"/>
      <c r="C67" s="421"/>
      <c r="D67" s="421"/>
      <c r="E67" s="421"/>
      <c r="F67" s="422" t="str">
        <f t="shared" ca="1" si="127"/>
        <v/>
      </c>
      <c r="G67" s="422"/>
      <c r="H67" s="42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423"/>
      <c r="J67" s="410" t="str">
        <f ca="1">IFERROR(VLOOKUP($B67,INDIRECT(CONCATENATE("'",成績管理表!$D$9,$L$39,"'!",$P$39)),$J$40,FALSE)&amp;"","")</f>
        <v/>
      </c>
      <c r="K67" s="410"/>
      <c r="L67" s="410" t="str">
        <f ca="1">IFERROR(VLOOKUP($B67,INDIRECT(CONCATENATE("'",成績管理表!$D$9,$L$39,"'!",$P$39)),$L$40,FALSE)&amp;"","")</f>
        <v/>
      </c>
      <c r="M67" s="410"/>
      <c r="N67" s="292" t="str">
        <f ca="1">IFERROR(VLOOKUP($B67,INDIRECT(CONCATENATE("'",成績管理表!$D$9,$L$39,"'!",$P$39)),$N$40,FALSE)&amp;"","")</f>
        <v/>
      </c>
      <c r="O67" s="292" t="str">
        <f ca="1">IFERROR(VLOOKUP($B67,INDIRECT(CONCATENATE("'",成績管理表!$D$9,$L$39,"'!",$P$39)),$O$40,FALSE)&amp;"","")</f>
        <v/>
      </c>
      <c r="P67" s="292" t="str">
        <f ca="1">IFERROR(VLOOKUP($B67,INDIRECT(CONCATENATE("'",成績管理表!$D$9,$L$39,"'!",$P$39)),$P$40,FALSE)&amp;"","")</f>
        <v/>
      </c>
      <c r="Q67" s="410" t="str">
        <f ca="1">IFERROR(VLOOKUP($B67,INDIRECT(CONCATENATE("'",成績管理表!$D$9,$L$39,"'!",$P$39)),$Q$40,FALSE)&amp;"","")</f>
        <v/>
      </c>
      <c r="R67" s="410"/>
      <c r="S67" s="129" t="str">
        <f ca="1">IFERROR(VLOOKUP($B67,INDIRECT(CONCATENATE("'",成績管理表!$D$9,$L$39,"'!",$P$39)),$S$40,FALSE),"")</f>
        <v/>
      </c>
      <c r="T67" s="110"/>
      <c r="U67" s="190" t="str">
        <f t="shared" si="128"/>
        <v/>
      </c>
      <c r="V67" s="130" t="str">
        <f ca="1">IFERROR(VLOOKUP($B67,INDIRECT(CONCATENATE("'",成績管理表!$D$9,$L$39,"'!",$P$39)),$V$40,FALSE)&amp;"","")</f>
        <v/>
      </c>
      <c r="W67" s="292" t="str">
        <f t="shared" ca="1" si="129"/>
        <v/>
      </c>
      <c r="X67" s="292" t="str">
        <f t="shared" ca="1" si="130"/>
        <v/>
      </c>
      <c r="Y67" s="292" t="str">
        <f t="shared" ca="1" si="131"/>
        <v/>
      </c>
      <c r="Z67" s="410" t="str">
        <f t="shared" ca="1" si="132"/>
        <v/>
      </c>
      <c r="AA67" s="410"/>
      <c r="AB67" s="411" t="str">
        <f t="shared" ca="1" si="133"/>
        <v/>
      </c>
      <c r="AC67" s="411"/>
      <c r="AD67" s="412"/>
      <c r="AE67" s="273" t="str">
        <f t="shared" ca="1" si="134"/>
        <v/>
      </c>
      <c r="AF67" s="29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93" t="b">
        <f t="shared" ca="1" si="135"/>
        <v>1</v>
      </c>
      <c r="AH67" s="131" t="b">
        <f t="shared" ca="1" si="136"/>
        <v>1</v>
      </c>
      <c r="AI67" s="291" t="s">
        <v>1000</v>
      </c>
    </row>
    <row r="68" spans="2:35" ht="18.75" x14ac:dyDescent="0.4">
      <c r="B68" s="420"/>
      <c r="C68" s="421"/>
      <c r="D68" s="421"/>
      <c r="E68" s="421"/>
      <c r="F68" s="422" t="str">
        <f t="shared" ca="1" si="127"/>
        <v/>
      </c>
      <c r="G68" s="422"/>
      <c r="H68" s="42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423"/>
      <c r="J68" s="410" t="str">
        <f ca="1">IFERROR(VLOOKUP($B68,INDIRECT(CONCATENATE("'",成績管理表!$D$9,$L$39,"'!",$P$39)),$J$40,FALSE)&amp;"","")</f>
        <v/>
      </c>
      <c r="K68" s="410"/>
      <c r="L68" s="410" t="str">
        <f ca="1">IFERROR(VLOOKUP($B68,INDIRECT(CONCATENATE("'",成績管理表!$D$9,$L$39,"'!",$P$39)),$L$40,FALSE)&amp;"","")</f>
        <v/>
      </c>
      <c r="M68" s="410"/>
      <c r="N68" s="292" t="str">
        <f ca="1">IFERROR(VLOOKUP($B68,INDIRECT(CONCATENATE("'",成績管理表!$D$9,$L$39,"'!",$P$39)),$N$40,FALSE)&amp;"","")</f>
        <v/>
      </c>
      <c r="O68" s="292" t="str">
        <f ca="1">IFERROR(VLOOKUP($B68,INDIRECT(CONCATENATE("'",成績管理表!$D$9,$L$39,"'!",$P$39)),$O$40,FALSE)&amp;"","")</f>
        <v/>
      </c>
      <c r="P68" s="292" t="str">
        <f ca="1">IFERROR(VLOOKUP($B68,INDIRECT(CONCATENATE("'",成績管理表!$D$9,$L$39,"'!",$P$39)),$P$40,FALSE)&amp;"","")</f>
        <v/>
      </c>
      <c r="Q68" s="410" t="str">
        <f ca="1">IFERROR(VLOOKUP($B68,INDIRECT(CONCATENATE("'",成績管理表!$D$9,$L$39,"'!",$P$39)),$Q$40,FALSE)&amp;"","")</f>
        <v/>
      </c>
      <c r="R68" s="410"/>
      <c r="S68" s="129" t="str">
        <f ca="1">IFERROR(VLOOKUP($B68,INDIRECT(CONCATENATE("'",成績管理表!$D$9,$L$39,"'!",$P$39)),$S$40,FALSE),"")</f>
        <v/>
      </c>
      <c r="T68" s="110"/>
      <c r="U68" s="190" t="str">
        <f t="shared" si="128"/>
        <v/>
      </c>
      <c r="V68" s="130" t="str">
        <f ca="1">IFERROR(VLOOKUP($B68,INDIRECT(CONCATENATE("'",成績管理表!$D$9,$L$39,"'!",$P$39)),$V$40,FALSE)&amp;"","")</f>
        <v/>
      </c>
      <c r="W68" s="292" t="str">
        <f t="shared" ca="1" si="129"/>
        <v/>
      </c>
      <c r="X68" s="292" t="str">
        <f t="shared" ca="1" si="130"/>
        <v/>
      </c>
      <c r="Y68" s="292" t="str">
        <f t="shared" ca="1" si="131"/>
        <v/>
      </c>
      <c r="Z68" s="410" t="str">
        <f t="shared" ca="1" si="132"/>
        <v/>
      </c>
      <c r="AA68" s="410"/>
      <c r="AB68" s="411" t="str">
        <f t="shared" ca="1" si="133"/>
        <v/>
      </c>
      <c r="AC68" s="411"/>
      <c r="AD68" s="412"/>
      <c r="AE68" s="273" t="str">
        <f t="shared" ca="1" si="134"/>
        <v/>
      </c>
      <c r="AF68" s="29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93" t="b">
        <f t="shared" ca="1" si="135"/>
        <v>1</v>
      </c>
      <c r="AH68" s="131" t="b">
        <f t="shared" ca="1" si="136"/>
        <v>1</v>
      </c>
      <c r="AI68" s="291" t="s">
        <v>1000</v>
      </c>
    </row>
    <row r="69" spans="2:35" ht="18.75" x14ac:dyDescent="0.4">
      <c r="B69" s="420"/>
      <c r="C69" s="421"/>
      <c r="D69" s="421"/>
      <c r="E69" s="421"/>
      <c r="F69" s="422" t="str">
        <f t="shared" ca="1" si="127"/>
        <v/>
      </c>
      <c r="G69" s="422"/>
      <c r="H69" s="42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423"/>
      <c r="J69" s="410" t="str">
        <f ca="1">IFERROR(VLOOKUP($B69,INDIRECT(CONCATENATE("'",成績管理表!$D$9,$L$39,"'!",$P$39)),$J$40,FALSE)&amp;"","")</f>
        <v/>
      </c>
      <c r="K69" s="410"/>
      <c r="L69" s="410" t="str">
        <f ca="1">IFERROR(VLOOKUP($B69,INDIRECT(CONCATENATE("'",成績管理表!$D$9,$L$39,"'!",$P$39)),$L$40,FALSE)&amp;"","")</f>
        <v/>
      </c>
      <c r="M69" s="410"/>
      <c r="N69" s="292" t="str">
        <f ca="1">IFERROR(VLOOKUP($B69,INDIRECT(CONCATENATE("'",成績管理表!$D$9,$L$39,"'!",$P$39)),$N$40,FALSE)&amp;"","")</f>
        <v/>
      </c>
      <c r="O69" s="292" t="str">
        <f ca="1">IFERROR(VLOOKUP($B69,INDIRECT(CONCATENATE("'",成績管理表!$D$9,$L$39,"'!",$P$39)),$O$40,FALSE)&amp;"","")</f>
        <v/>
      </c>
      <c r="P69" s="292" t="str">
        <f ca="1">IFERROR(VLOOKUP($B69,INDIRECT(CONCATENATE("'",成績管理表!$D$9,$L$39,"'!",$P$39)),$P$40,FALSE)&amp;"","")</f>
        <v/>
      </c>
      <c r="Q69" s="410" t="str">
        <f ca="1">IFERROR(VLOOKUP($B69,INDIRECT(CONCATENATE("'",成績管理表!$D$9,$L$39,"'!",$P$39)),$Q$40,FALSE)&amp;"","")</f>
        <v/>
      </c>
      <c r="R69" s="410"/>
      <c r="S69" s="129" t="str">
        <f ca="1">IFERROR(VLOOKUP($B69,INDIRECT(CONCATENATE("'",成績管理表!$D$9,$L$39,"'!",$P$39)),$S$40,FALSE),"")</f>
        <v/>
      </c>
      <c r="T69" s="110"/>
      <c r="U69" s="190" t="str">
        <f t="shared" si="128"/>
        <v/>
      </c>
      <c r="V69" s="130" t="str">
        <f ca="1">IFERROR(VLOOKUP($B69,INDIRECT(CONCATENATE("'",成績管理表!$D$9,$L$39,"'!",$P$39)),$V$40,FALSE)&amp;"","")</f>
        <v/>
      </c>
      <c r="W69" s="292" t="str">
        <f t="shared" ca="1" si="129"/>
        <v/>
      </c>
      <c r="X69" s="292" t="str">
        <f t="shared" ca="1" si="130"/>
        <v/>
      </c>
      <c r="Y69" s="292" t="str">
        <f t="shared" ca="1" si="131"/>
        <v/>
      </c>
      <c r="Z69" s="410" t="str">
        <f t="shared" ca="1" si="132"/>
        <v/>
      </c>
      <c r="AA69" s="410"/>
      <c r="AB69" s="411" t="str">
        <f t="shared" ca="1" si="133"/>
        <v/>
      </c>
      <c r="AC69" s="411"/>
      <c r="AD69" s="412"/>
      <c r="AE69" s="273" t="str">
        <f t="shared" ca="1" si="134"/>
        <v/>
      </c>
      <c r="AF69" s="29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93" t="b">
        <f t="shared" ca="1" si="135"/>
        <v>1</v>
      </c>
      <c r="AH69" s="131" t="b">
        <f t="shared" ca="1" si="136"/>
        <v>1</v>
      </c>
    </row>
    <row r="70" spans="2:35" ht="18.75" x14ac:dyDescent="0.4">
      <c r="B70" s="420"/>
      <c r="C70" s="421"/>
      <c r="D70" s="421"/>
      <c r="E70" s="421"/>
      <c r="F70" s="422" t="str">
        <f t="shared" ca="1" si="127"/>
        <v/>
      </c>
      <c r="G70" s="422"/>
      <c r="H70" s="42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423"/>
      <c r="J70" s="410" t="str">
        <f ca="1">IFERROR(VLOOKUP($B70,INDIRECT(CONCATENATE("'",成績管理表!$D$9,$L$39,"'!",$P$39)),$J$40,FALSE)&amp;"","")</f>
        <v/>
      </c>
      <c r="K70" s="410"/>
      <c r="L70" s="410" t="str">
        <f ca="1">IFERROR(VLOOKUP($B70,INDIRECT(CONCATENATE("'",成績管理表!$D$9,$L$39,"'!",$P$39)),$L$40,FALSE)&amp;"","")</f>
        <v/>
      </c>
      <c r="M70" s="410"/>
      <c r="N70" s="292" t="str">
        <f ca="1">IFERROR(VLOOKUP($B70,INDIRECT(CONCATENATE("'",成績管理表!$D$9,$L$39,"'!",$P$39)),$N$40,FALSE)&amp;"","")</f>
        <v/>
      </c>
      <c r="O70" s="292" t="str">
        <f ca="1">IFERROR(VLOOKUP($B70,INDIRECT(CONCATENATE("'",成績管理表!$D$9,$L$39,"'!",$P$39)),$O$40,FALSE)&amp;"","")</f>
        <v/>
      </c>
      <c r="P70" s="292" t="str">
        <f ca="1">IFERROR(VLOOKUP($B70,INDIRECT(CONCATENATE("'",成績管理表!$D$9,$L$39,"'!",$P$39)),$P$40,FALSE)&amp;"","")</f>
        <v/>
      </c>
      <c r="Q70" s="410" t="str">
        <f ca="1">IFERROR(VLOOKUP($B70,INDIRECT(CONCATENATE("'",成績管理表!$D$9,$L$39,"'!",$P$39)),$Q$40,FALSE)&amp;"","")</f>
        <v/>
      </c>
      <c r="R70" s="410"/>
      <c r="S70" s="129" t="str">
        <f ca="1">IFERROR(VLOOKUP($B70,INDIRECT(CONCATENATE("'",成績管理表!$D$9,$L$39,"'!",$P$39)),$S$40,FALSE),"")</f>
        <v/>
      </c>
      <c r="T70" s="110"/>
      <c r="U70" s="190" t="str">
        <f t="shared" si="128"/>
        <v/>
      </c>
      <c r="V70" s="130" t="str">
        <f ca="1">IFERROR(VLOOKUP($B70,INDIRECT(CONCATENATE("'",成績管理表!$D$9,$L$39,"'!",$P$39)),$V$40,FALSE)&amp;"","")</f>
        <v/>
      </c>
      <c r="W70" s="292" t="str">
        <f t="shared" ca="1" si="129"/>
        <v/>
      </c>
      <c r="X70" s="292" t="str">
        <f t="shared" ca="1" si="130"/>
        <v/>
      </c>
      <c r="Y70" s="292" t="str">
        <f t="shared" ca="1" si="131"/>
        <v/>
      </c>
      <c r="Z70" s="410" t="str">
        <f t="shared" ca="1" si="132"/>
        <v/>
      </c>
      <c r="AA70" s="410"/>
      <c r="AB70" s="411" t="str">
        <f t="shared" ca="1" si="133"/>
        <v/>
      </c>
      <c r="AC70" s="411"/>
      <c r="AD70" s="412"/>
      <c r="AE70" s="273" t="str">
        <f t="shared" ca="1" si="134"/>
        <v/>
      </c>
      <c r="AF70" s="29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93" t="b">
        <f t="shared" ca="1" si="135"/>
        <v>1</v>
      </c>
      <c r="AH70" s="131" t="b">
        <f t="shared" ca="1" si="136"/>
        <v>1</v>
      </c>
    </row>
    <row r="71" spans="2:35" ht="18.75" x14ac:dyDescent="0.4">
      <c r="B71" s="420"/>
      <c r="C71" s="421"/>
      <c r="D71" s="421"/>
      <c r="E71" s="421"/>
      <c r="F71" s="422" t="str">
        <f t="shared" ca="1" si="127"/>
        <v/>
      </c>
      <c r="G71" s="422"/>
      <c r="H71" s="42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423"/>
      <c r="J71" s="410" t="str">
        <f ca="1">IFERROR(VLOOKUP($B71,INDIRECT(CONCATENATE("'",成績管理表!$D$9,$L$39,"'!",$P$39)),$J$40,FALSE)&amp;"","")</f>
        <v/>
      </c>
      <c r="K71" s="410"/>
      <c r="L71" s="410" t="str">
        <f ca="1">IFERROR(VLOOKUP($B71,INDIRECT(CONCATENATE("'",成績管理表!$D$9,$L$39,"'!",$P$39)),$L$40,FALSE)&amp;"","")</f>
        <v/>
      </c>
      <c r="M71" s="410"/>
      <c r="N71" s="292" t="str">
        <f ca="1">IFERROR(VLOOKUP($B71,INDIRECT(CONCATENATE("'",成績管理表!$D$9,$L$39,"'!",$P$39)),$N$40,FALSE)&amp;"","")</f>
        <v/>
      </c>
      <c r="O71" s="292" t="str">
        <f ca="1">IFERROR(VLOOKUP($B71,INDIRECT(CONCATENATE("'",成績管理表!$D$9,$L$39,"'!",$P$39)),$O$40,FALSE)&amp;"","")</f>
        <v/>
      </c>
      <c r="P71" s="292" t="str">
        <f ca="1">IFERROR(VLOOKUP($B71,INDIRECT(CONCATENATE("'",成績管理表!$D$9,$L$39,"'!",$P$39)),$P$40,FALSE)&amp;"","")</f>
        <v/>
      </c>
      <c r="Q71" s="410" t="str">
        <f ca="1">IFERROR(VLOOKUP($B71,INDIRECT(CONCATENATE("'",成績管理表!$D$9,$L$39,"'!",$P$39)),$Q$40,FALSE)&amp;"","")</f>
        <v/>
      </c>
      <c r="R71" s="410"/>
      <c r="S71" s="129" t="str">
        <f ca="1">IFERROR(VLOOKUP($B71,INDIRECT(CONCATENATE("'",成績管理表!$D$9,$L$39,"'!",$P$39)),$S$40,FALSE),"")</f>
        <v/>
      </c>
      <c r="T71" s="110"/>
      <c r="U71" s="190" t="str">
        <f t="shared" si="128"/>
        <v/>
      </c>
      <c r="V71" s="130" t="str">
        <f ca="1">IFERROR(VLOOKUP($B71,INDIRECT(CONCATENATE("'",成績管理表!$D$9,$L$39,"'!",$P$39)),$V$40,FALSE)&amp;"","")</f>
        <v/>
      </c>
      <c r="W71" s="292" t="str">
        <f t="shared" ca="1" si="129"/>
        <v/>
      </c>
      <c r="X71" s="292" t="str">
        <f t="shared" ca="1" si="130"/>
        <v/>
      </c>
      <c r="Y71" s="292" t="str">
        <f t="shared" ca="1" si="131"/>
        <v/>
      </c>
      <c r="Z71" s="410" t="str">
        <f t="shared" ca="1" si="132"/>
        <v/>
      </c>
      <c r="AA71" s="410"/>
      <c r="AB71" s="411" t="str">
        <f t="shared" ca="1" si="133"/>
        <v/>
      </c>
      <c r="AC71" s="411"/>
      <c r="AD71" s="412"/>
      <c r="AE71" s="273" t="str">
        <f t="shared" ca="1" si="134"/>
        <v/>
      </c>
      <c r="AF71" s="29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93" t="b">
        <f t="shared" ca="1" si="135"/>
        <v>1</v>
      </c>
      <c r="AH71" s="131" t="b">
        <f t="shared" ca="1" si="136"/>
        <v>1</v>
      </c>
    </row>
    <row r="72" spans="2:35" ht="18.75" x14ac:dyDescent="0.4">
      <c r="B72" s="420"/>
      <c r="C72" s="421"/>
      <c r="D72" s="421"/>
      <c r="E72" s="421"/>
      <c r="F72" s="422" t="str">
        <f t="shared" ca="1" si="127"/>
        <v/>
      </c>
      <c r="G72" s="422"/>
      <c r="H72" s="42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423"/>
      <c r="J72" s="410" t="str">
        <f ca="1">IFERROR(VLOOKUP($B72,INDIRECT(CONCATENATE("'",成績管理表!$D$9,$L$39,"'!",$P$39)),$J$40,FALSE)&amp;"","")</f>
        <v/>
      </c>
      <c r="K72" s="410"/>
      <c r="L72" s="410" t="str">
        <f ca="1">IFERROR(VLOOKUP($B72,INDIRECT(CONCATENATE("'",成績管理表!$D$9,$L$39,"'!",$P$39)),$L$40,FALSE)&amp;"","")</f>
        <v/>
      </c>
      <c r="M72" s="410"/>
      <c r="N72" s="292" t="str">
        <f ca="1">IFERROR(VLOOKUP($B72,INDIRECT(CONCATENATE("'",成績管理表!$D$9,$L$39,"'!",$P$39)),$N$40,FALSE)&amp;"","")</f>
        <v/>
      </c>
      <c r="O72" s="292" t="str">
        <f ca="1">IFERROR(VLOOKUP($B72,INDIRECT(CONCATENATE("'",成績管理表!$D$9,$L$39,"'!",$P$39)),$O$40,FALSE)&amp;"","")</f>
        <v/>
      </c>
      <c r="P72" s="292" t="str">
        <f ca="1">IFERROR(VLOOKUP($B72,INDIRECT(CONCATENATE("'",成績管理表!$D$9,$L$39,"'!",$P$39)),$P$40,FALSE)&amp;"","")</f>
        <v/>
      </c>
      <c r="Q72" s="410" t="str">
        <f ca="1">IFERROR(VLOOKUP($B72,INDIRECT(CONCATENATE("'",成績管理表!$D$9,$L$39,"'!",$P$39)),$Q$40,FALSE)&amp;"","")</f>
        <v/>
      </c>
      <c r="R72" s="410"/>
      <c r="S72" s="129" t="str">
        <f ca="1">IFERROR(VLOOKUP($B72,INDIRECT(CONCATENATE("'",成績管理表!$D$9,$L$39,"'!",$P$39)),$S$40,FALSE),"")</f>
        <v/>
      </c>
      <c r="T72" s="110"/>
      <c r="U72" s="190" t="str">
        <f t="shared" si="128"/>
        <v/>
      </c>
      <c r="V72" s="130" t="str">
        <f ca="1">IFERROR(VLOOKUP($B72,INDIRECT(CONCATENATE("'",成績管理表!$D$9,$L$39,"'!",$P$39)),$V$40,FALSE)&amp;"","")</f>
        <v/>
      </c>
      <c r="W72" s="292" t="str">
        <f t="shared" ca="1" si="129"/>
        <v/>
      </c>
      <c r="X72" s="292" t="str">
        <f t="shared" ca="1" si="130"/>
        <v/>
      </c>
      <c r="Y72" s="292" t="str">
        <f t="shared" ca="1" si="131"/>
        <v/>
      </c>
      <c r="Z72" s="410" t="str">
        <f t="shared" ca="1" si="132"/>
        <v/>
      </c>
      <c r="AA72" s="410"/>
      <c r="AB72" s="411" t="str">
        <f t="shared" ca="1" si="133"/>
        <v/>
      </c>
      <c r="AC72" s="411"/>
      <c r="AD72" s="412"/>
      <c r="AE72" s="273" t="str">
        <f t="shared" ca="1" si="134"/>
        <v/>
      </c>
      <c r="AF72" s="29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93" t="b">
        <f t="shared" ca="1" si="135"/>
        <v>1</v>
      </c>
      <c r="AH72" s="131" t="b">
        <f t="shared" ca="1" si="136"/>
        <v>1</v>
      </c>
    </row>
    <row r="73" spans="2:35" ht="18.75" customHeight="1" thickBot="1" x14ac:dyDescent="0.45">
      <c r="B73" s="413"/>
      <c r="C73" s="414"/>
      <c r="D73" s="414"/>
      <c r="E73" s="414"/>
      <c r="F73" s="415" t="str">
        <f t="shared" ca="1" si="127"/>
        <v/>
      </c>
      <c r="G73" s="415"/>
      <c r="H73" s="416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416"/>
      <c r="J73" s="417" t="str">
        <f ca="1">IFERROR(VLOOKUP($B73,INDIRECT(CONCATENATE("'",成績管理表!$D$9,$L$39,"'!",$P$39)),$J$40,FALSE)&amp;"","")</f>
        <v/>
      </c>
      <c r="K73" s="417"/>
      <c r="L73" s="417" t="str">
        <f ca="1">IFERROR(VLOOKUP($B73,INDIRECT(CONCATENATE("'",成績管理表!$D$9,$L$39,"'!",$P$39)),$L$40,FALSE)&amp;"","")</f>
        <v/>
      </c>
      <c r="M73" s="417"/>
      <c r="N73" s="301" t="str">
        <f ca="1">IFERROR(VLOOKUP($B73,INDIRECT(CONCATENATE("'",成績管理表!$D$9,$L$39,"'!",$P$39)),$N$40,FALSE)&amp;"","")</f>
        <v/>
      </c>
      <c r="O73" s="301" t="str">
        <f ca="1">IFERROR(VLOOKUP($B73,INDIRECT(CONCATENATE("'",成績管理表!$D$9,$L$39,"'!",$P$39)),$O$40,FALSE)&amp;"","")</f>
        <v/>
      </c>
      <c r="P73" s="301" t="str">
        <f ca="1">IFERROR(VLOOKUP($B73,INDIRECT(CONCATENATE("'",成績管理表!$D$9,$L$39,"'!",$P$39)),$P$40,FALSE)&amp;"","")</f>
        <v/>
      </c>
      <c r="Q73" s="417" t="str">
        <f ca="1">IFERROR(VLOOKUP($B73,INDIRECT(CONCATENATE("'",成績管理表!$D$9,$L$39,"'!",$P$39)),$Q$40,FALSE)&amp;"","")</f>
        <v/>
      </c>
      <c r="R73" s="417"/>
      <c r="S73" s="133" t="str">
        <f ca="1">IFERROR(VLOOKUP($B73,INDIRECT(CONCATENATE("'",成績管理表!$D$9,$L$39,"'!",$P$39)),$S$40,FALSE),"")</f>
        <v/>
      </c>
      <c r="T73" s="111"/>
      <c r="U73" s="191" t="str">
        <f t="shared" si="128"/>
        <v/>
      </c>
      <c r="V73" s="134" t="str">
        <f ca="1">IFERROR(VLOOKUP($B73,INDIRECT(CONCATENATE("'",成績管理表!$D$9,$L$39,"'!",$P$39)),$V$40,FALSE)&amp;"","")</f>
        <v/>
      </c>
      <c r="W73" s="301" t="str">
        <f t="shared" ca="1" si="129"/>
        <v/>
      </c>
      <c r="X73" s="301" t="str">
        <f t="shared" ca="1" si="130"/>
        <v/>
      </c>
      <c r="Y73" s="301" t="str">
        <f t="shared" ca="1" si="131"/>
        <v/>
      </c>
      <c r="Z73" s="417" t="str">
        <f t="shared" ca="1" si="132"/>
        <v/>
      </c>
      <c r="AA73" s="417"/>
      <c r="AB73" s="418" t="str">
        <f t="shared" ca="1" si="133"/>
        <v/>
      </c>
      <c r="AC73" s="418"/>
      <c r="AD73" s="419"/>
      <c r="AE73" s="274" t="str">
        <f t="shared" ca="1" si="134"/>
        <v/>
      </c>
      <c r="AF73" s="300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00" t="b">
        <f t="shared" ca="1" si="135"/>
        <v>1</v>
      </c>
      <c r="AH73" s="131" t="b">
        <f t="shared" ca="1" si="136"/>
        <v>1</v>
      </c>
    </row>
    <row r="74" spans="2:35" ht="6.75" customHeight="1" x14ac:dyDescent="0.4">
      <c r="B74" s="291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291"/>
      <c r="AA74" s="291"/>
      <c r="AB74" s="291"/>
      <c r="AC74" s="291"/>
      <c r="AD74" s="291"/>
      <c r="AE74" s="291"/>
      <c r="AF74" s="291"/>
      <c r="AG74" s="291"/>
      <c r="AH74" s="291"/>
    </row>
  </sheetData>
  <sheetProtection algorithmName="SHA-512" hashValue="e4NhSLJcK3giOQFr3XawB7lMLSD+9EnE/IyeySPGIoc8Hk6GVPeEtqwPVX5M4qjEWWVhsZf4Nd7J2R96qIbnHQ==" saltValue="taLpGKEZFgflhmrvkQKw/w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T39:U39"/>
    <mergeCell ref="V39:W39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52" priority="4">
      <formula>$AG44=FALSE</formula>
    </cfRule>
  </conditionalFormatting>
  <conditionalFormatting sqref="D9:R9 D14:R14 D19:R19 D24:R24 D29:R29">
    <cfRule type="expression" dxfId="51" priority="3">
      <formula>F10="重複あり"</formula>
    </cfRule>
  </conditionalFormatting>
  <conditionalFormatting sqref="D6:R8 D11:R13 D16:R18 D21:R23 D26:R28">
    <cfRule type="expression" dxfId="50" priority="2">
      <formula>F10="重複あり"</formula>
    </cfRule>
  </conditionalFormatting>
  <conditionalFormatting sqref="X44:Y73">
    <cfRule type="expression" dxfId="49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4EF98D6B-3CCC-435B-A997-B2DD4D268962}">
      <formula1>"秀,優,良,可,不可"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FB99D062-2798-49CE-A045-E94C3701AF4B}"/>
    <dataValidation allowBlank="1" showInputMessage="1" showErrorMessage="1" promptTitle="【受講年度】を入力してください" prompt="【受講年度】に応じてデータベース照合が行われます．" sqref="B36:C36" xr:uid="{2BD7BAEF-5611-4BDB-ABAF-86CD6FACE0D0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50B54-3131-4C31-A9C3-9FDBB81D70FA}">
  <sheetPr>
    <tabColor theme="8" tint="0.79998168889431442"/>
  </sheetPr>
  <dimension ref="A1:AK74"/>
  <sheetViews>
    <sheetView zoomScale="84" zoomScaleNormal="85" workbookViewId="0">
      <selection activeCell="B44" sqref="B44:E59"/>
    </sheetView>
  </sheetViews>
  <sheetFormatPr defaultColWidth="0" defaultRowHeight="0" customHeight="1" zeroHeight="1" x14ac:dyDescent="0.4"/>
  <cols>
    <col min="1" max="1" width="1.25" style="291" customWidth="1"/>
    <col min="2" max="30" width="8.625" style="95" customWidth="1"/>
    <col min="31" max="34" width="11.25" style="95" hidden="1" customWidth="1"/>
    <col min="35" max="35" width="1.25" style="291" customWidth="1"/>
    <col min="36" max="36" width="8.625" style="275" hidden="1" customWidth="1"/>
    <col min="37" max="37" width="9.125" style="275" hidden="1" customWidth="1"/>
    <col min="38" max="16384" width="8.625" style="275" hidden="1"/>
  </cols>
  <sheetData>
    <row r="1" spans="1:35" ht="7.5" customHeight="1" x14ac:dyDescent="0.4"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</row>
    <row r="2" spans="1:35" s="276" customFormat="1" ht="30" customHeight="1" x14ac:dyDescent="0.4">
      <c r="A2" s="70"/>
      <c r="B2" s="524" t="str">
        <f ca="1">"　"&amp;RIGHT(CELL("filename",A1),LEN(CELL("filename",A1))-FIND("]",CELL("filename",A1)))&amp;"　時間割表"</f>
        <v>　２年春　時間割表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299"/>
      <c r="AD2" s="70"/>
      <c r="AE2" s="70"/>
      <c r="AF2" s="70"/>
      <c r="AG2" s="70"/>
      <c r="AH2" s="70"/>
      <c r="AI2" s="70"/>
    </row>
    <row r="3" spans="1:35" s="276" customFormat="1" ht="18.95" customHeight="1" x14ac:dyDescent="0.4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211" t="s">
        <v>707</v>
      </c>
      <c r="AA3" s="480">
        <f ca="1">NOW()</f>
        <v>43958.619198726854</v>
      </c>
      <c r="AB3" s="480"/>
      <c r="AC3" s="299"/>
      <c r="AD3" s="70"/>
      <c r="AE3" s="70"/>
      <c r="AF3" s="70"/>
      <c r="AG3" s="70"/>
      <c r="AH3" s="70"/>
      <c r="AI3" s="70"/>
    </row>
    <row r="4" spans="1:35" s="276" customFormat="1" ht="18.95" customHeight="1" thickBot="1" x14ac:dyDescent="0.4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211"/>
      <c r="AB4" s="299"/>
      <c r="AC4" s="299"/>
      <c r="AD4" s="70"/>
      <c r="AE4" s="70"/>
      <c r="AF4" s="70"/>
      <c r="AG4" s="70"/>
      <c r="AH4" s="70"/>
      <c r="AI4" s="70"/>
    </row>
    <row r="5" spans="1:35" s="277" customFormat="1" ht="18.95" customHeight="1" thickBot="1" x14ac:dyDescent="0.45">
      <c r="A5" s="68"/>
      <c r="B5" s="525"/>
      <c r="C5" s="526"/>
      <c r="D5" s="527" t="s">
        <v>988</v>
      </c>
      <c r="E5" s="528"/>
      <c r="F5" s="529"/>
      <c r="G5" s="527" t="s">
        <v>989</v>
      </c>
      <c r="H5" s="528"/>
      <c r="I5" s="529"/>
      <c r="J5" s="527" t="s">
        <v>990</v>
      </c>
      <c r="K5" s="528"/>
      <c r="L5" s="529"/>
      <c r="M5" s="527" t="s">
        <v>991</v>
      </c>
      <c r="N5" s="528"/>
      <c r="O5" s="529"/>
      <c r="P5" s="527" t="s">
        <v>992</v>
      </c>
      <c r="Q5" s="528"/>
      <c r="R5" s="529"/>
      <c r="S5" s="71"/>
      <c r="T5" s="530" t="s">
        <v>987</v>
      </c>
      <c r="U5" s="531"/>
      <c r="V5" s="532"/>
      <c r="W5" s="530" t="s">
        <v>2189</v>
      </c>
      <c r="X5" s="531"/>
      <c r="Y5" s="532"/>
      <c r="Z5" s="68"/>
      <c r="AA5" s="68"/>
      <c r="AB5" s="68"/>
      <c r="AC5" s="68"/>
      <c r="AD5" s="68"/>
      <c r="AE5" s="112"/>
      <c r="AF5" s="112"/>
      <c r="AG5" s="112"/>
      <c r="AH5" s="119"/>
      <c r="AI5" s="68"/>
    </row>
    <row r="6" spans="1:35" s="278" customFormat="1" ht="18.95" customHeight="1" x14ac:dyDescent="0.4">
      <c r="A6" s="72"/>
      <c r="B6" s="522">
        <v>1</v>
      </c>
      <c r="C6" s="523"/>
      <c r="D6" s="506" t="str">
        <f ca="1">IFERROR(IF(F10="ターム",INDIRECT($D$42&amp;D10)&amp;CHAR(10)&amp;INDIRECT($D$42&amp;E10),INDIRECT($D$42&amp;D10)),"")</f>
        <v/>
      </c>
      <c r="E6" s="507"/>
      <c r="F6" s="508"/>
      <c r="G6" s="506" t="str">
        <f t="shared" ref="G6" ca="1" si="0">IFERROR(IF(I10="ターム",INDIRECT($D$42&amp;G10)&amp;CHAR(10)&amp;INDIRECT($D$42&amp;H10),INDIRECT($D$42&amp;G10)),"")</f>
        <v/>
      </c>
      <c r="H6" s="507"/>
      <c r="I6" s="508"/>
      <c r="J6" s="506" t="str">
        <f t="shared" ref="J6" ca="1" si="1">IFERROR(IF(L10="ターム",INDIRECT($D$42&amp;J10)&amp;CHAR(10)&amp;INDIRECT($D$42&amp;K10),INDIRECT($D$42&amp;J10)),"")</f>
        <v/>
      </c>
      <c r="K6" s="507"/>
      <c r="L6" s="508"/>
      <c r="M6" s="506" t="str">
        <f t="shared" ref="M6" ca="1" si="2">IFERROR(IF(O10="ターム",INDIRECT($D$42&amp;M10)&amp;CHAR(10)&amp;INDIRECT($D$42&amp;N10),INDIRECT($D$42&amp;M10)),"")</f>
        <v/>
      </c>
      <c r="N6" s="507"/>
      <c r="O6" s="508"/>
      <c r="P6" s="506" t="str">
        <f t="shared" ref="P6" ca="1" si="3">IFERROR(IF(R10="ターム",INDIRECT($D$42&amp;P10)&amp;CHAR(10)&amp;INDIRECT($D$42&amp;Q10),INDIRECT($D$42&amp;P10)),"")</f>
        <v/>
      </c>
      <c r="Q6" s="507"/>
      <c r="R6" s="508"/>
      <c r="S6" s="72"/>
      <c r="T6" s="506" t="str">
        <f ca="1">IFERROR(IF(V10="ターム",INDIRECT($D$42&amp;T10)&amp;CHAR(10)&amp;INDIRECT($D$42&amp;U10),INDIRECT($D$42&amp;T10)),"")</f>
        <v/>
      </c>
      <c r="U6" s="507"/>
      <c r="V6" s="508"/>
      <c r="W6" s="506" t="str">
        <f ca="1">IFERROR(IF(Y10="ターム",INDIRECT($D$42&amp;W10)&amp;CHAR(10)&amp;INDIRECT($D$42&amp;X10),INDIRECT($D$42&amp;W10)),"")</f>
        <v/>
      </c>
      <c r="X6" s="507"/>
      <c r="Y6" s="508"/>
      <c r="Z6" s="72"/>
      <c r="AA6" s="72"/>
      <c r="AB6" s="72"/>
      <c r="AC6" s="72"/>
      <c r="AD6" s="72"/>
      <c r="AE6" s="113"/>
      <c r="AF6" s="113"/>
      <c r="AG6" s="113"/>
      <c r="AH6" s="358"/>
      <c r="AI6" s="72"/>
    </row>
    <row r="7" spans="1:35" s="278" customFormat="1" ht="18.95" customHeight="1" x14ac:dyDescent="0.4">
      <c r="A7" s="72"/>
      <c r="B7" s="502"/>
      <c r="C7" s="503"/>
      <c r="D7" s="509"/>
      <c r="E7" s="510"/>
      <c r="F7" s="511"/>
      <c r="G7" s="509"/>
      <c r="H7" s="510"/>
      <c r="I7" s="511"/>
      <c r="J7" s="509"/>
      <c r="K7" s="510"/>
      <c r="L7" s="511"/>
      <c r="M7" s="509"/>
      <c r="N7" s="510"/>
      <c r="O7" s="511"/>
      <c r="P7" s="509"/>
      <c r="Q7" s="510"/>
      <c r="R7" s="511"/>
      <c r="S7" s="72"/>
      <c r="T7" s="509"/>
      <c r="U7" s="510"/>
      <c r="V7" s="511"/>
      <c r="W7" s="509"/>
      <c r="X7" s="510"/>
      <c r="Y7" s="511"/>
      <c r="Z7" s="72"/>
      <c r="AA7" s="72"/>
      <c r="AB7" s="72"/>
      <c r="AC7" s="72"/>
      <c r="AD7" s="72"/>
      <c r="AE7" s="113"/>
      <c r="AF7" s="113"/>
      <c r="AG7" s="113"/>
      <c r="AH7" s="358"/>
      <c r="AI7" s="72"/>
    </row>
    <row r="8" spans="1:35" s="279" customFormat="1" ht="18.95" customHeight="1" x14ac:dyDescent="0.4">
      <c r="A8" s="114"/>
      <c r="B8" s="504"/>
      <c r="C8" s="505"/>
      <c r="D8" s="509"/>
      <c r="E8" s="510"/>
      <c r="F8" s="511"/>
      <c r="G8" s="509"/>
      <c r="H8" s="510"/>
      <c r="I8" s="511"/>
      <c r="J8" s="509"/>
      <c r="K8" s="510"/>
      <c r="L8" s="511"/>
      <c r="M8" s="509"/>
      <c r="N8" s="510"/>
      <c r="O8" s="511"/>
      <c r="P8" s="509"/>
      <c r="Q8" s="510"/>
      <c r="R8" s="511"/>
      <c r="S8" s="114"/>
      <c r="T8" s="509"/>
      <c r="U8" s="510"/>
      <c r="V8" s="511"/>
      <c r="W8" s="509"/>
      <c r="X8" s="510"/>
      <c r="Y8" s="511"/>
      <c r="Z8" s="114"/>
      <c r="AA8" s="114"/>
      <c r="AB8" s="114"/>
      <c r="AC8" s="114"/>
      <c r="AD8" s="114"/>
      <c r="AE8" s="115"/>
      <c r="AF8" s="115"/>
      <c r="AG8" s="115"/>
      <c r="AH8" s="359"/>
      <c r="AI8" s="114"/>
    </row>
    <row r="9" spans="1:35" s="278" customFormat="1" ht="18.95" customHeight="1" thickBot="1" x14ac:dyDescent="0.45">
      <c r="A9" s="72"/>
      <c r="B9" s="520" t="s">
        <v>982</v>
      </c>
      <c r="C9" s="521"/>
      <c r="D9" s="497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8"/>
      <c r="F9" s="499"/>
      <c r="G9" s="497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8"/>
      <c r="I9" s="499"/>
      <c r="J9" s="497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8"/>
      <c r="L9" s="499"/>
      <c r="M9" s="497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8"/>
      <c r="O9" s="499"/>
      <c r="P9" s="497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8"/>
      <c r="R9" s="499"/>
      <c r="S9" s="72"/>
      <c r="T9" s="497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8"/>
      <c r="V9" s="499"/>
      <c r="W9" s="497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8"/>
      <c r="Y9" s="499"/>
      <c r="Z9" s="72"/>
      <c r="AA9" s="72"/>
      <c r="AB9" s="72"/>
      <c r="AC9" s="72"/>
      <c r="AD9" s="72"/>
      <c r="AE9" s="113"/>
      <c r="AF9" s="113"/>
      <c r="AG9" s="113"/>
      <c r="AH9" s="358"/>
      <c r="AI9" s="72"/>
    </row>
    <row r="10" spans="1:35" s="278" customFormat="1" ht="18.95" hidden="1" customHeight="1" thickBot="1" x14ac:dyDescent="0.45">
      <c r="A10" s="72"/>
      <c r="B10" s="116" t="s">
        <v>2180</v>
      </c>
      <c r="C10" s="117" t="s">
        <v>2181</v>
      </c>
      <c r="D10" s="209" t="str">
        <f ca="1">IFERROR($AF$39+MATCH("*"&amp;D$5&amp;$B6&amp;"-1"&amp;"*",INDIRECT("$"&amp;$W$42&amp;$AF$39&amp;":"&amp;$W$42&amp;$AF$40),0)-1,"ー")</f>
        <v>ー</v>
      </c>
      <c r="E10" s="216" t="str">
        <f ca="1">IFERROR($AF$39+MATCH("*"&amp;D$5&amp;$B6&amp;"-2"&amp;"*",INDIRECT("$"&amp;$W$42&amp;$AF$39&amp;":"&amp;$W$42&amp;$AF$40),0)-1,"ー")</f>
        <v>ー</v>
      </c>
      <c r="F10" s="210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209" t="str">
        <f t="shared" ref="G10" ca="1" si="8">IFERROR($AF$39+MATCH("*"&amp;G$5&amp;$B6&amp;"-1"&amp;"*",INDIRECT("$"&amp;$W$42&amp;$AF$39&amp;":"&amp;$W$42&amp;$AF$40),0)-1,"ー")</f>
        <v>ー</v>
      </c>
      <c r="H10" s="216" t="str">
        <f t="shared" ref="H10" ca="1" si="9">IFERROR($AF$39+MATCH("*"&amp;G$5&amp;$B6&amp;"-2"&amp;"*",INDIRECT("$"&amp;$W$42&amp;$AF$39&amp;":"&amp;$W$42&amp;$AF$40),0)-1,"ー")</f>
        <v>ー</v>
      </c>
      <c r="I10" s="210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209" t="str">
        <f t="shared" ref="J10" ca="1" si="11">IFERROR($AF$39+MATCH("*"&amp;J$5&amp;$B6&amp;"-1"&amp;"*",INDIRECT("$"&amp;$W$42&amp;$AF$39&amp;":"&amp;$W$42&amp;$AF$40),0)-1,"ー")</f>
        <v>ー</v>
      </c>
      <c r="K10" s="216" t="str">
        <f t="shared" ref="K10" ca="1" si="12">IFERROR($AF$39+MATCH("*"&amp;J$5&amp;$B6&amp;"-2"&amp;"*",INDIRECT("$"&amp;$W$42&amp;$AF$39&amp;":"&amp;$W$42&amp;$AF$40),0)-1,"ー")</f>
        <v>ー</v>
      </c>
      <c r="L10" s="210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209" t="str">
        <f t="shared" ref="M10" ca="1" si="14">IFERROR($AF$39+MATCH("*"&amp;M$5&amp;$B6&amp;"-1"&amp;"*",INDIRECT("$"&amp;$W$42&amp;$AF$39&amp;":"&amp;$W$42&amp;$AF$40),0)-1,"ー")</f>
        <v>ー</v>
      </c>
      <c r="N10" s="216" t="str">
        <f t="shared" ref="N10" ca="1" si="15">IFERROR($AF$39+MATCH("*"&amp;M$5&amp;$B6&amp;"-2"&amp;"*",INDIRECT("$"&amp;$W$42&amp;$AF$39&amp;":"&amp;$W$42&amp;$AF$40),0)-1,"ー")</f>
        <v>ー</v>
      </c>
      <c r="O10" s="210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209" t="str">
        <f t="shared" ref="P10" ca="1" si="17">IFERROR($AF$39+MATCH("*"&amp;P$5&amp;$B6&amp;"-1"&amp;"*",INDIRECT("$"&amp;$W$42&amp;$AF$39&amp;":"&amp;$W$42&amp;$AF$40),0)-1,"ー")</f>
        <v>ー</v>
      </c>
      <c r="Q10" s="216" t="str">
        <f t="shared" ref="Q10" ca="1" si="18">IFERROR($AF$39+MATCH("*"&amp;P$5&amp;$B6&amp;"-2"&amp;"*",INDIRECT("$"&amp;$W$42&amp;$AF$39&amp;":"&amp;$W$42&amp;$AF$40),0)-1,"ー")</f>
        <v>ー</v>
      </c>
      <c r="R10" s="210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72"/>
      <c r="T10" s="209" t="str">
        <f ca="1">IFERROR($AF$39+MATCH(T$5&amp;"-"&amp;$B6,INDIRECT("$"&amp;$W$42&amp;$AF$39&amp;":"&amp;$W$42&amp;$AF$40),0)-1,"ー")</f>
        <v>ー</v>
      </c>
      <c r="U10" s="216" t="str">
        <f ca="1">IFERROR($AF$39+MATCH(T$5&amp;"-"&amp;(VALUE($B6)+5),INDIRECT("$"&amp;$W$42&amp;$AF$39&amp;":"&amp;$W$42&amp;$AF$40),0)-1,"ー")</f>
        <v>ー</v>
      </c>
      <c r="V10" s="210" t="str">
        <f ca="1">IF(U10="ー",
"重複なし",
IF(AND(T10&lt;&gt;"ー",U10&lt;&gt;"ー"),"ターム","重複あり")
)</f>
        <v>重複なし</v>
      </c>
      <c r="W10" s="209" t="str">
        <f ca="1">IFERROR($AF$39+MATCH(W$5&amp;"-"&amp;$B6,INDIRECT("$"&amp;$W$42&amp;$AF$39&amp;":"&amp;$W$42&amp;$AF$40),0)-1,"ー")</f>
        <v>ー</v>
      </c>
      <c r="X10" s="216" t="str">
        <f ca="1">IFERROR($AF$39+MATCH(W$5&amp;"-"&amp;(VALUE($B6)+5),INDIRECT("$"&amp;$W$42&amp;$AF$39&amp;":"&amp;$W$42&amp;$AF$40),0)-1,"ー")</f>
        <v>ー</v>
      </c>
      <c r="Y10" s="210" t="str">
        <f ca="1">IF(X10="ー",
"重複なし",
IF(AND(W10&lt;&gt;"ー",X10&lt;&gt;"ー"),"ターム","重複あり")
)</f>
        <v>重複なし</v>
      </c>
      <c r="Z10" s="72"/>
      <c r="AA10" s="72"/>
      <c r="AB10" s="72"/>
      <c r="AC10" s="72"/>
      <c r="AD10" s="72"/>
      <c r="AE10" s="113"/>
      <c r="AF10" s="113"/>
      <c r="AG10" s="113"/>
      <c r="AH10" s="358"/>
      <c r="AI10" s="72"/>
    </row>
    <row r="11" spans="1:35" s="278" customFormat="1" ht="18.95" customHeight="1" x14ac:dyDescent="0.4">
      <c r="A11" s="72"/>
      <c r="B11" s="500">
        <v>2</v>
      </c>
      <c r="C11" s="501"/>
      <c r="D11" s="506" t="str">
        <f t="shared" ref="D11" ca="1" si="20">IFERROR(IF(F15="ターム",INDIRECT($D$42&amp;D15)&amp;CHAR(10)&amp;INDIRECT($D$42&amp;E15),INDIRECT($D$42&amp;D15)),"")</f>
        <v/>
      </c>
      <c r="E11" s="507"/>
      <c r="F11" s="508"/>
      <c r="G11" s="506" t="str">
        <f t="shared" ref="G11" ca="1" si="21">IFERROR(IF(I15="ターム",INDIRECT($D$42&amp;G15)&amp;CHAR(10)&amp;INDIRECT($D$42&amp;H15),INDIRECT($D$42&amp;G15)),"")</f>
        <v/>
      </c>
      <c r="H11" s="507"/>
      <c r="I11" s="508"/>
      <c r="J11" s="506" t="str">
        <f t="shared" ref="J11" ca="1" si="22">IFERROR(IF(L15="ターム",INDIRECT($D$42&amp;J15)&amp;CHAR(10)&amp;INDIRECT($D$42&amp;K15),INDIRECT($D$42&amp;J15)),"")</f>
        <v/>
      </c>
      <c r="K11" s="507"/>
      <c r="L11" s="508"/>
      <c r="M11" s="506" t="str">
        <f t="shared" ref="M11" ca="1" si="23">IFERROR(IF(O15="ターム",INDIRECT($D$42&amp;M15)&amp;CHAR(10)&amp;INDIRECT($D$42&amp;N15),INDIRECT($D$42&amp;M15)),"")</f>
        <v/>
      </c>
      <c r="N11" s="507"/>
      <c r="O11" s="508"/>
      <c r="P11" s="506" t="str">
        <f t="shared" ref="P11" ca="1" si="24">IFERROR(IF(R15="ターム",INDIRECT($D$42&amp;P15)&amp;CHAR(10)&amp;INDIRECT($D$42&amp;Q15),INDIRECT($D$42&amp;P15)),"")</f>
        <v/>
      </c>
      <c r="Q11" s="507"/>
      <c r="R11" s="508"/>
      <c r="S11" s="72"/>
      <c r="T11" s="506" t="str">
        <f ca="1">IFERROR(IF(V15="ターム",INDIRECT($D$42&amp;T15)&amp;CHAR(10)&amp;INDIRECT($D$42&amp;U15),INDIRECT($D$42&amp;T15)),"")</f>
        <v/>
      </c>
      <c r="U11" s="507"/>
      <c r="V11" s="508"/>
      <c r="W11" s="506" t="str">
        <f t="shared" ref="W11" ca="1" si="25">IFERROR(IF(Y15="ターム",INDIRECT($D$42&amp;W15)&amp;CHAR(10)&amp;INDIRECT($D$42&amp;X15),INDIRECT($D$42&amp;W15)),"")</f>
        <v/>
      </c>
      <c r="X11" s="507"/>
      <c r="Y11" s="508"/>
      <c r="Z11" s="72"/>
      <c r="AA11" s="72"/>
      <c r="AB11" s="72"/>
      <c r="AC11" s="72"/>
      <c r="AD11" s="72"/>
      <c r="AE11" s="113"/>
      <c r="AF11" s="113"/>
      <c r="AG11" s="113"/>
      <c r="AH11" s="358"/>
      <c r="AI11" s="72"/>
    </row>
    <row r="12" spans="1:35" s="279" customFormat="1" ht="18.95" customHeight="1" x14ac:dyDescent="0.4">
      <c r="A12" s="114"/>
      <c r="B12" s="502"/>
      <c r="C12" s="503"/>
      <c r="D12" s="509"/>
      <c r="E12" s="510"/>
      <c r="F12" s="511"/>
      <c r="G12" s="509"/>
      <c r="H12" s="510"/>
      <c r="I12" s="511"/>
      <c r="J12" s="509"/>
      <c r="K12" s="510"/>
      <c r="L12" s="511"/>
      <c r="M12" s="509"/>
      <c r="N12" s="510"/>
      <c r="O12" s="511"/>
      <c r="P12" s="509"/>
      <c r="Q12" s="510"/>
      <c r="R12" s="511"/>
      <c r="S12" s="114"/>
      <c r="T12" s="509"/>
      <c r="U12" s="510"/>
      <c r="V12" s="511"/>
      <c r="W12" s="509"/>
      <c r="X12" s="510"/>
      <c r="Y12" s="511"/>
      <c r="Z12" s="114"/>
      <c r="AA12" s="114"/>
      <c r="AB12" s="114"/>
      <c r="AC12" s="114"/>
      <c r="AD12" s="114"/>
      <c r="AE12" s="115"/>
      <c r="AF12" s="115"/>
      <c r="AG12" s="115"/>
      <c r="AH12" s="359"/>
      <c r="AI12" s="114"/>
    </row>
    <row r="13" spans="1:35" s="278" customFormat="1" ht="18.95" customHeight="1" x14ac:dyDescent="0.4">
      <c r="A13" s="72"/>
      <c r="B13" s="504"/>
      <c r="C13" s="505"/>
      <c r="D13" s="509"/>
      <c r="E13" s="510"/>
      <c r="F13" s="511"/>
      <c r="G13" s="509"/>
      <c r="H13" s="510"/>
      <c r="I13" s="511"/>
      <c r="J13" s="509"/>
      <c r="K13" s="510"/>
      <c r="L13" s="511"/>
      <c r="M13" s="509"/>
      <c r="N13" s="510"/>
      <c r="O13" s="511"/>
      <c r="P13" s="509"/>
      <c r="Q13" s="510"/>
      <c r="R13" s="511"/>
      <c r="S13" s="72"/>
      <c r="T13" s="509"/>
      <c r="U13" s="510"/>
      <c r="V13" s="511"/>
      <c r="W13" s="509"/>
      <c r="X13" s="510"/>
      <c r="Y13" s="511"/>
      <c r="Z13" s="72"/>
      <c r="AA13" s="72"/>
      <c r="AB13" s="72"/>
      <c r="AC13" s="72"/>
      <c r="AD13" s="72"/>
      <c r="AE13" s="113"/>
      <c r="AF13" s="113"/>
      <c r="AG13" s="113"/>
      <c r="AH13" s="358"/>
      <c r="AI13" s="72"/>
    </row>
    <row r="14" spans="1:35" s="278" customFormat="1" ht="18.95" customHeight="1" thickBot="1" x14ac:dyDescent="0.45">
      <c r="A14" s="72"/>
      <c r="B14" s="495" t="s">
        <v>983</v>
      </c>
      <c r="C14" s="496"/>
      <c r="D14" s="497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8"/>
      <c r="F14" s="499"/>
      <c r="G14" s="497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8"/>
      <c r="I14" s="499"/>
      <c r="J14" s="497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8"/>
      <c r="L14" s="499"/>
      <c r="M14" s="497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8"/>
      <c r="O14" s="499"/>
      <c r="P14" s="497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8"/>
      <c r="R14" s="499"/>
      <c r="S14" s="72"/>
      <c r="T14" s="497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8"/>
      <c r="V14" s="499"/>
      <c r="W14" s="497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8"/>
      <c r="Y14" s="499"/>
      <c r="Z14" s="72"/>
      <c r="AA14" s="72"/>
      <c r="AB14" s="72"/>
      <c r="AC14" s="72"/>
      <c r="AD14" s="72"/>
      <c r="AE14" s="113"/>
      <c r="AF14" s="113"/>
      <c r="AG14" s="113"/>
      <c r="AH14" s="358"/>
      <c r="AI14" s="72"/>
    </row>
    <row r="15" spans="1:35" s="278" customFormat="1" ht="18.95" hidden="1" customHeight="1" thickBot="1" x14ac:dyDescent="0.45">
      <c r="A15" s="72"/>
      <c r="B15" s="116" t="s">
        <v>2180</v>
      </c>
      <c r="C15" s="117" t="s">
        <v>2181</v>
      </c>
      <c r="D15" s="209" t="str">
        <f t="shared" ref="D15" ca="1" si="31">IFERROR($AF$39+MATCH("*"&amp;D$5&amp;$B11&amp;"-1"&amp;"*",INDIRECT("$"&amp;$W$42&amp;$AF$39&amp;":"&amp;$W$42&amp;$AF$40),0)-1,"ー")</f>
        <v>ー</v>
      </c>
      <c r="E15" s="216" t="str">
        <f t="shared" ref="E15" ca="1" si="32">IFERROR($AF$39+MATCH("*"&amp;D$5&amp;$B11&amp;"-2"&amp;"*",INDIRECT("$"&amp;$W$42&amp;$AF$39&amp;":"&amp;$W$42&amp;$AF$40),0)-1,"ー")</f>
        <v>ー</v>
      </c>
      <c r="F15" s="210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209" t="str">
        <f t="shared" ref="G15:P15" ca="1" si="34">IFERROR($AF$39+MATCH("*"&amp;G$5&amp;$B11&amp;"-1"&amp;"*",INDIRECT("$"&amp;$W$42&amp;$AF$39&amp;":"&amp;$W$42&amp;$AF$40),0)-1,"ー")</f>
        <v>ー</v>
      </c>
      <c r="H15" s="216" t="str">
        <f t="shared" ref="H15:Q15" ca="1" si="35">IFERROR($AF$39+MATCH("*"&amp;G$5&amp;$B11&amp;"-2"&amp;"*",INDIRECT("$"&amp;$W$42&amp;$AF$39&amp;":"&amp;$W$42&amp;$AF$40),0)-1,"ー")</f>
        <v>ー</v>
      </c>
      <c r="I15" s="210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209" t="str">
        <f t="shared" ca="1" si="34"/>
        <v>ー</v>
      </c>
      <c r="K15" s="216" t="str">
        <f t="shared" ca="1" si="35"/>
        <v>ー</v>
      </c>
      <c r="L15" s="210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209" t="str">
        <f t="shared" ca="1" si="34"/>
        <v>ー</v>
      </c>
      <c r="N15" s="216" t="str">
        <f t="shared" ca="1" si="35"/>
        <v>ー</v>
      </c>
      <c r="O15" s="210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209" t="str">
        <f t="shared" ca="1" si="34"/>
        <v>ー</v>
      </c>
      <c r="Q15" s="216" t="str">
        <f t="shared" ca="1" si="35"/>
        <v>ー</v>
      </c>
      <c r="R15" s="210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72"/>
      <c r="T15" s="209" t="str">
        <f t="shared" ref="T15" ca="1" si="40">IFERROR($AF$39+MATCH(T$5&amp;"-"&amp;$B11,INDIRECT("$"&amp;$W$42&amp;$AF$39&amp;":"&amp;$W$42&amp;$AF$40),0)-1,"ー")</f>
        <v>ー</v>
      </c>
      <c r="U15" s="216" t="str">
        <f t="shared" ref="U15" ca="1" si="41">IFERROR($AF$39+MATCH(T$5&amp;"-"&amp;(VALUE($B11)+5),INDIRECT("$"&amp;$W$42&amp;$AF$39&amp;":"&amp;$W$42&amp;$AF$40),0)-1,"ー")</f>
        <v>ー</v>
      </c>
      <c r="V15" s="210" t="str">
        <f t="shared" ref="V15" ca="1" si="42">IF(U15="ー",
"重複なし",
IF(AND(T15&lt;&gt;"ー",U15&lt;&gt;"ー"),"ターム","重複あり")
)</f>
        <v>重複なし</v>
      </c>
      <c r="W15" s="209" t="str">
        <f t="shared" ref="W15" ca="1" si="43">IFERROR($AF$39+MATCH(W$5&amp;"-"&amp;$B11,INDIRECT("$"&amp;$W$42&amp;$AF$39&amp;":"&amp;$W$42&amp;$AF$40),0)-1,"ー")</f>
        <v>ー</v>
      </c>
      <c r="X15" s="216" t="str">
        <f t="shared" ref="X15" ca="1" si="44">IFERROR($AF$39+MATCH(W$5&amp;"-"&amp;(VALUE($B11)+5),INDIRECT("$"&amp;$W$42&amp;$AF$39&amp;":"&amp;$W$42&amp;$AF$40),0)-1,"ー")</f>
        <v>ー</v>
      </c>
      <c r="Y15" s="210" t="str">
        <f t="shared" ref="Y15" ca="1" si="45">IF(X15="ー",
"重複なし",
IF(AND(W15&lt;&gt;"ー",X15&lt;&gt;"ー"),"ターム","重複あり")
)</f>
        <v>重複なし</v>
      </c>
      <c r="Z15" s="72"/>
      <c r="AA15" s="72"/>
      <c r="AB15" s="72"/>
      <c r="AC15" s="72"/>
      <c r="AD15" s="72"/>
      <c r="AE15" s="113"/>
      <c r="AF15" s="113"/>
      <c r="AG15" s="113"/>
      <c r="AH15" s="358"/>
      <c r="AI15" s="72"/>
    </row>
    <row r="16" spans="1:35" s="279" customFormat="1" ht="18.95" customHeight="1" x14ac:dyDescent="0.4">
      <c r="A16" s="114"/>
      <c r="B16" s="500">
        <v>3</v>
      </c>
      <c r="C16" s="501"/>
      <c r="D16" s="506" t="str">
        <f t="shared" ref="D16" ca="1" si="46">IFERROR(IF(F20="ターム",INDIRECT($D$42&amp;D20)&amp;CHAR(10)&amp;INDIRECT($D$42&amp;E20),INDIRECT($D$42&amp;D20)),"")</f>
        <v/>
      </c>
      <c r="E16" s="507"/>
      <c r="F16" s="508"/>
      <c r="G16" s="506" t="str">
        <f t="shared" ref="G16" ca="1" si="47">IFERROR(IF(I20="ターム",INDIRECT($D$42&amp;G20)&amp;CHAR(10)&amp;INDIRECT($D$42&amp;H20),INDIRECT($D$42&amp;G20)),"")</f>
        <v/>
      </c>
      <c r="H16" s="507"/>
      <c r="I16" s="508"/>
      <c r="J16" s="506" t="str">
        <f t="shared" ref="J16" ca="1" si="48">IFERROR(IF(L20="ターム",INDIRECT($D$42&amp;J20)&amp;CHAR(10)&amp;INDIRECT($D$42&amp;K20),INDIRECT($D$42&amp;J20)),"")</f>
        <v/>
      </c>
      <c r="K16" s="507"/>
      <c r="L16" s="508"/>
      <c r="M16" s="506" t="str">
        <f t="shared" ref="M16" ca="1" si="49">IFERROR(IF(O20="ターム",INDIRECT($D$42&amp;M20)&amp;CHAR(10)&amp;INDIRECT($D$42&amp;N20),INDIRECT($D$42&amp;M20)),"")</f>
        <v/>
      </c>
      <c r="N16" s="507"/>
      <c r="O16" s="508"/>
      <c r="P16" s="506" t="str">
        <f t="shared" ref="P16" ca="1" si="50">IFERROR(IF(R20="ターム",INDIRECT($D$42&amp;P20)&amp;CHAR(10)&amp;INDIRECT($D$42&amp;Q20),INDIRECT($D$42&amp;P20)),"")</f>
        <v/>
      </c>
      <c r="Q16" s="507"/>
      <c r="R16" s="508"/>
      <c r="S16" s="114"/>
      <c r="T16" s="506" t="str">
        <f t="shared" ref="T16" ca="1" si="51">IFERROR(IF(V20="ターム",INDIRECT($D$42&amp;T20)&amp;CHAR(10)&amp;INDIRECT($D$42&amp;U20),INDIRECT($D$42&amp;T20)),"")</f>
        <v/>
      </c>
      <c r="U16" s="507"/>
      <c r="V16" s="508"/>
      <c r="W16" s="506" t="str">
        <f t="shared" ref="W16" ca="1" si="52">IFERROR(IF(Y20="ターム",INDIRECT($D$42&amp;W20)&amp;CHAR(10)&amp;INDIRECT($D$42&amp;X20),INDIRECT($D$42&amp;W20)),"")</f>
        <v/>
      </c>
      <c r="X16" s="507"/>
      <c r="Y16" s="508"/>
      <c r="Z16" s="114"/>
      <c r="AA16" s="114"/>
      <c r="AB16" s="114"/>
      <c r="AC16" s="114"/>
      <c r="AD16" s="114"/>
      <c r="AE16" s="115"/>
      <c r="AF16" s="115"/>
      <c r="AG16" s="115"/>
      <c r="AH16" s="359"/>
      <c r="AI16" s="114"/>
    </row>
    <row r="17" spans="1:35" s="278" customFormat="1" ht="18.95" customHeight="1" x14ac:dyDescent="0.4">
      <c r="A17" s="72"/>
      <c r="B17" s="502"/>
      <c r="C17" s="503"/>
      <c r="D17" s="509"/>
      <c r="E17" s="510"/>
      <c r="F17" s="511"/>
      <c r="G17" s="509"/>
      <c r="H17" s="510"/>
      <c r="I17" s="511"/>
      <c r="J17" s="509"/>
      <c r="K17" s="510"/>
      <c r="L17" s="511"/>
      <c r="M17" s="509"/>
      <c r="N17" s="510"/>
      <c r="O17" s="511"/>
      <c r="P17" s="509"/>
      <c r="Q17" s="510"/>
      <c r="R17" s="511"/>
      <c r="S17" s="72"/>
      <c r="T17" s="509"/>
      <c r="U17" s="510"/>
      <c r="V17" s="511"/>
      <c r="W17" s="509"/>
      <c r="X17" s="510"/>
      <c r="Y17" s="511"/>
      <c r="Z17" s="72"/>
      <c r="AA17" s="72"/>
      <c r="AB17" s="72"/>
      <c r="AC17" s="72"/>
      <c r="AD17" s="72"/>
      <c r="AE17" s="113"/>
      <c r="AF17" s="113"/>
      <c r="AG17" s="113"/>
      <c r="AH17" s="358"/>
      <c r="AI17" s="72"/>
    </row>
    <row r="18" spans="1:35" s="278" customFormat="1" ht="18.95" customHeight="1" x14ac:dyDescent="0.4">
      <c r="A18" s="72"/>
      <c r="B18" s="504"/>
      <c r="C18" s="505"/>
      <c r="D18" s="509"/>
      <c r="E18" s="510"/>
      <c r="F18" s="511"/>
      <c r="G18" s="509"/>
      <c r="H18" s="510"/>
      <c r="I18" s="511"/>
      <c r="J18" s="509"/>
      <c r="K18" s="510"/>
      <c r="L18" s="511"/>
      <c r="M18" s="509"/>
      <c r="N18" s="510"/>
      <c r="O18" s="511"/>
      <c r="P18" s="509"/>
      <c r="Q18" s="510"/>
      <c r="R18" s="511"/>
      <c r="S18" s="72"/>
      <c r="T18" s="509"/>
      <c r="U18" s="510"/>
      <c r="V18" s="511"/>
      <c r="W18" s="509"/>
      <c r="X18" s="510"/>
      <c r="Y18" s="511"/>
      <c r="Z18" s="72"/>
      <c r="AA18" s="72"/>
      <c r="AB18" s="72"/>
      <c r="AC18" s="72"/>
      <c r="AD18" s="72"/>
      <c r="AE18" s="113"/>
      <c r="AF18" s="113"/>
      <c r="AG18" s="113"/>
      <c r="AH18" s="358"/>
      <c r="AI18" s="72"/>
    </row>
    <row r="19" spans="1:35" s="279" customFormat="1" ht="18.95" customHeight="1" thickBot="1" x14ac:dyDescent="0.45">
      <c r="A19" s="114"/>
      <c r="B19" s="495" t="s">
        <v>984</v>
      </c>
      <c r="C19" s="496"/>
      <c r="D19" s="497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8"/>
      <c r="F19" s="499"/>
      <c r="G19" s="497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8"/>
      <c r="I19" s="499"/>
      <c r="J19" s="497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8"/>
      <c r="L19" s="499"/>
      <c r="M19" s="497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8"/>
      <c r="O19" s="499"/>
      <c r="P19" s="497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8"/>
      <c r="R19" s="499"/>
      <c r="S19" s="114"/>
      <c r="T19" s="497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8"/>
      <c r="V19" s="499"/>
      <c r="W19" s="497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8"/>
      <c r="Y19" s="499"/>
      <c r="Z19" s="114"/>
      <c r="AA19" s="114"/>
      <c r="AB19" s="114"/>
      <c r="AC19" s="114"/>
      <c r="AD19" s="114"/>
      <c r="AE19" s="115"/>
      <c r="AF19" s="115"/>
      <c r="AG19" s="115"/>
      <c r="AH19" s="359"/>
      <c r="AI19" s="114"/>
    </row>
    <row r="20" spans="1:35" s="278" customFormat="1" ht="18.95" hidden="1" customHeight="1" thickBot="1" x14ac:dyDescent="0.45">
      <c r="A20" s="72"/>
      <c r="B20" s="116" t="s">
        <v>2180</v>
      </c>
      <c r="C20" s="117" t="s">
        <v>2181</v>
      </c>
      <c r="D20" s="209" t="str">
        <f t="shared" ref="D20" ca="1" si="58">IFERROR($AF$39+MATCH("*"&amp;D$5&amp;$B16&amp;"-1"&amp;"*",INDIRECT("$"&amp;$W$42&amp;$AF$39&amp;":"&amp;$W$42&amp;$AF$40),0)-1,"ー")</f>
        <v>ー</v>
      </c>
      <c r="E20" s="216" t="str">
        <f t="shared" ref="E20" ca="1" si="59">IFERROR($AF$39+MATCH("*"&amp;D$5&amp;$B16&amp;"-2"&amp;"*",INDIRECT("$"&amp;$W$42&amp;$AF$39&amp;":"&amp;$W$42&amp;$AF$40),0)-1,"ー")</f>
        <v>ー</v>
      </c>
      <c r="F20" s="210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209" t="str">
        <f t="shared" ref="G20:P20" ca="1" si="61">IFERROR($AF$39+MATCH("*"&amp;G$5&amp;$B16&amp;"-1"&amp;"*",INDIRECT("$"&amp;$W$42&amp;$AF$39&amp;":"&amp;$W$42&amp;$AF$40),0)-1,"ー")</f>
        <v>ー</v>
      </c>
      <c r="H20" s="216" t="str">
        <f t="shared" ref="H20:Q20" ca="1" si="62">IFERROR($AF$39+MATCH("*"&amp;G$5&amp;$B16&amp;"-2"&amp;"*",INDIRECT("$"&amp;$W$42&amp;$AF$39&amp;":"&amp;$W$42&amp;$AF$40),0)-1,"ー")</f>
        <v>ー</v>
      </c>
      <c r="I20" s="210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209" t="str">
        <f t="shared" ca="1" si="61"/>
        <v>ー</v>
      </c>
      <c r="K20" s="216" t="str">
        <f t="shared" ca="1" si="62"/>
        <v>ー</v>
      </c>
      <c r="L20" s="210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209" t="str">
        <f t="shared" ca="1" si="61"/>
        <v>ー</v>
      </c>
      <c r="N20" s="216" t="str">
        <f t="shared" ca="1" si="62"/>
        <v>ー</v>
      </c>
      <c r="O20" s="210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209" t="str">
        <f t="shared" ca="1" si="61"/>
        <v>ー</v>
      </c>
      <c r="Q20" s="216" t="str">
        <f t="shared" ca="1" si="62"/>
        <v>ー</v>
      </c>
      <c r="R20" s="210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72"/>
      <c r="T20" s="209" t="str">
        <f t="shared" ref="T20" ca="1" si="67">IFERROR($AF$39+MATCH(T$5&amp;"-"&amp;$B16,INDIRECT("$"&amp;$W$42&amp;$AF$39&amp;":"&amp;$W$42&amp;$AF$40),0)-1,"ー")</f>
        <v>ー</v>
      </c>
      <c r="U20" s="216" t="str">
        <f t="shared" ref="U20" ca="1" si="68">IFERROR($AF$39+MATCH(T$5&amp;"-"&amp;(VALUE($B16)+5),INDIRECT("$"&amp;$W$42&amp;$AF$39&amp;":"&amp;$W$42&amp;$AF$40),0)-1,"ー")</f>
        <v>ー</v>
      </c>
      <c r="V20" s="210" t="str">
        <f t="shared" ref="V20" ca="1" si="69">IF(U20="ー",
"重複なし",
IF(AND(T20&lt;&gt;"ー",U20&lt;&gt;"ー"),"ターム","重複あり")
)</f>
        <v>重複なし</v>
      </c>
      <c r="W20" s="209" t="str">
        <f t="shared" ref="W20" ca="1" si="70">IFERROR($AF$39+MATCH(W$5&amp;"-"&amp;$B16,INDIRECT("$"&amp;$W$42&amp;$AF$39&amp;":"&amp;$W$42&amp;$AF$40),0)-1,"ー")</f>
        <v>ー</v>
      </c>
      <c r="X20" s="216" t="str">
        <f t="shared" ref="X20" ca="1" si="71">IFERROR($AF$39+MATCH(W$5&amp;"-"&amp;(VALUE($B16)+5),INDIRECT("$"&amp;$W$42&amp;$AF$39&amp;":"&amp;$W$42&amp;$AF$40),0)-1,"ー")</f>
        <v>ー</v>
      </c>
      <c r="Y20" s="210" t="str">
        <f t="shared" ref="Y20" ca="1" si="72">IF(X20="ー",
"重複なし",
IF(AND(W20&lt;&gt;"ー",X20&lt;&gt;"ー"),"ターム","重複あり")
)</f>
        <v>重複なし</v>
      </c>
      <c r="Z20" s="72"/>
      <c r="AA20" s="72"/>
      <c r="AB20" s="72"/>
      <c r="AC20" s="72"/>
      <c r="AD20" s="72"/>
      <c r="AE20" s="113"/>
      <c r="AF20" s="113"/>
      <c r="AG20" s="113"/>
      <c r="AH20" s="358"/>
      <c r="AI20" s="72"/>
    </row>
    <row r="21" spans="1:35" s="278" customFormat="1" ht="18.95" customHeight="1" x14ac:dyDescent="0.4">
      <c r="A21" s="72"/>
      <c r="B21" s="514">
        <v>4</v>
      </c>
      <c r="C21" s="515"/>
      <c r="D21" s="506" t="str">
        <f t="shared" ref="D21" ca="1" si="73">IFERROR(IF(F25="ターム",INDIRECT($D$42&amp;D25)&amp;CHAR(10)&amp;INDIRECT($D$42&amp;E25),INDIRECT($D$42&amp;D25)),"")</f>
        <v/>
      </c>
      <c r="E21" s="507"/>
      <c r="F21" s="508"/>
      <c r="G21" s="506" t="str">
        <f t="shared" ref="G21" ca="1" si="74">IFERROR(IF(I25="ターム",INDIRECT($D$42&amp;G25)&amp;CHAR(10)&amp;INDIRECT($D$42&amp;H25),INDIRECT($D$42&amp;G25)),"")</f>
        <v/>
      </c>
      <c r="H21" s="507"/>
      <c r="I21" s="508"/>
      <c r="J21" s="506" t="str">
        <f t="shared" ref="J21" ca="1" si="75">IFERROR(IF(L25="ターム",INDIRECT($D$42&amp;J25)&amp;CHAR(10)&amp;INDIRECT($D$42&amp;K25),INDIRECT($D$42&amp;J25)),"")</f>
        <v/>
      </c>
      <c r="K21" s="507"/>
      <c r="L21" s="508"/>
      <c r="M21" s="506" t="str">
        <f t="shared" ref="M21" ca="1" si="76">IFERROR(IF(O25="ターム",INDIRECT($D$42&amp;M25)&amp;CHAR(10)&amp;INDIRECT($D$42&amp;N25),INDIRECT($D$42&amp;M25)),"")</f>
        <v/>
      </c>
      <c r="N21" s="507"/>
      <c r="O21" s="508"/>
      <c r="P21" s="506" t="str">
        <f t="shared" ref="P21" ca="1" si="77">IFERROR(IF(R25="ターム",INDIRECT($D$42&amp;P25)&amp;CHAR(10)&amp;INDIRECT($D$42&amp;Q25),INDIRECT($D$42&amp;P25)),"")</f>
        <v/>
      </c>
      <c r="Q21" s="507"/>
      <c r="R21" s="508"/>
      <c r="S21" s="72"/>
      <c r="T21" s="506" t="str">
        <f t="shared" ref="T21" ca="1" si="78">IFERROR(IF(V25="ターム",INDIRECT($D$42&amp;T25)&amp;CHAR(10)&amp;INDIRECT($D$42&amp;U25),INDIRECT($D$42&amp;T25)),"")</f>
        <v/>
      </c>
      <c r="U21" s="507"/>
      <c r="V21" s="508"/>
      <c r="W21" s="506" t="str">
        <f t="shared" ref="W21" ca="1" si="79">IFERROR(IF(Y25="ターム",INDIRECT($D$42&amp;W25)&amp;CHAR(10)&amp;INDIRECT($D$42&amp;X25),INDIRECT($D$42&amp;W25)),"")</f>
        <v/>
      </c>
      <c r="X21" s="507"/>
      <c r="Y21" s="508"/>
      <c r="Z21" s="72"/>
      <c r="AA21" s="72"/>
      <c r="AB21" s="72"/>
      <c r="AC21" s="72"/>
      <c r="AD21" s="72"/>
      <c r="AE21" s="113"/>
      <c r="AF21" s="113"/>
      <c r="AG21" s="113"/>
      <c r="AH21" s="358"/>
      <c r="AI21" s="72"/>
    </row>
    <row r="22" spans="1:35" s="278" customFormat="1" ht="18.95" customHeight="1" thickBot="1" x14ac:dyDescent="0.45">
      <c r="A22" s="72"/>
      <c r="B22" s="516"/>
      <c r="C22" s="517"/>
      <c r="D22" s="509"/>
      <c r="E22" s="510"/>
      <c r="F22" s="511"/>
      <c r="G22" s="509"/>
      <c r="H22" s="510"/>
      <c r="I22" s="511"/>
      <c r="J22" s="509"/>
      <c r="K22" s="510"/>
      <c r="L22" s="511"/>
      <c r="M22" s="509"/>
      <c r="N22" s="510"/>
      <c r="O22" s="511"/>
      <c r="P22" s="509"/>
      <c r="Q22" s="510"/>
      <c r="R22" s="511"/>
      <c r="S22" s="72"/>
      <c r="T22" s="509"/>
      <c r="U22" s="510"/>
      <c r="V22" s="511"/>
      <c r="W22" s="509"/>
      <c r="X22" s="510"/>
      <c r="Y22" s="511"/>
      <c r="Z22" s="72"/>
      <c r="AA22" s="72"/>
      <c r="AB22" s="72"/>
      <c r="AC22" s="72"/>
      <c r="AD22" s="72"/>
      <c r="AE22" s="113"/>
      <c r="AF22" s="113"/>
      <c r="AG22" s="113"/>
      <c r="AH22" s="358"/>
      <c r="AI22" s="72"/>
    </row>
    <row r="23" spans="1:35" s="279" customFormat="1" ht="18.95" customHeight="1" x14ac:dyDescent="0.4">
      <c r="A23" s="114"/>
      <c r="B23" s="518"/>
      <c r="C23" s="519"/>
      <c r="D23" s="509"/>
      <c r="E23" s="510"/>
      <c r="F23" s="511"/>
      <c r="G23" s="509"/>
      <c r="H23" s="510"/>
      <c r="I23" s="511"/>
      <c r="J23" s="509"/>
      <c r="K23" s="510"/>
      <c r="L23" s="511"/>
      <c r="M23" s="509"/>
      <c r="N23" s="510"/>
      <c r="O23" s="511"/>
      <c r="P23" s="509"/>
      <c r="Q23" s="510"/>
      <c r="R23" s="511"/>
      <c r="S23" s="114"/>
      <c r="T23" s="509"/>
      <c r="U23" s="510"/>
      <c r="V23" s="511"/>
      <c r="W23" s="509"/>
      <c r="X23" s="510"/>
      <c r="Y23" s="511"/>
      <c r="Z23" s="114"/>
      <c r="AA23" s="512" t="s">
        <v>998</v>
      </c>
      <c r="AB23" s="513"/>
      <c r="AC23" s="114"/>
      <c r="AD23" s="114"/>
      <c r="AE23" s="115"/>
      <c r="AF23" s="115"/>
      <c r="AG23" s="115"/>
      <c r="AH23" s="359"/>
      <c r="AI23" s="114"/>
    </row>
    <row r="24" spans="1:35" s="279" customFormat="1" ht="18.95" customHeight="1" thickBot="1" x14ac:dyDescent="0.45">
      <c r="A24" s="114"/>
      <c r="B24" s="495" t="s">
        <v>985</v>
      </c>
      <c r="C24" s="496"/>
      <c r="D24" s="497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8"/>
      <c r="F24" s="499"/>
      <c r="G24" s="497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8"/>
      <c r="I24" s="499"/>
      <c r="J24" s="497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8"/>
      <c r="L24" s="499"/>
      <c r="M24" s="497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8"/>
      <c r="O24" s="499"/>
      <c r="P24" s="497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8"/>
      <c r="R24" s="499"/>
      <c r="S24" s="114"/>
      <c r="T24" s="497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8"/>
      <c r="V24" s="499"/>
      <c r="W24" s="497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8"/>
      <c r="Y24" s="499"/>
      <c r="Z24" s="114"/>
      <c r="AA24" s="491">
        <f ca="1">SUM(INDIRECT($M$42&amp;$AF$39&amp;":"&amp;$M$42&amp;$AF$40))</f>
        <v>0</v>
      </c>
      <c r="AB24" s="492"/>
      <c r="AC24" s="114"/>
      <c r="AD24" s="114"/>
      <c r="AE24" s="115"/>
      <c r="AF24" s="115"/>
      <c r="AG24" s="115"/>
      <c r="AH24" s="359"/>
      <c r="AI24" s="114"/>
    </row>
    <row r="25" spans="1:35" s="278" customFormat="1" ht="18.95" hidden="1" customHeight="1" thickBot="1" x14ac:dyDescent="0.45">
      <c r="A25" s="72"/>
      <c r="B25" s="116" t="s">
        <v>2180</v>
      </c>
      <c r="C25" s="117" t="s">
        <v>2181</v>
      </c>
      <c r="D25" s="209" t="str">
        <f t="shared" ref="D25" ca="1" si="85">IFERROR($AF$39+MATCH("*"&amp;D$5&amp;$B21&amp;"-1"&amp;"*",INDIRECT("$"&amp;$W$42&amp;$AF$39&amp;":"&amp;$W$42&amp;$AF$40),0)-1,"ー")</f>
        <v>ー</v>
      </c>
      <c r="E25" s="216" t="str">
        <f t="shared" ref="E25" ca="1" si="86">IFERROR($AF$39+MATCH("*"&amp;D$5&amp;$B21&amp;"-2"&amp;"*",INDIRECT("$"&amp;$W$42&amp;$AF$39&amp;":"&amp;$W$42&amp;$AF$40),0)-1,"ー")</f>
        <v>ー</v>
      </c>
      <c r="F25" s="210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209" t="str">
        <f t="shared" ref="G25:P25" ca="1" si="88">IFERROR($AF$39+MATCH("*"&amp;G$5&amp;$B21&amp;"-1"&amp;"*",INDIRECT("$"&amp;$W$42&amp;$AF$39&amp;":"&amp;$W$42&amp;$AF$40),0)-1,"ー")</f>
        <v>ー</v>
      </c>
      <c r="H25" s="216" t="str">
        <f t="shared" ref="H25:Q25" ca="1" si="89">IFERROR($AF$39+MATCH("*"&amp;G$5&amp;$B21&amp;"-2"&amp;"*",INDIRECT("$"&amp;$W$42&amp;$AF$39&amp;":"&amp;$W$42&amp;$AF$40),0)-1,"ー")</f>
        <v>ー</v>
      </c>
      <c r="I25" s="210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209" t="str">
        <f t="shared" ca="1" si="88"/>
        <v>ー</v>
      </c>
      <c r="K25" s="216" t="str">
        <f t="shared" ca="1" si="89"/>
        <v>ー</v>
      </c>
      <c r="L25" s="210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209" t="str">
        <f t="shared" ca="1" si="88"/>
        <v>ー</v>
      </c>
      <c r="N25" s="216" t="str">
        <f t="shared" ca="1" si="89"/>
        <v>ー</v>
      </c>
      <c r="O25" s="210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209" t="str">
        <f t="shared" ca="1" si="88"/>
        <v>ー</v>
      </c>
      <c r="Q25" s="216" t="str">
        <f t="shared" ca="1" si="89"/>
        <v>ー</v>
      </c>
      <c r="R25" s="210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72"/>
      <c r="T25" s="209" t="str">
        <f t="shared" ref="T25" ca="1" si="94">IFERROR($AF$39+MATCH(T$5&amp;"-"&amp;$B21,INDIRECT("$"&amp;$W$42&amp;$AF$39&amp;":"&amp;$W$42&amp;$AF$40),0)-1,"ー")</f>
        <v>ー</v>
      </c>
      <c r="U25" s="216" t="str">
        <f t="shared" ref="U25" ca="1" si="95">IFERROR($AF$39+MATCH(T$5&amp;"-"&amp;(VALUE($B21)+5),INDIRECT("$"&amp;$W$42&amp;$AF$39&amp;":"&amp;$W$42&amp;$AF$40),0)-1,"ー")</f>
        <v>ー</v>
      </c>
      <c r="V25" s="210" t="str">
        <f t="shared" ref="V25" ca="1" si="96">IF(U25="ー",
"重複なし",
IF(AND(T25&lt;&gt;"ー",U25&lt;&gt;"ー"),"ターム","重複あり")
)</f>
        <v>重複なし</v>
      </c>
      <c r="W25" s="209" t="str">
        <f t="shared" ref="W25" ca="1" si="97">IFERROR($AF$39+MATCH(W$5&amp;"-"&amp;$B21,INDIRECT("$"&amp;$W$42&amp;$AF$39&amp;":"&amp;$W$42&amp;$AF$40),0)-1,"ー")</f>
        <v>ー</v>
      </c>
      <c r="X25" s="216" t="str">
        <f t="shared" ref="X25" ca="1" si="98">IFERROR($AF$39+MATCH(W$5&amp;"-"&amp;(VALUE($B21)+5),INDIRECT("$"&amp;$W$42&amp;$AF$39&amp;":"&amp;$W$42&amp;$AF$40),0)-1,"ー")</f>
        <v>ー</v>
      </c>
      <c r="Y25" s="210" t="str">
        <f t="shared" ref="Y25" ca="1" si="99">IF(X25="ー",
"重複なし",
IF(AND(W25&lt;&gt;"ー",X25&lt;&gt;"ー"),"ターム","重複あり")
)</f>
        <v>重複なし</v>
      </c>
      <c r="Z25" s="72"/>
      <c r="AA25" s="491"/>
      <c r="AB25" s="492"/>
      <c r="AC25" s="72"/>
      <c r="AD25" s="72"/>
      <c r="AE25" s="113"/>
      <c r="AF25" s="113"/>
      <c r="AG25" s="113"/>
      <c r="AH25" s="358"/>
      <c r="AI25" s="72"/>
    </row>
    <row r="26" spans="1:35" s="279" customFormat="1" ht="18.95" customHeight="1" thickBot="1" x14ac:dyDescent="0.45">
      <c r="A26" s="114"/>
      <c r="B26" s="500">
        <v>5</v>
      </c>
      <c r="C26" s="501"/>
      <c r="D26" s="506" t="str">
        <f t="shared" ref="D26" ca="1" si="100">IFERROR(IF(F30="ターム",INDIRECT($D$42&amp;D30)&amp;CHAR(10)&amp;INDIRECT($D$42&amp;E30),INDIRECT($D$42&amp;D30)),"")</f>
        <v/>
      </c>
      <c r="E26" s="507"/>
      <c r="F26" s="508"/>
      <c r="G26" s="506" t="str">
        <f t="shared" ref="G26" ca="1" si="101">IFERROR(IF(I30="ターム",INDIRECT($D$42&amp;G30)&amp;CHAR(10)&amp;INDIRECT($D$42&amp;H30),INDIRECT($D$42&amp;G30)),"")</f>
        <v/>
      </c>
      <c r="H26" s="507"/>
      <c r="I26" s="508"/>
      <c r="J26" s="506" t="str">
        <f t="shared" ref="J26" ca="1" si="102">IFERROR(IF(L30="ターム",INDIRECT($D$42&amp;J30)&amp;CHAR(10)&amp;INDIRECT($D$42&amp;K30),INDIRECT($D$42&amp;J30)),"")</f>
        <v/>
      </c>
      <c r="K26" s="507"/>
      <c r="L26" s="508"/>
      <c r="M26" s="506" t="str">
        <f t="shared" ref="M26" ca="1" si="103">IFERROR(IF(O30="ターム",INDIRECT($D$42&amp;M30)&amp;CHAR(10)&amp;INDIRECT($D$42&amp;N30),INDIRECT($D$42&amp;M30)),"")</f>
        <v/>
      </c>
      <c r="N26" s="507"/>
      <c r="O26" s="508"/>
      <c r="P26" s="506" t="str">
        <f t="shared" ref="P26" ca="1" si="104">IFERROR(IF(R30="ターム",INDIRECT($D$42&amp;P30)&amp;CHAR(10)&amp;INDIRECT($D$42&amp;Q30),INDIRECT($D$42&amp;P30)),"")</f>
        <v/>
      </c>
      <c r="Q26" s="507"/>
      <c r="R26" s="508"/>
      <c r="S26" s="114"/>
      <c r="T26" s="506" t="str">
        <f t="shared" ref="T26" ca="1" si="105">IFERROR(IF(V30="ターム",INDIRECT($D$42&amp;T30)&amp;CHAR(10)&amp;INDIRECT($D$42&amp;U30),INDIRECT($D$42&amp;T30)),"")</f>
        <v/>
      </c>
      <c r="U26" s="507"/>
      <c r="V26" s="508"/>
      <c r="W26" s="506" t="str">
        <f t="shared" ref="W26" ca="1" si="106">IFERROR(IF(Y30="ターム",INDIRECT($D$42&amp;W30)&amp;CHAR(10)&amp;INDIRECT($D$42&amp;X30),INDIRECT($D$42&amp;W30)),"")</f>
        <v/>
      </c>
      <c r="X26" s="507"/>
      <c r="Y26" s="508"/>
      <c r="Z26" s="114"/>
      <c r="AA26" s="493"/>
      <c r="AB26" s="494"/>
      <c r="AC26" s="114"/>
      <c r="AD26" s="114"/>
      <c r="AE26" s="115"/>
      <c r="AF26" s="115"/>
      <c r="AG26" s="115"/>
      <c r="AH26" s="359"/>
      <c r="AI26" s="114"/>
    </row>
    <row r="27" spans="1:35" s="279" customFormat="1" ht="18.95" customHeight="1" x14ac:dyDescent="0.4">
      <c r="A27" s="114"/>
      <c r="B27" s="502"/>
      <c r="C27" s="503"/>
      <c r="D27" s="509"/>
      <c r="E27" s="510"/>
      <c r="F27" s="511"/>
      <c r="G27" s="509"/>
      <c r="H27" s="510"/>
      <c r="I27" s="511"/>
      <c r="J27" s="509"/>
      <c r="K27" s="510"/>
      <c r="L27" s="511"/>
      <c r="M27" s="509"/>
      <c r="N27" s="510"/>
      <c r="O27" s="511"/>
      <c r="P27" s="509"/>
      <c r="Q27" s="510"/>
      <c r="R27" s="511"/>
      <c r="S27" s="114"/>
      <c r="T27" s="509"/>
      <c r="U27" s="510"/>
      <c r="V27" s="511"/>
      <c r="W27" s="509"/>
      <c r="X27" s="510"/>
      <c r="Y27" s="511"/>
      <c r="Z27" s="114"/>
      <c r="AA27" s="489" t="s">
        <v>999</v>
      </c>
      <c r="AB27" s="490"/>
      <c r="AC27" s="114"/>
      <c r="AD27" s="114"/>
      <c r="AE27" s="115"/>
      <c r="AF27" s="115"/>
      <c r="AG27" s="115"/>
      <c r="AH27" s="359"/>
      <c r="AI27" s="114"/>
    </row>
    <row r="28" spans="1:35" s="277" customFormat="1" ht="18.75" customHeight="1" x14ac:dyDescent="0.4">
      <c r="A28" s="68"/>
      <c r="B28" s="504"/>
      <c r="C28" s="505"/>
      <c r="D28" s="509"/>
      <c r="E28" s="510"/>
      <c r="F28" s="511"/>
      <c r="G28" s="509"/>
      <c r="H28" s="510"/>
      <c r="I28" s="511"/>
      <c r="J28" s="509"/>
      <c r="K28" s="510"/>
      <c r="L28" s="511"/>
      <c r="M28" s="509"/>
      <c r="N28" s="510"/>
      <c r="O28" s="511"/>
      <c r="P28" s="509"/>
      <c r="Q28" s="510"/>
      <c r="R28" s="511"/>
      <c r="S28" s="68"/>
      <c r="T28" s="509"/>
      <c r="U28" s="510"/>
      <c r="V28" s="511"/>
      <c r="W28" s="509"/>
      <c r="X28" s="510"/>
      <c r="Y28" s="511"/>
      <c r="Z28" s="68"/>
      <c r="AA28" s="491">
        <f ca="1">SUMIF(INDIRECT($N$42&amp;$AF$39&amp;":"&amp;$N$42&amp;$AF$40),"?",INDIRECT($M$42&amp;$AF$39&amp;":"&amp;$M$42&amp;$AF$40))</f>
        <v>0</v>
      </c>
      <c r="AB28" s="492"/>
      <c r="AC28" s="68"/>
      <c r="AD28" s="68"/>
      <c r="AE28" s="112"/>
      <c r="AF28" s="112"/>
      <c r="AG28" s="112"/>
      <c r="AH28" s="119"/>
      <c r="AI28" s="68"/>
    </row>
    <row r="29" spans="1:35" s="277" customFormat="1" ht="19.5" thickBot="1" x14ac:dyDescent="0.45">
      <c r="A29" s="68"/>
      <c r="B29" s="495" t="s">
        <v>986</v>
      </c>
      <c r="C29" s="496"/>
      <c r="D29" s="497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8"/>
      <c r="F29" s="499"/>
      <c r="G29" s="497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8"/>
      <c r="I29" s="499"/>
      <c r="J29" s="497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8"/>
      <c r="L29" s="499"/>
      <c r="M29" s="497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8"/>
      <c r="O29" s="499"/>
      <c r="P29" s="497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8"/>
      <c r="R29" s="499"/>
      <c r="S29" s="68"/>
      <c r="T29" s="497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8"/>
      <c r="V29" s="499"/>
      <c r="W29" s="497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8"/>
      <c r="Y29" s="499"/>
      <c r="Z29" s="68"/>
      <c r="AA29" s="493"/>
      <c r="AB29" s="494"/>
      <c r="AC29" s="68"/>
      <c r="AD29" s="68"/>
      <c r="AE29" s="112"/>
      <c r="AF29" s="112"/>
      <c r="AG29" s="112"/>
      <c r="AH29" s="119"/>
      <c r="AI29" s="68"/>
    </row>
    <row r="30" spans="1:35" s="278" customFormat="1" ht="19.5" hidden="1" thickBot="1" x14ac:dyDescent="0.45">
      <c r="A30" s="72"/>
      <c r="B30" s="116" t="s">
        <v>2180</v>
      </c>
      <c r="C30" s="117" t="s">
        <v>2181</v>
      </c>
      <c r="D30" s="207" t="str">
        <f t="shared" ref="D30" ca="1" si="112">IFERROR($AF$39+MATCH("*"&amp;D$5&amp;$B26&amp;"-1"&amp;"*",INDIRECT("$"&amp;$W$42&amp;$AF$39&amp;":"&amp;$W$42&amp;$AF$40),0)-1,"ー")</f>
        <v>ー</v>
      </c>
      <c r="E30" s="217" t="str">
        <f t="shared" ref="E30" ca="1" si="113">IFERROR($AF$39+MATCH("*"&amp;D$5&amp;$B26&amp;"-2"&amp;"*",INDIRECT("$"&amp;$W$42&amp;$AF$39&amp;":"&amp;$W$42&amp;$AF$40),0)-1,"ー")</f>
        <v>ー</v>
      </c>
      <c r="F30" s="208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207" t="str">
        <f t="shared" ref="G30:P30" ca="1" si="115">IFERROR($AF$39+MATCH("*"&amp;G$5&amp;$B26&amp;"-1"&amp;"*",INDIRECT("$"&amp;$W$42&amp;$AF$39&amp;":"&amp;$W$42&amp;$AF$40),0)-1,"ー")</f>
        <v>ー</v>
      </c>
      <c r="H30" s="217" t="str">
        <f t="shared" ref="H30:Q30" ca="1" si="116">IFERROR($AF$39+MATCH("*"&amp;G$5&amp;$B26&amp;"-2"&amp;"*",INDIRECT("$"&amp;$W$42&amp;$AF$39&amp;":"&amp;$W$42&amp;$AF$40),0)-1,"ー")</f>
        <v>ー</v>
      </c>
      <c r="I30" s="208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207" t="str">
        <f t="shared" ca="1" si="115"/>
        <v>ー</v>
      </c>
      <c r="K30" s="217" t="str">
        <f t="shared" ca="1" si="116"/>
        <v>ー</v>
      </c>
      <c r="L30" s="208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207" t="str">
        <f t="shared" ca="1" si="115"/>
        <v>ー</v>
      </c>
      <c r="N30" s="217" t="str">
        <f t="shared" ca="1" si="116"/>
        <v>ー</v>
      </c>
      <c r="O30" s="208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207" t="str">
        <f t="shared" ca="1" si="115"/>
        <v>ー</v>
      </c>
      <c r="Q30" s="217" t="str">
        <f t="shared" ca="1" si="116"/>
        <v>ー</v>
      </c>
      <c r="R30" s="208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72"/>
      <c r="T30" s="207" t="str">
        <f t="shared" ref="T30" ca="1" si="121">IFERROR($AF$39+MATCH(T$5&amp;"-"&amp;$B26,INDIRECT("$"&amp;$W$42&amp;$AF$39&amp;":"&amp;$W$42&amp;$AF$40),0)-1,"ー")</f>
        <v>ー</v>
      </c>
      <c r="U30" s="217" t="str">
        <f t="shared" ref="U30" ca="1" si="122">IFERROR($AF$39+MATCH(T$5&amp;"-"&amp;(VALUE($B26)+5),INDIRECT("$"&amp;$W$42&amp;$AF$39&amp;":"&amp;$W$42&amp;$AF$40),0)-1,"ー")</f>
        <v>ー</v>
      </c>
      <c r="V30" s="208" t="str">
        <f t="shared" ref="V30" ca="1" si="123">IF(U30="ー",
"重複なし",
IF(AND(T30&lt;&gt;"ー",U30&lt;&gt;"ー"),"ターム","重複あり")
)</f>
        <v>重複なし</v>
      </c>
      <c r="W30" s="207" t="str">
        <f t="shared" ref="W30" ca="1" si="124">IFERROR($AF$39+MATCH(W$5&amp;"-"&amp;$B26,INDIRECT("$"&amp;$W$42&amp;$AF$39&amp;":"&amp;$W$42&amp;$AF$40),0)-1,"ー")</f>
        <v>ー</v>
      </c>
      <c r="X30" s="217" t="str">
        <f t="shared" ref="X30" ca="1" si="125">IFERROR($AF$39+MATCH(W$5&amp;"-"&amp;(VALUE($B26)+5),INDIRECT("$"&amp;$W$42&amp;$AF$39&amp;":"&amp;$W$42&amp;$AF$40),0)-1,"ー")</f>
        <v>ー</v>
      </c>
      <c r="Y30" s="208" t="str">
        <f t="shared" ref="Y30" ca="1" si="126">IF(X30="ー",
"重複なし",
IF(AND(W30&lt;&gt;"ー",X30&lt;&gt;"ー"),"ターム","重複あり")
)</f>
        <v>重複なし</v>
      </c>
      <c r="Z30" s="72"/>
      <c r="AA30" s="72"/>
      <c r="AB30" s="72"/>
      <c r="AC30" s="72"/>
      <c r="AD30" s="72"/>
      <c r="AE30" s="113"/>
      <c r="AF30" s="113"/>
      <c r="AG30" s="113"/>
      <c r="AH30" s="358"/>
      <c r="AI30" s="72"/>
    </row>
    <row r="31" spans="1:35" s="277" customFormat="1" ht="18.75" x14ac:dyDescent="0.4">
      <c r="A31" s="68"/>
      <c r="B31" s="68"/>
      <c r="C31" s="68"/>
      <c r="D31" s="70"/>
      <c r="E31" s="70"/>
      <c r="F31" s="70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112"/>
      <c r="AF31" s="112"/>
      <c r="AG31" s="112"/>
      <c r="AH31" s="119"/>
      <c r="AI31" s="68"/>
    </row>
    <row r="32" spans="1:35" s="277" customFormat="1" ht="18.75" x14ac:dyDescent="0.4">
      <c r="A32" s="68"/>
      <c r="B32" s="68"/>
      <c r="C32" s="68"/>
      <c r="D32" s="70"/>
      <c r="E32" s="70"/>
      <c r="F32" s="70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112"/>
      <c r="AF32" s="112"/>
      <c r="AG32" s="112"/>
      <c r="AH32" s="119"/>
      <c r="AI32" s="68"/>
    </row>
    <row r="33" spans="1:35" s="277" customFormat="1" ht="30" x14ac:dyDescent="0.4">
      <c r="A33" s="68"/>
      <c r="B33" s="479" t="str">
        <f ca="1">"　"&amp;RIGHT(CELL("filename",A1),LEN(CELL("filename",A1))-FIND("]",CELL("filename",A1)))&amp;"　単位表"</f>
        <v>　２年春　単位表</v>
      </c>
      <c r="C33" s="479"/>
      <c r="D33" s="479"/>
      <c r="E33" s="479"/>
      <c r="F33" s="479"/>
      <c r="G33" s="479"/>
      <c r="H33" s="479"/>
      <c r="I33" s="479"/>
      <c r="J33" s="479"/>
      <c r="K33" s="479"/>
      <c r="L33" s="479"/>
      <c r="M33" s="479"/>
      <c r="N33" s="479"/>
      <c r="O33" s="479"/>
      <c r="P33" s="479"/>
      <c r="Q33" s="479"/>
      <c r="R33" s="479"/>
      <c r="S33" s="479"/>
      <c r="T33" s="479"/>
      <c r="U33" s="479"/>
      <c r="V33" s="479"/>
      <c r="W33" s="479"/>
      <c r="X33" s="479"/>
      <c r="Y33" s="479"/>
      <c r="Z33" s="479"/>
      <c r="AA33" s="479"/>
      <c r="AB33" s="479"/>
      <c r="AC33" s="479"/>
      <c r="AD33" s="479"/>
      <c r="AE33" s="112"/>
      <c r="AF33" s="112"/>
      <c r="AG33" s="112"/>
      <c r="AH33" s="119"/>
      <c r="AI33" s="68"/>
    </row>
    <row r="34" spans="1:35" s="276" customFormat="1" ht="18" customHeight="1" x14ac:dyDescent="0.4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211"/>
      <c r="AB34" s="211" t="s">
        <v>707</v>
      </c>
      <c r="AC34" s="480">
        <f ca="1">NOW()</f>
        <v>43958.619198726854</v>
      </c>
      <c r="AD34" s="480"/>
      <c r="AE34" s="119"/>
      <c r="AF34" s="119"/>
      <c r="AG34" s="119"/>
      <c r="AH34" s="119"/>
      <c r="AI34" s="70"/>
    </row>
    <row r="35" spans="1:35" ht="19.5" thickBot="1" x14ac:dyDescent="0.45"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120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121"/>
      <c r="AF35" s="121"/>
      <c r="AG35" s="121"/>
      <c r="AH35" s="121"/>
    </row>
    <row r="36" spans="1:35" ht="19.5" thickBot="1" x14ac:dyDescent="0.45">
      <c r="B36" s="481">
        <v>2020</v>
      </c>
      <c r="C36" s="482"/>
      <c r="D36" s="280" t="s">
        <v>970</v>
      </c>
      <c r="E36" s="482" t="s">
        <v>1004</v>
      </c>
      <c r="F36" s="482"/>
      <c r="G36" s="281" t="s">
        <v>978</v>
      </c>
      <c r="H36" s="483"/>
      <c r="I36" s="483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121"/>
      <c r="AF36" s="121"/>
      <c r="AG36" s="121"/>
      <c r="AH36" s="121"/>
    </row>
    <row r="37" spans="1:35" ht="19.5" thickBot="1" x14ac:dyDescent="0.45">
      <c r="B37" s="484" t="s">
        <v>967</v>
      </c>
      <c r="C37" s="485"/>
      <c r="D37" s="485"/>
      <c r="E37" s="485"/>
      <c r="F37" s="485"/>
      <c r="G37" s="485"/>
      <c r="H37" s="485"/>
      <c r="I37" s="485"/>
      <c r="J37" s="485"/>
      <c r="K37" s="485"/>
      <c r="L37" s="485"/>
      <c r="M37" s="485"/>
      <c r="N37" s="485"/>
      <c r="O37" s="485"/>
      <c r="P37" s="485"/>
      <c r="Q37" s="485"/>
      <c r="R37" s="485"/>
      <c r="S37" s="485"/>
      <c r="T37" s="485"/>
      <c r="U37" s="485"/>
      <c r="V37" s="486" t="s">
        <v>968</v>
      </c>
      <c r="W37" s="487"/>
      <c r="X37" s="487"/>
      <c r="Y37" s="487"/>
      <c r="Z37" s="487"/>
      <c r="AA37" s="487"/>
      <c r="AB37" s="487"/>
      <c r="AC37" s="487"/>
      <c r="AD37" s="488"/>
      <c r="AE37" s="472" t="s">
        <v>993</v>
      </c>
      <c r="AF37" s="473"/>
      <c r="AG37" s="473"/>
      <c r="AH37" s="474"/>
    </row>
    <row r="38" spans="1:35" ht="19.5" hidden="1" thickBot="1" x14ac:dyDescent="0.45">
      <c r="B38" s="434" t="s">
        <v>2174</v>
      </c>
      <c r="C38" s="435"/>
      <c r="D38" s="475" t="str">
        <f>$E$36</f>
        <v>春</v>
      </c>
      <c r="E38" s="476"/>
      <c r="F38" s="477" t="str">
        <f>IF($D$38="春","第１ターム",IF($D$38="秋","第４ターム",""))</f>
        <v>第１ターム</v>
      </c>
      <c r="G38" s="477"/>
      <c r="H38" s="477" t="str">
        <f>IF($D$38="春","第２ターム",IF($D$38="秋","第５ターム",""))</f>
        <v>第２ターム</v>
      </c>
      <c r="I38" s="478"/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460"/>
      <c r="U38" s="460"/>
      <c r="V38" s="460"/>
      <c r="W38" s="460"/>
      <c r="X38" s="460"/>
      <c r="Y38" s="460"/>
      <c r="Z38" s="460"/>
      <c r="AA38" s="460"/>
      <c r="AB38" s="460"/>
      <c r="AC38" s="460"/>
      <c r="AD38" s="460"/>
      <c r="AE38" s="298"/>
      <c r="AF38" s="298"/>
      <c r="AG38" s="298"/>
      <c r="AH38" s="298"/>
    </row>
    <row r="39" spans="1:35" ht="18.600000000000001" hidden="1" customHeight="1" thickBot="1" x14ac:dyDescent="0.45">
      <c r="B39" s="432" t="s">
        <v>977</v>
      </c>
      <c r="C39" s="461"/>
      <c r="D39" s="464" t="s">
        <v>970</v>
      </c>
      <c r="E39" s="465"/>
      <c r="F39" s="466">
        <f>$B$36</f>
        <v>2020</v>
      </c>
      <c r="G39" s="467"/>
      <c r="H39" s="468" t="s">
        <v>971</v>
      </c>
      <c r="I39" s="469"/>
      <c r="J39" s="470" t="s">
        <v>972</v>
      </c>
      <c r="K39" s="471"/>
      <c r="L39" s="450" t="s">
        <v>58</v>
      </c>
      <c r="M39" s="450"/>
      <c r="N39" s="451" t="s">
        <v>973</v>
      </c>
      <c r="O39" s="452"/>
      <c r="P39" s="448" t="s">
        <v>975</v>
      </c>
      <c r="Q39" s="453"/>
      <c r="R39" s="454" t="s">
        <v>974</v>
      </c>
      <c r="S39" s="455"/>
      <c r="T39" s="456" t="s">
        <v>972</v>
      </c>
      <c r="U39" s="457"/>
      <c r="V39" s="458" t="s">
        <v>500</v>
      </c>
      <c r="W39" s="459"/>
      <c r="X39" s="440" t="s">
        <v>973</v>
      </c>
      <c r="Y39" s="441"/>
      <c r="Z39" s="442" t="s">
        <v>976</v>
      </c>
      <c r="AA39" s="443"/>
      <c r="AB39" s="282"/>
      <c r="AC39" s="282"/>
      <c r="AD39" s="282"/>
      <c r="AE39" s="360" t="s">
        <v>994</v>
      </c>
      <c r="AF39" s="122">
        <f>ROW(AE43)+1</f>
        <v>44</v>
      </c>
      <c r="AG39" s="298"/>
      <c r="AH39" s="298"/>
    </row>
    <row r="40" spans="1:35" ht="19.5" hidden="1" thickBot="1" x14ac:dyDescent="0.45">
      <c r="B40" s="462"/>
      <c r="C40" s="463"/>
      <c r="D40" s="444" t="s">
        <v>969</v>
      </c>
      <c r="E40" s="445"/>
      <c r="F40" s="446">
        <v>3</v>
      </c>
      <c r="G40" s="447"/>
      <c r="H40" s="448">
        <v>2</v>
      </c>
      <c r="I40" s="447"/>
      <c r="J40" s="448">
        <v>2</v>
      </c>
      <c r="K40" s="447"/>
      <c r="L40" s="448">
        <v>3</v>
      </c>
      <c r="M40" s="447"/>
      <c r="N40" s="297">
        <v>7</v>
      </c>
      <c r="O40" s="297">
        <v>8</v>
      </c>
      <c r="P40" s="297">
        <v>10</v>
      </c>
      <c r="Q40" s="448">
        <v>11</v>
      </c>
      <c r="R40" s="447"/>
      <c r="S40" s="297">
        <v>6</v>
      </c>
      <c r="T40" s="297" t="s">
        <v>11</v>
      </c>
      <c r="U40" s="297" t="s">
        <v>11</v>
      </c>
      <c r="V40" s="123">
        <v>12</v>
      </c>
      <c r="W40" s="206">
        <v>4</v>
      </c>
      <c r="X40" s="206">
        <v>5</v>
      </c>
      <c r="Y40" s="206">
        <v>6</v>
      </c>
      <c r="Z40" s="430">
        <v>7</v>
      </c>
      <c r="AA40" s="449"/>
      <c r="AB40" s="430">
        <v>8</v>
      </c>
      <c r="AC40" s="431"/>
      <c r="AD40" s="431"/>
      <c r="AE40" s="361" t="s">
        <v>995</v>
      </c>
      <c r="AF40" s="124">
        <f ca="1">AF39+COUNTA(AF44:AF108)-1</f>
        <v>73</v>
      </c>
      <c r="AG40" s="298"/>
      <c r="AH40" s="298"/>
    </row>
    <row r="41" spans="1:35" ht="19.5" hidden="1" thickBot="1" x14ac:dyDescent="0.45">
      <c r="B41" s="432" t="s">
        <v>1005</v>
      </c>
      <c r="C41" s="433"/>
      <c r="D41" s="196" t="s">
        <v>939</v>
      </c>
      <c r="E41" s="197" t="s">
        <v>941</v>
      </c>
      <c r="F41" s="197" t="s">
        <v>940</v>
      </c>
      <c r="G41" s="197" t="s">
        <v>944</v>
      </c>
      <c r="H41" s="197" t="s">
        <v>954</v>
      </c>
      <c r="I41" s="197" t="s">
        <v>958</v>
      </c>
      <c r="J41" s="197" t="s">
        <v>960</v>
      </c>
      <c r="K41" s="197" t="s">
        <v>957</v>
      </c>
      <c r="L41" s="197" t="s">
        <v>961</v>
      </c>
      <c r="M41" s="197" t="s">
        <v>15</v>
      </c>
      <c r="N41" s="197" t="s">
        <v>9</v>
      </c>
      <c r="O41" s="197" t="s">
        <v>16</v>
      </c>
      <c r="P41" s="198" t="s">
        <v>959</v>
      </c>
      <c r="Q41" s="198" t="s">
        <v>962</v>
      </c>
      <c r="R41" s="198" t="s">
        <v>945</v>
      </c>
      <c r="S41" s="198" t="s">
        <v>946</v>
      </c>
      <c r="T41" s="198" t="s">
        <v>947</v>
      </c>
      <c r="U41" s="198" t="s">
        <v>948</v>
      </c>
      <c r="V41" s="199" t="s">
        <v>996</v>
      </c>
      <c r="W41" s="200" t="s">
        <v>997</v>
      </c>
      <c r="X41" s="195"/>
      <c r="Y41" s="195"/>
      <c r="Z41" s="296"/>
      <c r="AA41" s="296"/>
      <c r="AB41" s="296"/>
      <c r="AC41" s="296"/>
      <c r="AD41" s="296"/>
      <c r="AE41" s="298"/>
      <c r="AF41" s="298"/>
      <c r="AG41" s="298"/>
      <c r="AH41" s="298"/>
    </row>
    <row r="42" spans="1:35" ht="19.5" hidden="1" thickBot="1" x14ac:dyDescent="0.45">
      <c r="B42" s="434"/>
      <c r="C42" s="435"/>
      <c r="D42" s="201" t="str">
        <f>LEFT(ADDRESS(1,COLUMN($B$43),2),FIND("$",ADDRESS(1,COLUMN($B$43),2))-1)</f>
        <v>B</v>
      </c>
      <c r="E42" s="202" t="str">
        <f>LEFT(ADDRESS(1,COLUMN($F$43),2),FIND("$",ADDRESS(1,COLUMN($F$43),2))-1)</f>
        <v>F</v>
      </c>
      <c r="F42" s="203" t="str">
        <f>LEFT(ADDRESS(1,COLUMN($H$43),2),FIND("$",ADDRESS(1,COLUMN($H$43),2))-1)</f>
        <v>H</v>
      </c>
      <c r="G42" s="203" t="str">
        <f>LEFT(ADDRESS(1,COLUMN($J$43),2),FIND("$",ADDRESS(1,COLUMN($J$43),2))-1)</f>
        <v>J</v>
      </c>
      <c r="H42" s="203" t="str">
        <f>LEFT(ADDRESS(1,COLUMN($L$43),2),FIND("$",ADDRESS(1,COLUMN($L$43),2))-1)</f>
        <v>L</v>
      </c>
      <c r="I42" s="203" t="str">
        <f>LEFT(ADDRESS(1,COLUMN($N$43),2),FIND("$",ADDRESS(1,COLUMN($N$43),2))-1)</f>
        <v>N</v>
      </c>
      <c r="J42" s="203" t="str">
        <f>LEFT(ADDRESS(1,COLUMN($O$43),2),FIND("$",ADDRESS(1,COLUMN($O$43),2))-1)</f>
        <v>O</v>
      </c>
      <c r="K42" s="203" t="str">
        <f>LEFT(ADDRESS(1,COLUMN($P$43),2),FIND("$",ADDRESS(1,COLUMN($P$43),2))-1)</f>
        <v>P</v>
      </c>
      <c r="L42" s="203" t="str">
        <f>LEFT(ADDRESS(1,COLUMN($Q$43),2),FIND("$",ADDRESS(1,COLUMN($Q$43),2))-1)</f>
        <v>Q</v>
      </c>
      <c r="M42" s="202" t="str">
        <f>LEFT(ADDRESS(1,COLUMN($S$43),2),FIND("$",ADDRESS(1,COLUMN($S$43),2))-1)</f>
        <v>S</v>
      </c>
      <c r="N42" s="202" t="str">
        <f>LEFT(ADDRESS(1,COLUMN($T$43),2),FIND("$",ADDRESS(1,COLUMN($T$43),2))-1)</f>
        <v>T</v>
      </c>
      <c r="O42" s="202" t="str">
        <f>LEFT(ADDRESS(1,COLUMN($U$43),2),FIND("$",ADDRESS(1,COLUMN($U$43),2))-1)</f>
        <v>U</v>
      </c>
      <c r="P42" s="204" t="str">
        <f>LEFT(ADDRESS(1,COLUMN($V$43),2),FIND("$",ADDRESS(1,COLUMN($V$43),2))-1)</f>
        <v>V</v>
      </c>
      <c r="Q42" s="204" t="str">
        <f>LEFT(ADDRESS(1,COLUMN($W$43),2),FIND("$",ADDRESS(1,COLUMN($W$43),2))-1)</f>
        <v>W</v>
      </c>
      <c r="R42" s="204" t="str">
        <f>LEFT(ADDRESS(1,COLUMN($X$43),2),FIND("$",ADDRESS(1,COLUMN($X$43),2))-1)</f>
        <v>X</v>
      </c>
      <c r="S42" s="204" t="str">
        <f>LEFT(ADDRESS(1,COLUMN($Y$43),2),FIND("$",ADDRESS(1,COLUMN($Y$43),2))-1)</f>
        <v>Y</v>
      </c>
      <c r="T42" s="205" t="str">
        <f>LEFT(ADDRESS(1,COLUMN($Z$43),2),FIND("$",ADDRESS(1,COLUMN($Z$43),2))-1)</f>
        <v>Z</v>
      </c>
      <c r="U42" s="205" t="str">
        <f>LEFT(ADDRESS(1,COLUMN($AB$43),2),FIND("$",ADDRESS(1,COLUMN($AB$43),2))-1)</f>
        <v>AB</v>
      </c>
      <c r="V42" s="125" t="str">
        <f>LEFT(ADDRESS(1,COLUMN($AE$43),2),FIND("$",ADDRESS(1,COLUMN($AE$43),2))-1)</f>
        <v>AE</v>
      </c>
      <c r="W42" s="126" t="str">
        <f>LEFT(ADDRESS(1,COLUMN($AF$43),2),FIND("$",ADDRESS(1,COLUMN($AF$43),2))-1)</f>
        <v>AF</v>
      </c>
      <c r="X42" s="127"/>
      <c r="Y42" s="127"/>
      <c r="Z42" s="296"/>
      <c r="AA42" s="296"/>
      <c r="AB42" s="296"/>
      <c r="AC42" s="296"/>
      <c r="AD42" s="296"/>
      <c r="AE42" s="298"/>
      <c r="AF42" s="298"/>
      <c r="AG42" s="298"/>
      <c r="AH42" s="298"/>
    </row>
    <row r="43" spans="1:35" ht="19.5" thickBot="1" x14ac:dyDescent="0.45">
      <c r="B43" s="436" t="s">
        <v>939</v>
      </c>
      <c r="C43" s="437"/>
      <c r="D43" s="437"/>
      <c r="E43" s="437"/>
      <c r="F43" s="437" t="s">
        <v>941</v>
      </c>
      <c r="G43" s="437"/>
      <c r="H43" s="437" t="s">
        <v>940</v>
      </c>
      <c r="I43" s="437"/>
      <c r="J43" s="437" t="s">
        <v>944</v>
      </c>
      <c r="K43" s="437"/>
      <c r="L43" s="437" t="s">
        <v>954</v>
      </c>
      <c r="M43" s="437"/>
      <c r="N43" s="294" t="s">
        <v>958</v>
      </c>
      <c r="O43" s="294" t="s">
        <v>960</v>
      </c>
      <c r="P43" s="294" t="s">
        <v>957</v>
      </c>
      <c r="Q43" s="437" t="s">
        <v>961</v>
      </c>
      <c r="R43" s="437"/>
      <c r="S43" s="294" t="s">
        <v>15</v>
      </c>
      <c r="T43" s="294" t="s">
        <v>9</v>
      </c>
      <c r="U43" s="189" t="s">
        <v>16</v>
      </c>
      <c r="V43" s="128" t="s">
        <v>959</v>
      </c>
      <c r="W43" s="295" t="s">
        <v>962</v>
      </c>
      <c r="X43" s="295" t="s">
        <v>945</v>
      </c>
      <c r="Y43" s="295" t="s">
        <v>946</v>
      </c>
      <c r="Z43" s="438" t="s">
        <v>947</v>
      </c>
      <c r="AA43" s="438"/>
      <c r="AB43" s="438" t="s">
        <v>948</v>
      </c>
      <c r="AC43" s="438"/>
      <c r="AD43" s="439"/>
      <c r="AE43" s="355" t="s">
        <v>996</v>
      </c>
      <c r="AF43" s="357" t="s">
        <v>997</v>
      </c>
      <c r="AG43" s="357" t="s">
        <v>2179</v>
      </c>
      <c r="AH43" s="356" t="s">
        <v>2508</v>
      </c>
    </row>
    <row r="44" spans="1:35" ht="19.5" thickTop="1" x14ac:dyDescent="0.4">
      <c r="B44" s="424"/>
      <c r="C44" s="425"/>
      <c r="D44" s="425"/>
      <c r="E44" s="425"/>
      <c r="F44" s="410" t="str">
        <f ca="1">IFERROR(VLOOKUP($B44,INDIRECT(CONCATENATE("'",$F$39,$V$39,"'!",$Z$39)),$F$40,FALSE)&amp;"","")</f>
        <v/>
      </c>
      <c r="G44" s="410"/>
      <c r="H44" s="429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429"/>
      <c r="J44" s="410" t="str">
        <f ca="1">IFERROR(VLOOKUP($B44,INDIRECT(CONCATENATE("'",成績管理表!$D$9,$L$39,"'!",$P$39)),$J$40,FALSE)&amp;"","")</f>
        <v/>
      </c>
      <c r="K44" s="410"/>
      <c r="L44" s="410" t="str">
        <f ca="1">IFERROR(VLOOKUP($B44,INDIRECT(CONCATENATE("'",成績管理表!$D$9,$L$39,"'!",$P$39)),$L$40,FALSE)&amp;"","")</f>
        <v/>
      </c>
      <c r="M44" s="410"/>
      <c r="N44" s="292" t="str">
        <f ca="1">IFERROR(VLOOKUP($B44,INDIRECT(CONCATENATE("'",成績管理表!$D$9,$L$39,"'!",$P$39)),$N$40,FALSE)&amp;"","")</f>
        <v/>
      </c>
      <c r="O44" s="292" t="str">
        <f ca="1">IFERROR(VLOOKUP($B44,INDIRECT(CONCATENATE("'",成績管理表!$D$9,$L$39,"'!",$P$39)),$O$40,FALSE)&amp;"","")</f>
        <v/>
      </c>
      <c r="P44" s="292" t="str">
        <f ca="1">IFERROR(VLOOKUP($B44,INDIRECT(CONCATENATE("'",成績管理表!$D$9,$L$39,"'!",$P$39)),$P$40,FALSE)&amp;"","")</f>
        <v/>
      </c>
      <c r="Q44" s="410" t="str">
        <f ca="1">IFERROR(VLOOKUP($B44,INDIRECT(CONCATENATE("'",成績管理表!$D$9,$L$39,"'!",$P$39)),$Q$40,FALSE)&amp;"","")</f>
        <v/>
      </c>
      <c r="R44" s="410"/>
      <c r="S44" s="129" t="str">
        <f ca="1">IFERROR(VLOOKUP($B44,INDIRECT(CONCATENATE("'",成績管理表!$D$9,$L$39,"'!",$P$39)),$S$40,FALSE),"")</f>
        <v/>
      </c>
      <c r="T44" s="110"/>
      <c r="U44" s="190" t="str">
        <f>IF($T44="秀",4.5*$S44,IF($T44="優",4*$S44,IF($T44="良",3*$S44,IF($T44="可",2*$S44,IF($T44="不可",0,"")))))</f>
        <v/>
      </c>
      <c r="V44" s="130" t="str">
        <f ca="1">IFERROR(VLOOKUP($B44,INDIRECT(CONCATENATE("'",成績管理表!$D$9,$L$39,"'!",$P$39)),$V$40,FALSE)&amp;"","")</f>
        <v/>
      </c>
      <c r="W44" s="292" t="str">
        <f ca="1">IFERROR(VLOOKUP($B44,INDIRECT(CONCATENATE("'",$F$39,$V$39,"'!",$Z$39)),$W$40,FALSE)&amp;"","")</f>
        <v/>
      </c>
      <c r="X44" s="292" t="str">
        <f ca="1">IFERROR(VLOOKUP($B44,INDIRECT(CONCATENATE("'",$F$39,$V$39,"'!",$Z$39)),$X$40,FALSE)&amp;"","")</f>
        <v/>
      </c>
      <c r="Y44" s="292" t="str">
        <f ca="1">IFERROR(VLOOKUP($B44,INDIRECT(CONCATENATE("'",$F$39,$V$39,"'!",$Z$39)),$Y$40,FALSE)&amp;"","")</f>
        <v/>
      </c>
      <c r="Z44" s="410" t="str">
        <f ca="1">IFERROR(VLOOKUP($B44,INDIRECT(CONCATENATE("'",$F$39,$V$39,"'!",$Z$39)),$Z$40,FALSE)&amp;"","")</f>
        <v/>
      </c>
      <c r="AA44" s="410"/>
      <c r="AB44" s="411" t="str">
        <f ca="1">IFERROR(VLOOKUP($B44,INDIRECT(CONCATENATE("'",$F$39,$V$39,"'!",$Z$39)),$AB$40,FALSE)&amp;"","")</f>
        <v/>
      </c>
      <c r="AC44" s="411"/>
      <c r="AD44" s="412"/>
      <c r="AE44" s="130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9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92" t="b">
        <f ca="1">OR(OR($W44=$D$38,$W44=$F$38,$W44=$H$38),LEN($W44)=0)</f>
        <v>1</v>
      </c>
      <c r="AH44" s="131" t="b">
        <f ca="1">OR(LEN(AF44)=0,
$AE44="集中講義等",
$AE44="演習",
IF(COUNTIF($AF44,"*/*")=1,COUNTIF($AF44,"*-1*-1*")=1,COUNTIF($AF44,"*-1*")=1)
)</f>
        <v>1</v>
      </c>
      <c r="AI44" s="132"/>
    </row>
    <row r="45" spans="1:35" ht="18.75" x14ac:dyDescent="0.4">
      <c r="B45" s="426"/>
      <c r="C45" s="427"/>
      <c r="D45" s="427"/>
      <c r="E45" s="428"/>
      <c r="F45" s="422" t="str">
        <f t="shared" ref="F45:F73" ca="1" si="127">IFERROR(VLOOKUP($B45,INDIRECT(CONCATENATE("'",$F$39,$V$39,"'!",$Z$39)),$F$40,FALSE)&amp;"","")</f>
        <v/>
      </c>
      <c r="G45" s="422"/>
      <c r="H45" s="42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423"/>
      <c r="J45" s="410" t="str">
        <f ca="1">IFERROR(VLOOKUP($B45,INDIRECT(CONCATENATE("'",成績管理表!$D$9,$L$39,"'!",$P$39)),$J$40,FALSE)&amp;"","")</f>
        <v/>
      </c>
      <c r="K45" s="410"/>
      <c r="L45" s="410" t="str">
        <f ca="1">IFERROR(VLOOKUP($B45,INDIRECT(CONCATENATE("'",成績管理表!$D$9,$L$39,"'!",$P$39)),$L$40,FALSE)&amp;"","")</f>
        <v/>
      </c>
      <c r="M45" s="410"/>
      <c r="N45" s="292" t="str">
        <f ca="1">IFERROR(VLOOKUP($B45,INDIRECT(CONCATENATE("'",成績管理表!$D$9,$L$39,"'!",$P$39)),$N$40,FALSE)&amp;"","")</f>
        <v/>
      </c>
      <c r="O45" s="292" t="str">
        <f ca="1">IFERROR(VLOOKUP($B45,INDIRECT(CONCATENATE("'",成績管理表!$D$9,$L$39,"'!",$P$39)),$O$40,FALSE)&amp;"","")</f>
        <v/>
      </c>
      <c r="P45" s="292" t="str">
        <f ca="1">IFERROR(VLOOKUP($B45,INDIRECT(CONCATENATE("'",成績管理表!$D$9,$L$39,"'!",$P$39)),$P$40,FALSE)&amp;"","")</f>
        <v/>
      </c>
      <c r="Q45" s="410" t="str">
        <f ca="1">IFERROR(VLOOKUP($B45,INDIRECT(CONCATENATE("'",成績管理表!$D$9,$L$39,"'!",$P$39)),$Q$40,FALSE)&amp;"","")</f>
        <v/>
      </c>
      <c r="R45" s="410"/>
      <c r="S45" s="129" t="str">
        <f ca="1">IFERROR(VLOOKUP($B45,INDIRECT(CONCATENATE("'",成績管理表!$D$9,$L$39,"'!",$P$39)),$S$40,FALSE),"")</f>
        <v/>
      </c>
      <c r="T45" s="110"/>
      <c r="U45" s="190" t="str">
        <f t="shared" ref="U45:U73" si="128">IF($T45="秀",4.5*$S45,IF($T45="優",4*$S45,IF($T45="良",3*$S45,IF($T45="可",2*$S45,IF($T45="不可",0,"")))))</f>
        <v/>
      </c>
      <c r="V45" s="130" t="str">
        <f ca="1">IFERROR(VLOOKUP($B45,INDIRECT(CONCATENATE("'",成績管理表!$D$9,$L$39,"'!",$P$39)),$V$40,FALSE)&amp;"","")</f>
        <v/>
      </c>
      <c r="W45" s="292" t="str">
        <f t="shared" ref="W45:W73" ca="1" si="129">IFERROR(VLOOKUP($B45,INDIRECT(CONCATENATE("'",$F$39,$V$39,"'!",$Z$39)),$W$40,FALSE)&amp;"","")</f>
        <v/>
      </c>
      <c r="X45" s="292" t="str">
        <f t="shared" ref="X45:X73" ca="1" si="130">IFERROR(VLOOKUP($B45,INDIRECT(CONCATENATE("'",$F$39,$V$39,"'!",$Z$39)),$X$40,FALSE)&amp;"","")</f>
        <v/>
      </c>
      <c r="Y45" s="292" t="str">
        <f t="shared" ref="Y45:Y73" ca="1" si="131">IFERROR(VLOOKUP($B45,INDIRECT(CONCATENATE("'",$F$39,$V$39,"'!",$Z$39)),$Y$40,FALSE)&amp;"","")</f>
        <v/>
      </c>
      <c r="Z45" s="410" t="str">
        <f t="shared" ref="Z45:Z73" ca="1" si="132">IFERROR(VLOOKUP($B45,INDIRECT(CONCATENATE("'",$F$39,$V$39,"'!",$Z$39)),$Z$40,FALSE)&amp;"","")</f>
        <v/>
      </c>
      <c r="AA45" s="410"/>
      <c r="AB45" s="411" t="str">
        <f t="shared" ref="AB45:AB73" ca="1" si="133">IFERROR(VLOOKUP($B45,INDIRECT(CONCATENATE("'",$F$39,$V$39,"'!",$Z$39)),$AB$40,FALSE)&amp;"","")</f>
        <v/>
      </c>
      <c r="AC45" s="411"/>
      <c r="AD45" s="412"/>
      <c r="AE45" s="273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9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93" t="b">
        <f t="shared" ref="AG45:AG73" ca="1" si="135">OR(OR($W45=$D$38,$W45=$F$38,$W45=$H$38),LEN($W45)=0)</f>
        <v>1</v>
      </c>
      <c r="AH45" s="131" t="b">
        <f t="shared" ref="AH45:AH73" ca="1" si="136">OR(LEN(AF45)=0,
$AE45="集中講義等",
$AE45="演習",
IF(COUNTIF($AF45,"*/*")=1,COUNTIF($AF45,"*-1*-1*")=1,COUNTIF($AF45,"*-1*")=1)
)</f>
        <v>1</v>
      </c>
      <c r="AI45" s="132"/>
    </row>
    <row r="46" spans="1:35" ht="18.75" x14ac:dyDescent="0.4">
      <c r="B46" s="426"/>
      <c r="C46" s="427"/>
      <c r="D46" s="427"/>
      <c r="E46" s="428"/>
      <c r="F46" s="422" t="str">
        <f t="shared" ca="1" si="127"/>
        <v/>
      </c>
      <c r="G46" s="422"/>
      <c r="H46" s="42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423"/>
      <c r="J46" s="410" t="str">
        <f ca="1">IFERROR(VLOOKUP($B46,INDIRECT(CONCATENATE("'",成績管理表!$D$9,$L$39,"'!",$P$39)),$J$40,FALSE)&amp;"","")</f>
        <v/>
      </c>
      <c r="K46" s="410"/>
      <c r="L46" s="410" t="str">
        <f ca="1">IFERROR(VLOOKUP($B46,INDIRECT(CONCATENATE("'",成績管理表!$D$9,$L$39,"'!",$P$39)),$L$40,FALSE)&amp;"","")</f>
        <v/>
      </c>
      <c r="M46" s="410"/>
      <c r="N46" s="292" t="str">
        <f ca="1">IFERROR(VLOOKUP($B46,INDIRECT(CONCATENATE("'",成績管理表!$D$9,$L$39,"'!",$P$39)),$N$40,FALSE)&amp;"","")</f>
        <v/>
      </c>
      <c r="O46" s="292" t="str">
        <f ca="1">IFERROR(VLOOKUP($B46,INDIRECT(CONCATENATE("'",成績管理表!$D$9,$L$39,"'!",$P$39)),$O$40,FALSE)&amp;"","")</f>
        <v/>
      </c>
      <c r="P46" s="292" t="str">
        <f ca="1">IFERROR(VLOOKUP($B46,INDIRECT(CONCATENATE("'",成績管理表!$D$9,$L$39,"'!",$P$39)),$P$40,FALSE)&amp;"","")</f>
        <v/>
      </c>
      <c r="Q46" s="410" t="str">
        <f ca="1">IFERROR(VLOOKUP($B46,INDIRECT(CONCATENATE("'",成績管理表!$D$9,$L$39,"'!",$P$39)),$Q$40,FALSE)&amp;"","")</f>
        <v/>
      </c>
      <c r="R46" s="410"/>
      <c r="S46" s="129" t="str">
        <f ca="1">IFERROR(VLOOKUP($B46,INDIRECT(CONCATENATE("'",成績管理表!$D$9,$L$39,"'!",$P$39)),$S$40,FALSE),"")</f>
        <v/>
      </c>
      <c r="T46" s="110"/>
      <c r="U46" s="190" t="str">
        <f t="shared" si="128"/>
        <v/>
      </c>
      <c r="V46" s="130" t="str">
        <f ca="1">IFERROR(VLOOKUP($B46,INDIRECT(CONCATENATE("'",成績管理表!$D$9,$L$39,"'!",$P$39)),$V$40,FALSE)&amp;"","")</f>
        <v/>
      </c>
      <c r="W46" s="292" t="str">
        <f t="shared" ca="1" si="129"/>
        <v/>
      </c>
      <c r="X46" s="292" t="str">
        <f t="shared" ca="1" si="130"/>
        <v/>
      </c>
      <c r="Y46" s="292" t="str">
        <f t="shared" ca="1" si="131"/>
        <v/>
      </c>
      <c r="Z46" s="410" t="str">
        <f t="shared" ca="1" si="132"/>
        <v/>
      </c>
      <c r="AA46" s="410"/>
      <c r="AB46" s="411" t="str">
        <f t="shared" ca="1" si="133"/>
        <v/>
      </c>
      <c r="AC46" s="411"/>
      <c r="AD46" s="412"/>
      <c r="AE46" s="273" t="str">
        <f t="shared" ca="1" si="134"/>
        <v/>
      </c>
      <c r="AF46" s="29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93" t="b">
        <f t="shared" ca="1" si="135"/>
        <v>1</v>
      </c>
      <c r="AH46" s="131" t="b">
        <f t="shared" ca="1" si="136"/>
        <v>1</v>
      </c>
      <c r="AI46" s="132"/>
    </row>
    <row r="47" spans="1:35" ht="18.75" x14ac:dyDescent="0.4">
      <c r="B47" s="426"/>
      <c r="C47" s="427"/>
      <c r="D47" s="427"/>
      <c r="E47" s="428"/>
      <c r="F47" s="422" t="str">
        <f t="shared" ca="1" si="127"/>
        <v/>
      </c>
      <c r="G47" s="422"/>
      <c r="H47" s="42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423"/>
      <c r="J47" s="410" t="str">
        <f ca="1">IFERROR(VLOOKUP($B47,INDIRECT(CONCATENATE("'",成績管理表!$D$9,$L$39,"'!",$P$39)),$J$40,FALSE)&amp;"","")</f>
        <v/>
      </c>
      <c r="K47" s="410"/>
      <c r="L47" s="410" t="str">
        <f ca="1">IFERROR(VLOOKUP($B47,INDIRECT(CONCATENATE("'",成績管理表!$D$9,$L$39,"'!",$P$39)),$L$40,FALSE)&amp;"","")</f>
        <v/>
      </c>
      <c r="M47" s="410"/>
      <c r="N47" s="292" t="str">
        <f ca="1">IFERROR(VLOOKUP($B47,INDIRECT(CONCATENATE("'",成績管理表!$D$9,$L$39,"'!",$P$39)),$N$40,FALSE)&amp;"","")</f>
        <v/>
      </c>
      <c r="O47" s="292" t="str">
        <f ca="1">IFERROR(VLOOKUP($B47,INDIRECT(CONCATENATE("'",成績管理表!$D$9,$L$39,"'!",$P$39)),$O$40,FALSE)&amp;"","")</f>
        <v/>
      </c>
      <c r="P47" s="292" t="str">
        <f ca="1">IFERROR(VLOOKUP($B47,INDIRECT(CONCATENATE("'",成績管理表!$D$9,$L$39,"'!",$P$39)),$P$40,FALSE)&amp;"","")</f>
        <v/>
      </c>
      <c r="Q47" s="410" t="str">
        <f ca="1">IFERROR(VLOOKUP($B47,INDIRECT(CONCATENATE("'",成績管理表!$D$9,$L$39,"'!",$P$39)),$Q$40,FALSE)&amp;"","")</f>
        <v/>
      </c>
      <c r="R47" s="410"/>
      <c r="S47" s="129" t="str">
        <f ca="1">IFERROR(VLOOKUP($B47,INDIRECT(CONCATENATE("'",成績管理表!$D$9,$L$39,"'!",$P$39)),$S$40,FALSE),"")</f>
        <v/>
      </c>
      <c r="T47" s="110"/>
      <c r="U47" s="190" t="str">
        <f t="shared" si="128"/>
        <v/>
      </c>
      <c r="V47" s="130" t="str">
        <f ca="1">IFERROR(VLOOKUP($B47,INDIRECT(CONCATENATE("'",成績管理表!$D$9,$L$39,"'!",$P$39)),$V$40,FALSE)&amp;"","")</f>
        <v/>
      </c>
      <c r="W47" s="292" t="str">
        <f ca="1">IFERROR(VLOOKUP($B47,INDIRECT(CONCATENATE("'",$F$39,$V$39,"'!",$Z$39)),$W$40,FALSE)&amp;"","")</f>
        <v/>
      </c>
      <c r="X47" s="292" t="str">
        <f t="shared" ca="1" si="130"/>
        <v/>
      </c>
      <c r="Y47" s="292" t="str">
        <f t="shared" ca="1" si="131"/>
        <v/>
      </c>
      <c r="Z47" s="410" t="str">
        <f t="shared" ca="1" si="132"/>
        <v/>
      </c>
      <c r="AA47" s="410"/>
      <c r="AB47" s="411" t="str">
        <f t="shared" ca="1" si="133"/>
        <v/>
      </c>
      <c r="AC47" s="411"/>
      <c r="AD47" s="412"/>
      <c r="AE47" s="273" t="str">
        <f t="shared" ca="1" si="134"/>
        <v/>
      </c>
      <c r="AF47" s="29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93" t="b">
        <f t="shared" ca="1" si="135"/>
        <v>1</v>
      </c>
      <c r="AH47" s="131" t="b">
        <f t="shared" ca="1" si="136"/>
        <v>1</v>
      </c>
      <c r="AI47" s="132"/>
    </row>
    <row r="48" spans="1:35" ht="18.75" x14ac:dyDescent="0.4">
      <c r="B48" s="420"/>
      <c r="C48" s="421"/>
      <c r="D48" s="421"/>
      <c r="E48" s="421"/>
      <c r="F48" s="422" t="str">
        <f t="shared" ca="1" si="127"/>
        <v/>
      </c>
      <c r="G48" s="422"/>
      <c r="H48" s="42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423"/>
      <c r="J48" s="410" t="str">
        <f ca="1">IFERROR(VLOOKUP($B48,INDIRECT(CONCATENATE("'",成績管理表!$D$9,$L$39,"'!",$P$39)),$J$40,FALSE)&amp;"","")</f>
        <v/>
      </c>
      <c r="K48" s="410"/>
      <c r="L48" s="410" t="str">
        <f ca="1">IFERROR(VLOOKUP($B48,INDIRECT(CONCATENATE("'",成績管理表!$D$9,$L$39,"'!",$P$39)),$L$40,FALSE)&amp;"","")</f>
        <v/>
      </c>
      <c r="M48" s="410"/>
      <c r="N48" s="292" t="str">
        <f ca="1">IFERROR(VLOOKUP($B48,INDIRECT(CONCATENATE("'",成績管理表!$D$9,$L$39,"'!",$P$39)),$N$40,FALSE)&amp;"","")</f>
        <v/>
      </c>
      <c r="O48" s="292" t="str">
        <f ca="1">IFERROR(VLOOKUP($B48,INDIRECT(CONCATENATE("'",成績管理表!$D$9,$L$39,"'!",$P$39)),$O$40,FALSE)&amp;"","")</f>
        <v/>
      </c>
      <c r="P48" s="292" t="str">
        <f ca="1">IFERROR(VLOOKUP($B48,INDIRECT(CONCATENATE("'",成績管理表!$D$9,$L$39,"'!",$P$39)),$P$40,FALSE)&amp;"","")</f>
        <v/>
      </c>
      <c r="Q48" s="410" t="str">
        <f ca="1">IFERROR(VLOOKUP($B48,INDIRECT(CONCATENATE("'",成績管理表!$D$9,$L$39,"'!",$P$39)),$Q$40,FALSE)&amp;"","")</f>
        <v/>
      </c>
      <c r="R48" s="410"/>
      <c r="S48" s="129" t="str">
        <f ca="1">IFERROR(VLOOKUP($B48,INDIRECT(CONCATENATE("'",成績管理表!$D$9,$L$39,"'!",$P$39)),$S$40,FALSE),"")</f>
        <v/>
      </c>
      <c r="T48" s="110"/>
      <c r="U48" s="190" t="str">
        <f t="shared" si="128"/>
        <v/>
      </c>
      <c r="V48" s="130" t="str">
        <f ca="1">IFERROR(VLOOKUP($B48,INDIRECT(CONCATENATE("'",成績管理表!$D$9,$L$39,"'!",$P$39)),$V$40,FALSE)&amp;"","")</f>
        <v/>
      </c>
      <c r="W48" s="292" t="str">
        <f t="shared" ca="1" si="129"/>
        <v/>
      </c>
      <c r="X48" s="292" t="str">
        <f t="shared" ca="1" si="130"/>
        <v/>
      </c>
      <c r="Y48" s="292" t="str">
        <f t="shared" ca="1" si="131"/>
        <v/>
      </c>
      <c r="Z48" s="410" t="str">
        <f t="shared" ca="1" si="132"/>
        <v/>
      </c>
      <c r="AA48" s="410"/>
      <c r="AB48" s="411" t="str">
        <f t="shared" ca="1" si="133"/>
        <v/>
      </c>
      <c r="AC48" s="411"/>
      <c r="AD48" s="412"/>
      <c r="AE48" s="273" t="str">
        <f t="shared" ca="1" si="134"/>
        <v/>
      </c>
      <c r="AF48" s="29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93" t="b">
        <f t="shared" ca="1" si="135"/>
        <v>1</v>
      </c>
      <c r="AH48" s="131" t="b">
        <f t="shared" ca="1" si="136"/>
        <v>1</v>
      </c>
      <c r="AI48" s="132"/>
    </row>
    <row r="49" spans="2:35" ht="18.75" x14ac:dyDescent="0.4">
      <c r="B49" s="426"/>
      <c r="C49" s="427"/>
      <c r="D49" s="427"/>
      <c r="E49" s="428"/>
      <c r="F49" s="422" t="str">
        <f t="shared" ca="1" si="127"/>
        <v/>
      </c>
      <c r="G49" s="422"/>
      <c r="H49" s="42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423"/>
      <c r="J49" s="410" t="str">
        <f ca="1">IFERROR(VLOOKUP($B49,INDIRECT(CONCATENATE("'",成績管理表!$D$9,$L$39,"'!",$P$39)),$J$40,FALSE)&amp;"","")</f>
        <v/>
      </c>
      <c r="K49" s="410"/>
      <c r="L49" s="410" t="str">
        <f ca="1">IFERROR(VLOOKUP($B49,INDIRECT(CONCATENATE("'",成績管理表!$D$9,$L$39,"'!",$P$39)),$L$40,FALSE)&amp;"","")</f>
        <v/>
      </c>
      <c r="M49" s="410"/>
      <c r="N49" s="292" t="str">
        <f ca="1">IFERROR(VLOOKUP($B49,INDIRECT(CONCATENATE("'",成績管理表!$D$9,$L$39,"'!",$P$39)),$N$40,FALSE)&amp;"","")</f>
        <v/>
      </c>
      <c r="O49" s="292" t="str">
        <f ca="1">IFERROR(VLOOKUP($B49,INDIRECT(CONCATENATE("'",成績管理表!$D$9,$L$39,"'!",$P$39)),$O$40,FALSE)&amp;"","")</f>
        <v/>
      </c>
      <c r="P49" s="292" t="str">
        <f ca="1">IFERROR(VLOOKUP($B49,INDIRECT(CONCATENATE("'",成績管理表!$D$9,$L$39,"'!",$P$39)),$P$40,FALSE)&amp;"","")</f>
        <v/>
      </c>
      <c r="Q49" s="410" t="str">
        <f ca="1">IFERROR(VLOOKUP($B49,INDIRECT(CONCATENATE("'",成績管理表!$D$9,$L$39,"'!",$P$39)),$Q$40,FALSE)&amp;"","")</f>
        <v/>
      </c>
      <c r="R49" s="410"/>
      <c r="S49" s="129" t="str">
        <f ca="1">IFERROR(VLOOKUP($B49,INDIRECT(CONCATENATE("'",成績管理表!$D$9,$L$39,"'!",$P$39)),$S$40,FALSE),"")</f>
        <v/>
      </c>
      <c r="T49" s="110"/>
      <c r="U49" s="190" t="str">
        <f t="shared" si="128"/>
        <v/>
      </c>
      <c r="V49" s="130" t="str">
        <f ca="1">IFERROR(VLOOKUP($B49,INDIRECT(CONCATENATE("'",成績管理表!$D$9,$L$39,"'!",$P$39)),$V$40,FALSE)&amp;"","")</f>
        <v/>
      </c>
      <c r="W49" s="292" t="str">
        <f t="shared" ca="1" si="129"/>
        <v/>
      </c>
      <c r="X49" s="292" t="str">
        <f t="shared" ca="1" si="130"/>
        <v/>
      </c>
      <c r="Y49" s="292" t="str">
        <f t="shared" ca="1" si="131"/>
        <v/>
      </c>
      <c r="Z49" s="410" t="str">
        <f t="shared" ca="1" si="132"/>
        <v/>
      </c>
      <c r="AA49" s="410"/>
      <c r="AB49" s="411" t="str">
        <f t="shared" ca="1" si="133"/>
        <v/>
      </c>
      <c r="AC49" s="411"/>
      <c r="AD49" s="412"/>
      <c r="AE49" s="273" t="str">
        <f t="shared" ca="1" si="134"/>
        <v/>
      </c>
      <c r="AF49" s="29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93" t="b">
        <f t="shared" ca="1" si="135"/>
        <v>1</v>
      </c>
      <c r="AH49" s="131" t="b">
        <f t="shared" ca="1" si="136"/>
        <v>1</v>
      </c>
      <c r="AI49" s="132"/>
    </row>
    <row r="50" spans="2:35" ht="18.75" x14ac:dyDescent="0.4">
      <c r="B50" s="426"/>
      <c r="C50" s="427"/>
      <c r="D50" s="427"/>
      <c r="E50" s="428"/>
      <c r="F50" s="422" t="str">
        <f t="shared" ca="1" si="127"/>
        <v/>
      </c>
      <c r="G50" s="422"/>
      <c r="H50" s="42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423"/>
      <c r="J50" s="410" t="str">
        <f ca="1">IFERROR(VLOOKUP($B50,INDIRECT(CONCATENATE("'",成績管理表!$D$9,$L$39,"'!",$P$39)),$J$40,FALSE)&amp;"","")</f>
        <v/>
      </c>
      <c r="K50" s="410"/>
      <c r="L50" s="410" t="str">
        <f ca="1">IFERROR(VLOOKUP($B50,INDIRECT(CONCATENATE("'",成績管理表!$D$9,$L$39,"'!",$P$39)),$L$40,FALSE)&amp;"","")</f>
        <v/>
      </c>
      <c r="M50" s="410"/>
      <c r="N50" s="292" t="str">
        <f ca="1">IFERROR(VLOOKUP($B50,INDIRECT(CONCATENATE("'",成績管理表!$D$9,$L$39,"'!",$P$39)),$N$40,FALSE)&amp;"","")</f>
        <v/>
      </c>
      <c r="O50" s="292" t="str">
        <f ca="1">IFERROR(VLOOKUP($B50,INDIRECT(CONCATENATE("'",成績管理表!$D$9,$L$39,"'!",$P$39)),$O$40,FALSE)&amp;"","")</f>
        <v/>
      </c>
      <c r="P50" s="292" t="str">
        <f ca="1">IFERROR(VLOOKUP($B50,INDIRECT(CONCATENATE("'",成績管理表!$D$9,$L$39,"'!",$P$39)),$P$40,FALSE)&amp;"","")</f>
        <v/>
      </c>
      <c r="Q50" s="410" t="str">
        <f ca="1">IFERROR(VLOOKUP($B50,INDIRECT(CONCATENATE("'",成績管理表!$D$9,$L$39,"'!",$P$39)),$Q$40,FALSE)&amp;"","")</f>
        <v/>
      </c>
      <c r="R50" s="410"/>
      <c r="S50" s="129" t="str">
        <f ca="1">IFERROR(VLOOKUP($B50,INDIRECT(CONCATENATE("'",成績管理表!$D$9,$L$39,"'!",$P$39)),$S$40,FALSE),"")</f>
        <v/>
      </c>
      <c r="T50" s="110"/>
      <c r="U50" s="190" t="str">
        <f t="shared" si="128"/>
        <v/>
      </c>
      <c r="V50" s="130" t="str">
        <f ca="1">IFERROR(VLOOKUP($B50,INDIRECT(CONCATENATE("'",成績管理表!$D$9,$L$39,"'!",$P$39)),$V$40,FALSE)&amp;"","")</f>
        <v/>
      </c>
      <c r="W50" s="292" t="str">
        <f t="shared" ca="1" si="129"/>
        <v/>
      </c>
      <c r="X50" s="292" t="str">
        <f t="shared" ca="1" si="130"/>
        <v/>
      </c>
      <c r="Y50" s="292" t="str">
        <f t="shared" ca="1" si="131"/>
        <v/>
      </c>
      <c r="Z50" s="410" t="str">
        <f t="shared" ca="1" si="132"/>
        <v/>
      </c>
      <c r="AA50" s="410"/>
      <c r="AB50" s="411" t="str">
        <f t="shared" ca="1" si="133"/>
        <v/>
      </c>
      <c r="AC50" s="411"/>
      <c r="AD50" s="412"/>
      <c r="AE50" s="273" t="str">
        <f t="shared" ca="1" si="134"/>
        <v/>
      </c>
      <c r="AF50" s="29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93" t="b">
        <f t="shared" ca="1" si="135"/>
        <v>1</v>
      </c>
      <c r="AH50" s="131" t="b">
        <f t="shared" ca="1" si="136"/>
        <v>1</v>
      </c>
      <c r="AI50" s="132"/>
    </row>
    <row r="51" spans="2:35" ht="18.75" x14ac:dyDescent="0.4">
      <c r="B51" s="420"/>
      <c r="C51" s="421"/>
      <c r="D51" s="421"/>
      <c r="E51" s="421"/>
      <c r="F51" s="422" t="str">
        <f t="shared" ca="1" si="127"/>
        <v/>
      </c>
      <c r="G51" s="422"/>
      <c r="H51" s="42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423"/>
      <c r="J51" s="410" t="str">
        <f ca="1">IFERROR(VLOOKUP($B51,INDIRECT(CONCATENATE("'",成績管理表!$D$9,$L$39,"'!",$P$39)),$J$40,FALSE)&amp;"","")</f>
        <v/>
      </c>
      <c r="K51" s="410"/>
      <c r="L51" s="410" t="str">
        <f ca="1">IFERROR(VLOOKUP($B51,INDIRECT(CONCATENATE("'",成績管理表!$D$9,$L$39,"'!",$P$39)),$L$40,FALSE)&amp;"","")</f>
        <v/>
      </c>
      <c r="M51" s="410"/>
      <c r="N51" s="292" t="str">
        <f ca="1">IFERROR(VLOOKUP($B51,INDIRECT(CONCATENATE("'",成績管理表!$D$9,$L$39,"'!",$P$39)),$N$40,FALSE)&amp;"","")</f>
        <v/>
      </c>
      <c r="O51" s="292" t="str">
        <f ca="1">IFERROR(VLOOKUP($B51,INDIRECT(CONCATENATE("'",成績管理表!$D$9,$L$39,"'!",$P$39)),$O$40,FALSE)&amp;"","")</f>
        <v/>
      </c>
      <c r="P51" s="292" t="str">
        <f ca="1">IFERROR(VLOOKUP($B51,INDIRECT(CONCATENATE("'",成績管理表!$D$9,$L$39,"'!",$P$39)),$P$40,FALSE)&amp;"","")</f>
        <v/>
      </c>
      <c r="Q51" s="410" t="str">
        <f ca="1">IFERROR(VLOOKUP($B51,INDIRECT(CONCATENATE("'",成績管理表!$D$9,$L$39,"'!",$P$39)),$Q$40,FALSE)&amp;"","")</f>
        <v/>
      </c>
      <c r="R51" s="410"/>
      <c r="S51" s="129" t="str">
        <f ca="1">IFERROR(VLOOKUP($B51,INDIRECT(CONCATENATE("'",成績管理表!$D$9,$L$39,"'!",$P$39)),$S$40,FALSE),"")</f>
        <v/>
      </c>
      <c r="T51" s="110"/>
      <c r="U51" s="190" t="str">
        <f t="shared" si="128"/>
        <v/>
      </c>
      <c r="V51" s="130" t="str">
        <f ca="1">IFERROR(VLOOKUP($B51,INDIRECT(CONCATENATE("'",成績管理表!$D$9,$L$39,"'!",$P$39)),$V$40,FALSE)&amp;"","")</f>
        <v/>
      </c>
      <c r="W51" s="292" t="str">
        <f t="shared" ca="1" si="129"/>
        <v/>
      </c>
      <c r="X51" s="292" t="str">
        <f t="shared" ca="1" si="130"/>
        <v/>
      </c>
      <c r="Y51" s="292" t="str">
        <f t="shared" ca="1" si="131"/>
        <v/>
      </c>
      <c r="Z51" s="410" t="str">
        <f t="shared" ca="1" si="132"/>
        <v/>
      </c>
      <c r="AA51" s="410"/>
      <c r="AB51" s="411" t="str">
        <f t="shared" ca="1" si="133"/>
        <v/>
      </c>
      <c r="AC51" s="411"/>
      <c r="AD51" s="412"/>
      <c r="AE51" s="273" t="str">
        <f t="shared" ca="1" si="134"/>
        <v/>
      </c>
      <c r="AF51" s="29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93" t="b">
        <f t="shared" ca="1" si="135"/>
        <v>1</v>
      </c>
      <c r="AH51" s="131" t="b">
        <f t="shared" ca="1" si="136"/>
        <v>1</v>
      </c>
      <c r="AI51" s="132"/>
    </row>
    <row r="52" spans="2:35" ht="18.75" x14ac:dyDescent="0.4">
      <c r="B52" s="420"/>
      <c r="C52" s="421"/>
      <c r="D52" s="421"/>
      <c r="E52" s="421"/>
      <c r="F52" s="422" t="str">
        <f t="shared" ca="1" si="127"/>
        <v/>
      </c>
      <c r="G52" s="422"/>
      <c r="H52" s="42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423"/>
      <c r="J52" s="410" t="str">
        <f ca="1">IFERROR(VLOOKUP($B52,INDIRECT(CONCATENATE("'",成績管理表!$D$9,$L$39,"'!",$P$39)),$J$40,FALSE)&amp;"","")</f>
        <v/>
      </c>
      <c r="K52" s="410"/>
      <c r="L52" s="410" t="str">
        <f ca="1">IFERROR(VLOOKUP($B52,INDIRECT(CONCATENATE("'",成績管理表!$D$9,$L$39,"'!",$P$39)),$L$40,FALSE)&amp;"","")</f>
        <v/>
      </c>
      <c r="M52" s="410"/>
      <c r="N52" s="292" t="str">
        <f ca="1">IFERROR(VLOOKUP($B52,INDIRECT(CONCATENATE("'",成績管理表!$D$9,$L$39,"'!",$P$39)),$N$40,FALSE)&amp;"","")</f>
        <v/>
      </c>
      <c r="O52" s="292" t="str">
        <f ca="1">IFERROR(VLOOKUP($B52,INDIRECT(CONCATENATE("'",成績管理表!$D$9,$L$39,"'!",$P$39)),$O$40,FALSE)&amp;"","")</f>
        <v/>
      </c>
      <c r="P52" s="292" t="str">
        <f ca="1">IFERROR(VLOOKUP($B52,INDIRECT(CONCATENATE("'",成績管理表!$D$9,$L$39,"'!",$P$39)),$P$40,FALSE)&amp;"","")</f>
        <v/>
      </c>
      <c r="Q52" s="410" t="str">
        <f ca="1">IFERROR(VLOOKUP($B52,INDIRECT(CONCATENATE("'",成績管理表!$D$9,$L$39,"'!",$P$39)),$Q$40,FALSE)&amp;"","")</f>
        <v/>
      </c>
      <c r="R52" s="410"/>
      <c r="S52" s="129" t="str">
        <f ca="1">IFERROR(VLOOKUP($B52,INDIRECT(CONCATENATE("'",成績管理表!$D$9,$L$39,"'!",$P$39)),$S$40,FALSE),"")</f>
        <v/>
      </c>
      <c r="T52" s="110"/>
      <c r="U52" s="190" t="str">
        <f t="shared" si="128"/>
        <v/>
      </c>
      <c r="V52" s="130" t="str">
        <f ca="1">IFERROR(VLOOKUP($B52,INDIRECT(CONCATENATE("'",成績管理表!$D$9,$L$39,"'!",$P$39)),$V$40,FALSE)&amp;"","")</f>
        <v/>
      </c>
      <c r="W52" s="292" t="str">
        <f t="shared" ca="1" si="129"/>
        <v/>
      </c>
      <c r="X52" s="292" t="str">
        <f t="shared" ca="1" si="130"/>
        <v/>
      </c>
      <c r="Y52" s="292" t="str">
        <f t="shared" ca="1" si="131"/>
        <v/>
      </c>
      <c r="Z52" s="410" t="str">
        <f t="shared" ca="1" si="132"/>
        <v/>
      </c>
      <c r="AA52" s="410"/>
      <c r="AB52" s="411" t="str">
        <f t="shared" ca="1" si="133"/>
        <v/>
      </c>
      <c r="AC52" s="411"/>
      <c r="AD52" s="412"/>
      <c r="AE52" s="273" t="str">
        <f t="shared" ca="1" si="134"/>
        <v/>
      </c>
      <c r="AF52" s="29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93" t="b">
        <f t="shared" ca="1" si="135"/>
        <v>1</v>
      </c>
      <c r="AH52" s="131" t="b">
        <f t="shared" ca="1" si="136"/>
        <v>1</v>
      </c>
      <c r="AI52" s="132"/>
    </row>
    <row r="53" spans="2:35" ht="18.75" x14ac:dyDescent="0.4">
      <c r="B53" s="420"/>
      <c r="C53" s="421"/>
      <c r="D53" s="421"/>
      <c r="E53" s="421"/>
      <c r="F53" s="422" t="str">
        <f t="shared" ca="1" si="127"/>
        <v/>
      </c>
      <c r="G53" s="422"/>
      <c r="H53" s="42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423"/>
      <c r="J53" s="410" t="str">
        <f ca="1">IFERROR(VLOOKUP($B53,INDIRECT(CONCATENATE("'",成績管理表!$D$9,$L$39,"'!",$P$39)),$J$40,FALSE)&amp;"","")</f>
        <v/>
      </c>
      <c r="K53" s="410"/>
      <c r="L53" s="410" t="str">
        <f ca="1">IFERROR(VLOOKUP($B53,INDIRECT(CONCATENATE("'",成績管理表!$D$9,$L$39,"'!",$P$39)),$L$40,FALSE)&amp;"","")</f>
        <v/>
      </c>
      <c r="M53" s="410"/>
      <c r="N53" s="292" t="str">
        <f ca="1">IFERROR(VLOOKUP($B53,INDIRECT(CONCATENATE("'",成績管理表!$D$9,$L$39,"'!",$P$39)),$N$40,FALSE)&amp;"","")</f>
        <v/>
      </c>
      <c r="O53" s="292" t="str">
        <f ca="1">IFERROR(VLOOKUP($B53,INDIRECT(CONCATENATE("'",成績管理表!$D$9,$L$39,"'!",$P$39)),$O$40,FALSE)&amp;"","")</f>
        <v/>
      </c>
      <c r="P53" s="292" t="str">
        <f ca="1">IFERROR(VLOOKUP($B53,INDIRECT(CONCATENATE("'",成績管理表!$D$9,$L$39,"'!",$P$39)),$P$40,FALSE)&amp;"","")</f>
        <v/>
      </c>
      <c r="Q53" s="410" t="str">
        <f ca="1">IFERROR(VLOOKUP($B53,INDIRECT(CONCATENATE("'",成績管理表!$D$9,$L$39,"'!",$P$39)),$Q$40,FALSE)&amp;"","")</f>
        <v/>
      </c>
      <c r="R53" s="410"/>
      <c r="S53" s="129" t="str">
        <f ca="1">IFERROR(VLOOKUP($B53,INDIRECT(CONCATENATE("'",成績管理表!$D$9,$L$39,"'!",$P$39)),$S$40,FALSE),"")</f>
        <v/>
      </c>
      <c r="T53" s="110"/>
      <c r="U53" s="190" t="str">
        <f t="shared" si="128"/>
        <v/>
      </c>
      <c r="V53" s="130" t="str">
        <f ca="1">IFERROR(VLOOKUP($B53,INDIRECT(CONCATENATE("'",成績管理表!$D$9,$L$39,"'!",$P$39)),$V$40,FALSE)&amp;"","")</f>
        <v/>
      </c>
      <c r="W53" s="292" t="str">
        <f t="shared" ca="1" si="129"/>
        <v/>
      </c>
      <c r="X53" s="292" t="str">
        <f t="shared" ca="1" si="130"/>
        <v/>
      </c>
      <c r="Y53" s="292" t="str">
        <f t="shared" ca="1" si="131"/>
        <v/>
      </c>
      <c r="Z53" s="410" t="str">
        <f t="shared" ca="1" si="132"/>
        <v/>
      </c>
      <c r="AA53" s="410"/>
      <c r="AB53" s="411" t="str">
        <f t="shared" ca="1" si="133"/>
        <v/>
      </c>
      <c r="AC53" s="411"/>
      <c r="AD53" s="412"/>
      <c r="AE53" s="273" t="str">
        <f t="shared" ca="1" si="134"/>
        <v/>
      </c>
      <c r="AF53" s="29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93" t="b">
        <f t="shared" ca="1" si="135"/>
        <v>1</v>
      </c>
      <c r="AH53" s="131" t="b">
        <f t="shared" ca="1" si="136"/>
        <v>1</v>
      </c>
      <c r="AI53" s="132"/>
    </row>
    <row r="54" spans="2:35" ht="18.75" x14ac:dyDescent="0.4">
      <c r="B54" s="420"/>
      <c r="C54" s="421"/>
      <c r="D54" s="421"/>
      <c r="E54" s="421"/>
      <c r="F54" s="422" t="str">
        <f t="shared" ca="1" si="127"/>
        <v/>
      </c>
      <c r="G54" s="422"/>
      <c r="H54" s="42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423"/>
      <c r="J54" s="410" t="str">
        <f ca="1">IFERROR(VLOOKUP($B54,INDIRECT(CONCATENATE("'",成績管理表!$D$9,$L$39,"'!",$P$39)),$J$40,FALSE)&amp;"","")</f>
        <v/>
      </c>
      <c r="K54" s="410"/>
      <c r="L54" s="410" t="str">
        <f ca="1">IFERROR(VLOOKUP($B54,INDIRECT(CONCATENATE("'",成績管理表!$D$9,$L$39,"'!",$P$39)),$L$40,FALSE)&amp;"","")</f>
        <v/>
      </c>
      <c r="M54" s="410"/>
      <c r="N54" s="292" t="str">
        <f ca="1">IFERROR(VLOOKUP($B54,INDIRECT(CONCATENATE("'",成績管理表!$D$9,$L$39,"'!",$P$39)),$N$40,FALSE)&amp;"","")</f>
        <v/>
      </c>
      <c r="O54" s="292" t="str">
        <f ca="1">IFERROR(VLOOKUP($B54,INDIRECT(CONCATENATE("'",成績管理表!$D$9,$L$39,"'!",$P$39)),$O$40,FALSE)&amp;"","")</f>
        <v/>
      </c>
      <c r="P54" s="292" t="str">
        <f ca="1">IFERROR(VLOOKUP($B54,INDIRECT(CONCATENATE("'",成績管理表!$D$9,$L$39,"'!",$P$39)),$P$40,FALSE)&amp;"","")</f>
        <v/>
      </c>
      <c r="Q54" s="410" t="str">
        <f ca="1">IFERROR(VLOOKUP($B54,INDIRECT(CONCATENATE("'",成績管理表!$D$9,$L$39,"'!",$P$39)),$Q$40,FALSE)&amp;"","")</f>
        <v/>
      </c>
      <c r="R54" s="410"/>
      <c r="S54" s="129" t="str">
        <f ca="1">IFERROR(VLOOKUP($B54,INDIRECT(CONCATENATE("'",成績管理表!$D$9,$L$39,"'!",$P$39)),$S$40,FALSE),"")</f>
        <v/>
      </c>
      <c r="T54" s="110"/>
      <c r="U54" s="190" t="str">
        <f t="shared" si="128"/>
        <v/>
      </c>
      <c r="V54" s="130" t="str">
        <f ca="1">IFERROR(VLOOKUP($B54,INDIRECT(CONCATENATE("'",成績管理表!$D$9,$L$39,"'!",$P$39)),$V$40,FALSE)&amp;"","")</f>
        <v/>
      </c>
      <c r="W54" s="292" t="str">
        <f t="shared" ca="1" si="129"/>
        <v/>
      </c>
      <c r="X54" s="292" t="str">
        <f t="shared" ca="1" si="130"/>
        <v/>
      </c>
      <c r="Y54" s="292" t="str">
        <f t="shared" ca="1" si="131"/>
        <v/>
      </c>
      <c r="Z54" s="410" t="str">
        <f t="shared" ca="1" si="132"/>
        <v/>
      </c>
      <c r="AA54" s="410"/>
      <c r="AB54" s="411" t="str">
        <f t="shared" ca="1" si="133"/>
        <v/>
      </c>
      <c r="AC54" s="411"/>
      <c r="AD54" s="412"/>
      <c r="AE54" s="273" t="str">
        <f t="shared" ca="1" si="134"/>
        <v/>
      </c>
      <c r="AF54" s="29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93" t="b">
        <f t="shared" ca="1" si="135"/>
        <v>1</v>
      </c>
      <c r="AH54" s="131" t="b">
        <f t="shared" ca="1" si="136"/>
        <v>1</v>
      </c>
      <c r="AI54" s="132"/>
    </row>
    <row r="55" spans="2:35" ht="18.75" x14ac:dyDescent="0.4">
      <c r="B55" s="426"/>
      <c r="C55" s="427"/>
      <c r="D55" s="427"/>
      <c r="E55" s="428"/>
      <c r="F55" s="422" t="str">
        <f t="shared" ca="1" si="127"/>
        <v/>
      </c>
      <c r="G55" s="422"/>
      <c r="H55" s="42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423"/>
      <c r="J55" s="410" t="str">
        <f ca="1">IFERROR(VLOOKUP($B55,INDIRECT(CONCATENATE("'",成績管理表!$D$9,$L$39,"'!",$P$39)),$J$40,FALSE)&amp;"","")</f>
        <v/>
      </c>
      <c r="K55" s="410"/>
      <c r="L55" s="410" t="str">
        <f ca="1">IFERROR(VLOOKUP($B55,INDIRECT(CONCATENATE("'",成績管理表!$D$9,$L$39,"'!",$P$39)),$L$40,FALSE)&amp;"","")</f>
        <v/>
      </c>
      <c r="M55" s="410"/>
      <c r="N55" s="292" t="str">
        <f ca="1">IFERROR(VLOOKUP($B55,INDIRECT(CONCATENATE("'",成績管理表!$D$9,$L$39,"'!",$P$39)),$N$40,FALSE)&amp;"","")</f>
        <v/>
      </c>
      <c r="O55" s="292" t="str">
        <f ca="1">IFERROR(VLOOKUP($B55,INDIRECT(CONCATENATE("'",成績管理表!$D$9,$L$39,"'!",$P$39)),$O$40,FALSE)&amp;"","")</f>
        <v/>
      </c>
      <c r="P55" s="292" t="str">
        <f ca="1">IFERROR(VLOOKUP($B55,INDIRECT(CONCATENATE("'",成績管理表!$D$9,$L$39,"'!",$P$39)),$P$40,FALSE)&amp;"","")</f>
        <v/>
      </c>
      <c r="Q55" s="410" t="str">
        <f ca="1">IFERROR(VLOOKUP($B55,INDIRECT(CONCATENATE("'",成績管理表!$D$9,$L$39,"'!",$P$39)),$Q$40,FALSE)&amp;"","")</f>
        <v/>
      </c>
      <c r="R55" s="410"/>
      <c r="S55" s="129" t="str">
        <f ca="1">IFERROR(VLOOKUP($B55,INDIRECT(CONCATENATE("'",成績管理表!$D$9,$L$39,"'!",$P$39)),$S$40,FALSE),"")</f>
        <v/>
      </c>
      <c r="T55" s="110"/>
      <c r="U55" s="190" t="str">
        <f t="shared" si="128"/>
        <v/>
      </c>
      <c r="V55" s="130" t="str">
        <f ca="1">IFERROR(VLOOKUP($B55,INDIRECT(CONCATENATE("'",成績管理表!$D$9,$L$39,"'!",$P$39)),$V$40,FALSE)&amp;"","")</f>
        <v/>
      </c>
      <c r="W55" s="292" t="str">
        <f t="shared" ca="1" si="129"/>
        <v/>
      </c>
      <c r="X55" s="292" t="str">
        <f t="shared" ca="1" si="130"/>
        <v/>
      </c>
      <c r="Y55" s="292" t="str">
        <f t="shared" ca="1" si="131"/>
        <v/>
      </c>
      <c r="Z55" s="410" t="str">
        <f t="shared" ca="1" si="132"/>
        <v/>
      </c>
      <c r="AA55" s="410"/>
      <c r="AB55" s="411" t="str">
        <f t="shared" ca="1" si="133"/>
        <v/>
      </c>
      <c r="AC55" s="411"/>
      <c r="AD55" s="412"/>
      <c r="AE55" s="273" t="str">
        <f t="shared" ca="1" si="134"/>
        <v/>
      </c>
      <c r="AF55" s="29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93" t="b">
        <f t="shared" ca="1" si="135"/>
        <v>1</v>
      </c>
      <c r="AH55" s="131" t="b">
        <f t="shared" ca="1" si="136"/>
        <v>1</v>
      </c>
      <c r="AI55" s="132"/>
    </row>
    <row r="56" spans="2:35" ht="18.75" x14ac:dyDescent="0.4">
      <c r="B56" s="426"/>
      <c r="C56" s="427"/>
      <c r="D56" s="427"/>
      <c r="E56" s="428"/>
      <c r="F56" s="422" t="str">
        <f t="shared" ca="1" si="127"/>
        <v/>
      </c>
      <c r="G56" s="422"/>
      <c r="H56" s="42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423"/>
      <c r="J56" s="410" t="str">
        <f ca="1">IFERROR(VLOOKUP($B56,INDIRECT(CONCATENATE("'",成績管理表!$D$9,$L$39,"'!",$P$39)),$J$40,FALSE)&amp;"","")</f>
        <v/>
      </c>
      <c r="K56" s="410"/>
      <c r="L56" s="410" t="str">
        <f ca="1">IFERROR(VLOOKUP($B56,INDIRECT(CONCATENATE("'",成績管理表!$D$9,$L$39,"'!",$P$39)),$L$40,FALSE)&amp;"","")</f>
        <v/>
      </c>
      <c r="M56" s="410"/>
      <c r="N56" s="292" t="str">
        <f ca="1">IFERROR(VLOOKUP($B56,INDIRECT(CONCATENATE("'",成績管理表!$D$9,$L$39,"'!",$P$39)),$N$40,FALSE)&amp;"","")</f>
        <v/>
      </c>
      <c r="O56" s="292" t="str">
        <f ca="1">IFERROR(VLOOKUP($B56,INDIRECT(CONCATENATE("'",成績管理表!$D$9,$L$39,"'!",$P$39)),$O$40,FALSE)&amp;"","")</f>
        <v/>
      </c>
      <c r="P56" s="292" t="str">
        <f ca="1">IFERROR(VLOOKUP($B56,INDIRECT(CONCATENATE("'",成績管理表!$D$9,$L$39,"'!",$P$39)),$P$40,FALSE)&amp;"","")</f>
        <v/>
      </c>
      <c r="Q56" s="410" t="str">
        <f ca="1">IFERROR(VLOOKUP($B56,INDIRECT(CONCATENATE("'",成績管理表!$D$9,$L$39,"'!",$P$39)),$Q$40,FALSE)&amp;"","")</f>
        <v/>
      </c>
      <c r="R56" s="410"/>
      <c r="S56" s="129" t="str">
        <f ca="1">IFERROR(VLOOKUP($B56,INDIRECT(CONCATENATE("'",成績管理表!$D$9,$L$39,"'!",$P$39)),$S$40,FALSE),"")</f>
        <v/>
      </c>
      <c r="T56" s="110"/>
      <c r="U56" s="190" t="str">
        <f t="shared" si="128"/>
        <v/>
      </c>
      <c r="V56" s="130" t="str">
        <f ca="1">IFERROR(VLOOKUP($B56,INDIRECT(CONCATENATE("'",成績管理表!$D$9,$L$39,"'!",$P$39)),$V$40,FALSE)&amp;"","")</f>
        <v/>
      </c>
      <c r="W56" s="292" t="str">
        <f t="shared" ca="1" si="129"/>
        <v/>
      </c>
      <c r="X56" s="292" t="str">
        <f t="shared" ca="1" si="130"/>
        <v/>
      </c>
      <c r="Y56" s="292" t="str">
        <f t="shared" ca="1" si="131"/>
        <v/>
      </c>
      <c r="Z56" s="410" t="str">
        <f t="shared" ca="1" si="132"/>
        <v/>
      </c>
      <c r="AA56" s="410"/>
      <c r="AB56" s="411" t="str">
        <f t="shared" ca="1" si="133"/>
        <v/>
      </c>
      <c r="AC56" s="411"/>
      <c r="AD56" s="412"/>
      <c r="AE56" s="273" t="str">
        <f t="shared" ca="1" si="134"/>
        <v/>
      </c>
      <c r="AF56" s="29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93" t="b">
        <f t="shared" ca="1" si="135"/>
        <v>1</v>
      </c>
      <c r="AH56" s="131" t="b">
        <f t="shared" ca="1" si="136"/>
        <v>1</v>
      </c>
      <c r="AI56" s="132"/>
    </row>
    <row r="57" spans="2:35" ht="18.75" x14ac:dyDescent="0.4">
      <c r="B57" s="426"/>
      <c r="C57" s="427"/>
      <c r="D57" s="427"/>
      <c r="E57" s="428"/>
      <c r="F57" s="422" t="str">
        <f t="shared" ca="1" si="127"/>
        <v/>
      </c>
      <c r="G57" s="422"/>
      <c r="H57" s="42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423"/>
      <c r="J57" s="410" t="str">
        <f ca="1">IFERROR(VLOOKUP($B57,INDIRECT(CONCATENATE("'",成績管理表!$D$9,$L$39,"'!",$P$39)),$J$40,FALSE)&amp;"","")</f>
        <v/>
      </c>
      <c r="K57" s="410"/>
      <c r="L57" s="410" t="str">
        <f ca="1">IFERROR(VLOOKUP($B57,INDIRECT(CONCATENATE("'",成績管理表!$D$9,$L$39,"'!",$P$39)),$L$40,FALSE)&amp;"","")</f>
        <v/>
      </c>
      <c r="M57" s="410"/>
      <c r="N57" s="292" t="str">
        <f ca="1">IFERROR(VLOOKUP($B57,INDIRECT(CONCATENATE("'",成績管理表!$D$9,$L$39,"'!",$P$39)),$N$40,FALSE)&amp;"","")</f>
        <v/>
      </c>
      <c r="O57" s="292" t="str">
        <f ca="1">IFERROR(VLOOKUP($B57,INDIRECT(CONCATENATE("'",成績管理表!$D$9,$L$39,"'!",$P$39)),$O$40,FALSE)&amp;"","")</f>
        <v/>
      </c>
      <c r="P57" s="292" t="str">
        <f ca="1">IFERROR(VLOOKUP($B57,INDIRECT(CONCATENATE("'",成績管理表!$D$9,$L$39,"'!",$P$39)),$P$40,FALSE)&amp;"","")</f>
        <v/>
      </c>
      <c r="Q57" s="410" t="str">
        <f ca="1">IFERROR(VLOOKUP($B57,INDIRECT(CONCATENATE("'",成績管理表!$D$9,$L$39,"'!",$P$39)),$Q$40,FALSE)&amp;"","")</f>
        <v/>
      </c>
      <c r="R57" s="410"/>
      <c r="S57" s="129" t="str">
        <f ca="1">IFERROR(VLOOKUP($B57,INDIRECT(CONCATENATE("'",成績管理表!$D$9,$L$39,"'!",$P$39)),$S$40,FALSE),"")</f>
        <v/>
      </c>
      <c r="T57" s="110"/>
      <c r="U57" s="190" t="str">
        <f t="shared" si="128"/>
        <v/>
      </c>
      <c r="V57" s="130" t="str">
        <f ca="1">IFERROR(VLOOKUP($B57,INDIRECT(CONCATENATE("'",成績管理表!$D$9,$L$39,"'!",$P$39)),$V$40,FALSE)&amp;"","")</f>
        <v/>
      </c>
      <c r="W57" s="292" t="str">
        <f t="shared" ca="1" si="129"/>
        <v/>
      </c>
      <c r="X57" s="292" t="str">
        <f t="shared" ca="1" si="130"/>
        <v/>
      </c>
      <c r="Y57" s="292" t="str">
        <f t="shared" ca="1" si="131"/>
        <v/>
      </c>
      <c r="Z57" s="410" t="str">
        <f t="shared" ca="1" si="132"/>
        <v/>
      </c>
      <c r="AA57" s="410"/>
      <c r="AB57" s="411" t="str">
        <f t="shared" ca="1" si="133"/>
        <v/>
      </c>
      <c r="AC57" s="411"/>
      <c r="AD57" s="412"/>
      <c r="AE57" s="273" t="str">
        <f t="shared" ca="1" si="134"/>
        <v/>
      </c>
      <c r="AF57" s="29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93" t="b">
        <f t="shared" ca="1" si="135"/>
        <v>1</v>
      </c>
      <c r="AH57" s="131" t="b">
        <f t="shared" ca="1" si="136"/>
        <v>1</v>
      </c>
      <c r="AI57" s="132"/>
    </row>
    <row r="58" spans="2:35" ht="18.75" x14ac:dyDescent="0.4">
      <c r="B58" s="420"/>
      <c r="C58" s="421"/>
      <c r="D58" s="421"/>
      <c r="E58" s="421"/>
      <c r="F58" s="422" t="str">
        <f t="shared" ca="1" si="127"/>
        <v/>
      </c>
      <c r="G58" s="422"/>
      <c r="H58" s="42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423"/>
      <c r="J58" s="410" t="str">
        <f ca="1">IFERROR(VLOOKUP($B58,INDIRECT(CONCATENATE("'",成績管理表!$D$9,$L$39,"'!",$P$39)),$J$40,FALSE)&amp;"","")</f>
        <v/>
      </c>
      <c r="K58" s="410"/>
      <c r="L58" s="410" t="str">
        <f ca="1">IFERROR(VLOOKUP($B58,INDIRECT(CONCATENATE("'",成績管理表!$D$9,$L$39,"'!",$P$39)),$L$40,FALSE)&amp;"","")</f>
        <v/>
      </c>
      <c r="M58" s="410"/>
      <c r="N58" s="292" t="str">
        <f ca="1">IFERROR(VLOOKUP($B58,INDIRECT(CONCATENATE("'",成績管理表!$D$9,$L$39,"'!",$P$39)),$N$40,FALSE)&amp;"","")</f>
        <v/>
      </c>
      <c r="O58" s="292" t="str">
        <f ca="1">IFERROR(VLOOKUP($B58,INDIRECT(CONCATENATE("'",成績管理表!$D$9,$L$39,"'!",$P$39)),$O$40,FALSE)&amp;"","")</f>
        <v/>
      </c>
      <c r="P58" s="292" t="str">
        <f ca="1">IFERROR(VLOOKUP($B58,INDIRECT(CONCATENATE("'",成績管理表!$D$9,$L$39,"'!",$P$39)),$P$40,FALSE)&amp;"","")</f>
        <v/>
      </c>
      <c r="Q58" s="410" t="str">
        <f ca="1">IFERROR(VLOOKUP($B58,INDIRECT(CONCATENATE("'",成績管理表!$D$9,$L$39,"'!",$P$39)),$Q$40,FALSE)&amp;"","")</f>
        <v/>
      </c>
      <c r="R58" s="410"/>
      <c r="S58" s="129" t="str">
        <f ca="1">IFERROR(VLOOKUP($B58,INDIRECT(CONCATENATE("'",成績管理表!$D$9,$L$39,"'!",$P$39)),$S$40,FALSE),"")</f>
        <v/>
      </c>
      <c r="T58" s="110"/>
      <c r="U58" s="190" t="str">
        <f t="shared" si="128"/>
        <v/>
      </c>
      <c r="V58" s="130" t="str">
        <f ca="1">IFERROR(VLOOKUP($B58,INDIRECT(CONCATENATE("'",成績管理表!$D$9,$L$39,"'!",$P$39)),$V$40,FALSE)&amp;"","")</f>
        <v/>
      </c>
      <c r="W58" s="292" t="str">
        <f t="shared" ca="1" si="129"/>
        <v/>
      </c>
      <c r="X58" s="292" t="str">
        <f t="shared" ca="1" si="130"/>
        <v/>
      </c>
      <c r="Y58" s="292" t="str">
        <f t="shared" ca="1" si="131"/>
        <v/>
      </c>
      <c r="Z58" s="410" t="str">
        <f t="shared" ca="1" si="132"/>
        <v/>
      </c>
      <c r="AA58" s="410"/>
      <c r="AB58" s="411" t="str">
        <f t="shared" ca="1" si="133"/>
        <v/>
      </c>
      <c r="AC58" s="411"/>
      <c r="AD58" s="412"/>
      <c r="AE58" s="273" t="str">
        <f t="shared" ca="1" si="134"/>
        <v/>
      </c>
      <c r="AF58" s="29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93" t="b">
        <f t="shared" ca="1" si="135"/>
        <v>1</v>
      </c>
      <c r="AH58" s="131" t="b">
        <f t="shared" ca="1" si="136"/>
        <v>1</v>
      </c>
      <c r="AI58" s="132"/>
    </row>
    <row r="59" spans="2:35" ht="18.75" x14ac:dyDescent="0.4">
      <c r="B59" s="426"/>
      <c r="C59" s="427"/>
      <c r="D59" s="427"/>
      <c r="E59" s="428"/>
      <c r="F59" s="422" t="str">
        <f t="shared" ca="1" si="127"/>
        <v/>
      </c>
      <c r="G59" s="422"/>
      <c r="H59" s="42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423"/>
      <c r="J59" s="410" t="str">
        <f ca="1">IFERROR(VLOOKUP($B59,INDIRECT(CONCATENATE("'",成績管理表!$D$9,$L$39,"'!",$P$39)),$J$40,FALSE)&amp;"","")</f>
        <v/>
      </c>
      <c r="K59" s="410"/>
      <c r="L59" s="410" t="str">
        <f ca="1">IFERROR(VLOOKUP($B59,INDIRECT(CONCATENATE("'",成績管理表!$D$9,$L$39,"'!",$P$39)),$L$40,FALSE)&amp;"","")</f>
        <v/>
      </c>
      <c r="M59" s="410"/>
      <c r="N59" s="292" t="str">
        <f ca="1">IFERROR(VLOOKUP($B59,INDIRECT(CONCATENATE("'",成績管理表!$D$9,$L$39,"'!",$P$39)),$N$40,FALSE)&amp;"","")</f>
        <v/>
      </c>
      <c r="O59" s="292" t="str">
        <f ca="1">IFERROR(VLOOKUP($B59,INDIRECT(CONCATENATE("'",成績管理表!$D$9,$L$39,"'!",$P$39)),$O$40,FALSE)&amp;"","")</f>
        <v/>
      </c>
      <c r="P59" s="292" t="str">
        <f ca="1">IFERROR(VLOOKUP($B59,INDIRECT(CONCATENATE("'",成績管理表!$D$9,$L$39,"'!",$P$39)),$P$40,FALSE)&amp;"","")</f>
        <v/>
      </c>
      <c r="Q59" s="410" t="str">
        <f ca="1">IFERROR(VLOOKUP($B59,INDIRECT(CONCATENATE("'",成績管理表!$D$9,$L$39,"'!",$P$39)),$Q$40,FALSE)&amp;"","")</f>
        <v/>
      </c>
      <c r="R59" s="410"/>
      <c r="S59" s="129" t="str">
        <f ca="1">IFERROR(VLOOKUP($B59,INDIRECT(CONCATENATE("'",成績管理表!$D$9,$L$39,"'!",$P$39)),$S$40,FALSE),"")</f>
        <v/>
      </c>
      <c r="T59" s="110"/>
      <c r="U59" s="190" t="str">
        <f t="shared" si="128"/>
        <v/>
      </c>
      <c r="V59" s="130" t="str">
        <f ca="1">IFERROR(VLOOKUP($B59,INDIRECT(CONCATENATE("'",成績管理表!$D$9,$L$39,"'!",$P$39)),$V$40,FALSE)&amp;"","")</f>
        <v/>
      </c>
      <c r="W59" s="292" t="str">
        <f t="shared" ca="1" si="129"/>
        <v/>
      </c>
      <c r="X59" s="292" t="str">
        <f t="shared" ca="1" si="130"/>
        <v/>
      </c>
      <c r="Y59" s="292" t="str">
        <f t="shared" ca="1" si="131"/>
        <v/>
      </c>
      <c r="Z59" s="410" t="str">
        <f t="shared" ca="1" si="132"/>
        <v/>
      </c>
      <c r="AA59" s="410"/>
      <c r="AB59" s="411" t="str">
        <f t="shared" ca="1" si="133"/>
        <v/>
      </c>
      <c r="AC59" s="411"/>
      <c r="AD59" s="412"/>
      <c r="AE59" s="273" t="str">
        <f t="shared" ca="1" si="134"/>
        <v/>
      </c>
      <c r="AF59" s="29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93" t="b">
        <f t="shared" ca="1" si="135"/>
        <v>1</v>
      </c>
      <c r="AH59" s="131" t="b">
        <f t="shared" ca="1" si="136"/>
        <v>1</v>
      </c>
    </row>
    <row r="60" spans="2:35" ht="18.75" x14ac:dyDescent="0.4">
      <c r="B60" s="424"/>
      <c r="C60" s="425"/>
      <c r="D60" s="425"/>
      <c r="E60" s="425"/>
      <c r="F60" s="422" t="str">
        <f t="shared" ca="1" si="127"/>
        <v/>
      </c>
      <c r="G60" s="422"/>
      <c r="H60" s="42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423"/>
      <c r="J60" s="410" t="str">
        <f ca="1">IFERROR(VLOOKUP($B60,INDIRECT(CONCATENATE("'",成績管理表!$D$9,$L$39,"'!",$P$39)),$J$40,FALSE)&amp;"","")</f>
        <v/>
      </c>
      <c r="K60" s="410"/>
      <c r="L60" s="410" t="str">
        <f ca="1">IFERROR(VLOOKUP($B60,INDIRECT(CONCATENATE("'",成績管理表!$D$9,$L$39,"'!",$P$39)),$L$40,FALSE)&amp;"","")</f>
        <v/>
      </c>
      <c r="M60" s="410"/>
      <c r="N60" s="292" t="str">
        <f ca="1">IFERROR(VLOOKUP($B60,INDIRECT(CONCATENATE("'",成績管理表!$D$9,$L$39,"'!",$P$39)),$N$40,FALSE)&amp;"","")</f>
        <v/>
      </c>
      <c r="O60" s="292" t="str">
        <f ca="1">IFERROR(VLOOKUP($B60,INDIRECT(CONCATENATE("'",成績管理表!$D$9,$L$39,"'!",$P$39)),$O$40,FALSE)&amp;"","")</f>
        <v/>
      </c>
      <c r="P60" s="292" t="str">
        <f ca="1">IFERROR(VLOOKUP($B60,INDIRECT(CONCATENATE("'",成績管理表!$D$9,$L$39,"'!",$P$39)),$P$40,FALSE)&amp;"","")</f>
        <v/>
      </c>
      <c r="Q60" s="410" t="str">
        <f ca="1">IFERROR(VLOOKUP($B60,INDIRECT(CONCATENATE("'",成績管理表!$D$9,$L$39,"'!",$P$39)),$Q$40,FALSE)&amp;"","")</f>
        <v/>
      </c>
      <c r="R60" s="410"/>
      <c r="S60" s="129" t="str">
        <f ca="1">IFERROR(VLOOKUP($B60,INDIRECT(CONCATENATE("'",成績管理表!$D$9,$L$39,"'!",$P$39)),$S$40,FALSE),"")</f>
        <v/>
      </c>
      <c r="T60" s="110"/>
      <c r="U60" s="190" t="str">
        <f t="shared" si="128"/>
        <v/>
      </c>
      <c r="V60" s="130" t="str">
        <f ca="1">IFERROR(VLOOKUP($B60,INDIRECT(CONCATENATE("'",成績管理表!$D$9,$L$39,"'!",$P$39)),$V$40,FALSE)&amp;"","")</f>
        <v/>
      </c>
      <c r="W60" s="292" t="str">
        <f t="shared" ca="1" si="129"/>
        <v/>
      </c>
      <c r="X60" s="292" t="str">
        <f t="shared" ca="1" si="130"/>
        <v/>
      </c>
      <c r="Y60" s="292" t="str">
        <f t="shared" ca="1" si="131"/>
        <v/>
      </c>
      <c r="Z60" s="410" t="str">
        <f t="shared" ca="1" si="132"/>
        <v/>
      </c>
      <c r="AA60" s="410"/>
      <c r="AB60" s="411" t="str">
        <f t="shared" ca="1" si="133"/>
        <v/>
      </c>
      <c r="AC60" s="411"/>
      <c r="AD60" s="412"/>
      <c r="AE60" s="273" t="str">
        <f t="shared" ca="1" si="134"/>
        <v/>
      </c>
      <c r="AF60" s="29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93" t="b">
        <f t="shared" ca="1" si="135"/>
        <v>1</v>
      </c>
      <c r="AH60" s="131" t="b">
        <f t="shared" ca="1" si="136"/>
        <v>1</v>
      </c>
    </row>
    <row r="61" spans="2:35" ht="18.75" x14ac:dyDescent="0.4">
      <c r="B61" s="424"/>
      <c r="C61" s="425"/>
      <c r="D61" s="425"/>
      <c r="E61" s="425"/>
      <c r="F61" s="422" t="str">
        <f t="shared" ca="1" si="127"/>
        <v/>
      </c>
      <c r="G61" s="422"/>
      <c r="H61" s="42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423"/>
      <c r="J61" s="410" t="str">
        <f ca="1">IFERROR(VLOOKUP($B61,INDIRECT(CONCATENATE("'",成績管理表!$D$9,$L$39,"'!",$P$39)),$J$40,FALSE)&amp;"","")</f>
        <v/>
      </c>
      <c r="K61" s="410"/>
      <c r="L61" s="410" t="str">
        <f ca="1">IFERROR(VLOOKUP($B61,INDIRECT(CONCATENATE("'",成績管理表!$D$9,$L$39,"'!",$P$39)),$L$40,FALSE)&amp;"","")</f>
        <v/>
      </c>
      <c r="M61" s="410"/>
      <c r="N61" s="292" t="str">
        <f ca="1">IFERROR(VLOOKUP($B61,INDIRECT(CONCATENATE("'",成績管理表!$D$9,$L$39,"'!",$P$39)),$N$40,FALSE)&amp;"","")</f>
        <v/>
      </c>
      <c r="O61" s="292" t="str">
        <f ca="1">IFERROR(VLOOKUP($B61,INDIRECT(CONCATENATE("'",成績管理表!$D$9,$L$39,"'!",$P$39)),$O$40,FALSE)&amp;"","")</f>
        <v/>
      </c>
      <c r="P61" s="292" t="str">
        <f ca="1">IFERROR(VLOOKUP($B61,INDIRECT(CONCATENATE("'",成績管理表!$D$9,$L$39,"'!",$P$39)),$P$40,FALSE)&amp;"","")</f>
        <v/>
      </c>
      <c r="Q61" s="410" t="str">
        <f ca="1">IFERROR(VLOOKUP($B61,INDIRECT(CONCATENATE("'",成績管理表!$D$9,$L$39,"'!",$P$39)),$Q$40,FALSE)&amp;"","")</f>
        <v/>
      </c>
      <c r="R61" s="410"/>
      <c r="S61" s="129" t="str">
        <f ca="1">IFERROR(VLOOKUP($B61,INDIRECT(CONCATENATE("'",成績管理表!$D$9,$L$39,"'!",$P$39)),$S$40,FALSE),"")</f>
        <v/>
      </c>
      <c r="T61" s="110"/>
      <c r="U61" s="190" t="str">
        <f t="shared" si="128"/>
        <v/>
      </c>
      <c r="V61" s="130" t="str">
        <f ca="1">IFERROR(VLOOKUP($B61,INDIRECT(CONCATENATE("'",成績管理表!$D$9,$L$39,"'!",$P$39)),$V$40,FALSE)&amp;"","")</f>
        <v/>
      </c>
      <c r="W61" s="292" t="str">
        <f t="shared" ca="1" si="129"/>
        <v/>
      </c>
      <c r="X61" s="292" t="str">
        <f t="shared" ca="1" si="130"/>
        <v/>
      </c>
      <c r="Y61" s="292" t="str">
        <f t="shared" ca="1" si="131"/>
        <v/>
      </c>
      <c r="Z61" s="410" t="str">
        <f t="shared" ca="1" si="132"/>
        <v/>
      </c>
      <c r="AA61" s="410"/>
      <c r="AB61" s="411" t="str">
        <f t="shared" ca="1" si="133"/>
        <v/>
      </c>
      <c r="AC61" s="411"/>
      <c r="AD61" s="412"/>
      <c r="AE61" s="273" t="str">
        <f t="shared" ca="1" si="134"/>
        <v/>
      </c>
      <c r="AF61" s="29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93" t="b">
        <f t="shared" ca="1" si="135"/>
        <v>1</v>
      </c>
      <c r="AH61" s="131" t="b">
        <f t="shared" ca="1" si="136"/>
        <v>1</v>
      </c>
      <c r="AI61" s="291" t="s">
        <v>1000</v>
      </c>
    </row>
    <row r="62" spans="2:35" ht="18.75" x14ac:dyDescent="0.4">
      <c r="B62" s="420"/>
      <c r="C62" s="421"/>
      <c r="D62" s="421"/>
      <c r="E62" s="421"/>
      <c r="F62" s="422" t="str">
        <f t="shared" ca="1" si="127"/>
        <v/>
      </c>
      <c r="G62" s="422"/>
      <c r="H62" s="42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423"/>
      <c r="J62" s="410" t="str">
        <f ca="1">IFERROR(VLOOKUP($B62,INDIRECT(CONCATENATE("'",成績管理表!$D$9,$L$39,"'!",$P$39)),$J$40,FALSE)&amp;"","")</f>
        <v/>
      </c>
      <c r="K62" s="410"/>
      <c r="L62" s="410" t="str">
        <f ca="1">IFERROR(VLOOKUP($B62,INDIRECT(CONCATENATE("'",成績管理表!$D$9,$L$39,"'!",$P$39)),$L$40,FALSE)&amp;"","")</f>
        <v/>
      </c>
      <c r="M62" s="410"/>
      <c r="N62" s="292" t="str">
        <f ca="1">IFERROR(VLOOKUP($B62,INDIRECT(CONCATENATE("'",成績管理表!$D$9,$L$39,"'!",$P$39)),$N$40,FALSE)&amp;"","")</f>
        <v/>
      </c>
      <c r="O62" s="292" t="str">
        <f ca="1">IFERROR(VLOOKUP($B62,INDIRECT(CONCATENATE("'",成績管理表!$D$9,$L$39,"'!",$P$39)),$O$40,FALSE)&amp;"","")</f>
        <v/>
      </c>
      <c r="P62" s="292" t="str">
        <f ca="1">IFERROR(VLOOKUP($B62,INDIRECT(CONCATENATE("'",成績管理表!$D$9,$L$39,"'!",$P$39)),$P$40,FALSE)&amp;"","")</f>
        <v/>
      </c>
      <c r="Q62" s="410" t="str">
        <f ca="1">IFERROR(VLOOKUP($B62,INDIRECT(CONCATENATE("'",成績管理表!$D$9,$L$39,"'!",$P$39)),$Q$40,FALSE)&amp;"","")</f>
        <v/>
      </c>
      <c r="R62" s="410"/>
      <c r="S62" s="129" t="str">
        <f ca="1">IFERROR(VLOOKUP($B62,INDIRECT(CONCATENATE("'",成績管理表!$D$9,$L$39,"'!",$P$39)),$S$40,FALSE),"")</f>
        <v/>
      </c>
      <c r="T62" s="110"/>
      <c r="U62" s="190" t="str">
        <f t="shared" si="128"/>
        <v/>
      </c>
      <c r="V62" s="130" t="str">
        <f ca="1">IFERROR(VLOOKUP($B62,INDIRECT(CONCATENATE("'",成績管理表!$D$9,$L$39,"'!",$P$39)),$V$40,FALSE)&amp;"","")</f>
        <v/>
      </c>
      <c r="W62" s="292" t="str">
        <f t="shared" ca="1" si="129"/>
        <v/>
      </c>
      <c r="X62" s="292" t="str">
        <f t="shared" ca="1" si="130"/>
        <v/>
      </c>
      <c r="Y62" s="292" t="str">
        <f t="shared" ca="1" si="131"/>
        <v/>
      </c>
      <c r="Z62" s="410" t="str">
        <f t="shared" ca="1" si="132"/>
        <v/>
      </c>
      <c r="AA62" s="410"/>
      <c r="AB62" s="411" t="str">
        <f t="shared" ca="1" si="133"/>
        <v/>
      </c>
      <c r="AC62" s="411"/>
      <c r="AD62" s="412"/>
      <c r="AE62" s="273" t="str">
        <f t="shared" ca="1" si="134"/>
        <v/>
      </c>
      <c r="AF62" s="29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93" t="b">
        <f t="shared" ca="1" si="135"/>
        <v>1</v>
      </c>
      <c r="AH62" s="131" t="b">
        <f t="shared" ca="1" si="136"/>
        <v>1</v>
      </c>
      <c r="AI62" s="291" t="s">
        <v>1000</v>
      </c>
    </row>
    <row r="63" spans="2:35" ht="18.75" x14ac:dyDescent="0.4">
      <c r="B63" s="420"/>
      <c r="C63" s="421"/>
      <c r="D63" s="421"/>
      <c r="E63" s="421"/>
      <c r="F63" s="422" t="str">
        <f t="shared" ca="1" si="127"/>
        <v/>
      </c>
      <c r="G63" s="422"/>
      <c r="H63" s="42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423"/>
      <c r="J63" s="410" t="str">
        <f ca="1">IFERROR(VLOOKUP($B63,INDIRECT(CONCATENATE("'",成績管理表!$D$9,$L$39,"'!",$P$39)),$J$40,FALSE)&amp;"","")</f>
        <v/>
      </c>
      <c r="K63" s="410"/>
      <c r="L63" s="410" t="str">
        <f ca="1">IFERROR(VLOOKUP($B63,INDIRECT(CONCATENATE("'",成績管理表!$D$9,$L$39,"'!",$P$39)),$L$40,FALSE)&amp;"","")</f>
        <v/>
      </c>
      <c r="M63" s="410"/>
      <c r="N63" s="292" t="str">
        <f ca="1">IFERROR(VLOOKUP($B63,INDIRECT(CONCATENATE("'",成績管理表!$D$9,$L$39,"'!",$P$39)),$N$40,FALSE)&amp;"","")</f>
        <v/>
      </c>
      <c r="O63" s="292" t="str">
        <f ca="1">IFERROR(VLOOKUP($B63,INDIRECT(CONCATENATE("'",成績管理表!$D$9,$L$39,"'!",$P$39)),$O$40,FALSE)&amp;"","")</f>
        <v/>
      </c>
      <c r="P63" s="292" t="str">
        <f ca="1">IFERROR(VLOOKUP($B63,INDIRECT(CONCATENATE("'",成績管理表!$D$9,$L$39,"'!",$P$39)),$P$40,FALSE)&amp;"","")</f>
        <v/>
      </c>
      <c r="Q63" s="410" t="str">
        <f ca="1">IFERROR(VLOOKUP($B63,INDIRECT(CONCATENATE("'",成績管理表!$D$9,$L$39,"'!",$P$39)),$Q$40,FALSE)&amp;"","")</f>
        <v/>
      </c>
      <c r="R63" s="410"/>
      <c r="S63" s="129" t="str">
        <f ca="1">IFERROR(VLOOKUP($B63,INDIRECT(CONCATENATE("'",成績管理表!$D$9,$L$39,"'!",$P$39)),$S$40,FALSE),"")</f>
        <v/>
      </c>
      <c r="T63" s="110"/>
      <c r="U63" s="190" t="str">
        <f t="shared" si="128"/>
        <v/>
      </c>
      <c r="V63" s="130" t="str">
        <f ca="1">IFERROR(VLOOKUP($B63,INDIRECT(CONCATENATE("'",成績管理表!$D$9,$L$39,"'!",$P$39)),$V$40,FALSE)&amp;"","")</f>
        <v/>
      </c>
      <c r="W63" s="292" t="str">
        <f t="shared" ca="1" si="129"/>
        <v/>
      </c>
      <c r="X63" s="292" t="str">
        <f t="shared" ca="1" si="130"/>
        <v/>
      </c>
      <c r="Y63" s="292" t="str">
        <f t="shared" ca="1" si="131"/>
        <v/>
      </c>
      <c r="Z63" s="410" t="str">
        <f t="shared" ca="1" si="132"/>
        <v/>
      </c>
      <c r="AA63" s="410"/>
      <c r="AB63" s="411" t="str">
        <f t="shared" ca="1" si="133"/>
        <v/>
      </c>
      <c r="AC63" s="411"/>
      <c r="AD63" s="412"/>
      <c r="AE63" s="273" t="str">
        <f t="shared" ca="1" si="134"/>
        <v/>
      </c>
      <c r="AF63" s="29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93" t="b">
        <f t="shared" ca="1" si="135"/>
        <v>1</v>
      </c>
      <c r="AH63" s="131" t="b">
        <f t="shared" ca="1" si="136"/>
        <v>1</v>
      </c>
      <c r="AI63" s="291" t="s">
        <v>1000</v>
      </c>
    </row>
    <row r="64" spans="2:35" ht="18.75" x14ac:dyDescent="0.4">
      <c r="B64" s="420"/>
      <c r="C64" s="421"/>
      <c r="D64" s="421"/>
      <c r="E64" s="421"/>
      <c r="F64" s="422" t="str">
        <f t="shared" ca="1" si="127"/>
        <v/>
      </c>
      <c r="G64" s="422"/>
      <c r="H64" s="42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423"/>
      <c r="J64" s="410" t="str">
        <f ca="1">IFERROR(VLOOKUP($B64,INDIRECT(CONCATENATE("'",成績管理表!$D$9,$L$39,"'!",$P$39)),$J$40,FALSE)&amp;"","")</f>
        <v/>
      </c>
      <c r="K64" s="410"/>
      <c r="L64" s="410" t="str">
        <f ca="1">IFERROR(VLOOKUP($B64,INDIRECT(CONCATENATE("'",成績管理表!$D$9,$L$39,"'!",$P$39)),$L$40,FALSE)&amp;"","")</f>
        <v/>
      </c>
      <c r="M64" s="410"/>
      <c r="N64" s="292" t="str">
        <f ca="1">IFERROR(VLOOKUP($B64,INDIRECT(CONCATENATE("'",成績管理表!$D$9,$L$39,"'!",$P$39)),$N$40,FALSE)&amp;"","")</f>
        <v/>
      </c>
      <c r="O64" s="292" t="str">
        <f ca="1">IFERROR(VLOOKUP($B64,INDIRECT(CONCATENATE("'",成績管理表!$D$9,$L$39,"'!",$P$39)),$O$40,FALSE)&amp;"","")</f>
        <v/>
      </c>
      <c r="P64" s="292" t="str">
        <f ca="1">IFERROR(VLOOKUP($B64,INDIRECT(CONCATENATE("'",成績管理表!$D$9,$L$39,"'!",$P$39)),$P$40,FALSE)&amp;"","")</f>
        <v/>
      </c>
      <c r="Q64" s="410" t="str">
        <f ca="1">IFERROR(VLOOKUP($B64,INDIRECT(CONCATENATE("'",成績管理表!$D$9,$L$39,"'!",$P$39)),$Q$40,FALSE)&amp;"","")</f>
        <v/>
      </c>
      <c r="R64" s="410"/>
      <c r="S64" s="129" t="str">
        <f ca="1">IFERROR(VLOOKUP($B64,INDIRECT(CONCATENATE("'",成績管理表!$D$9,$L$39,"'!",$P$39)),$S$40,FALSE),"")</f>
        <v/>
      </c>
      <c r="T64" s="110"/>
      <c r="U64" s="190" t="str">
        <f t="shared" si="128"/>
        <v/>
      </c>
      <c r="V64" s="130" t="str">
        <f ca="1">IFERROR(VLOOKUP($B64,INDIRECT(CONCATENATE("'",成績管理表!$D$9,$L$39,"'!",$P$39)),$V$40,FALSE)&amp;"","")</f>
        <v/>
      </c>
      <c r="W64" s="292" t="str">
        <f t="shared" ca="1" si="129"/>
        <v/>
      </c>
      <c r="X64" s="292" t="str">
        <f t="shared" ca="1" si="130"/>
        <v/>
      </c>
      <c r="Y64" s="292" t="str">
        <f t="shared" ca="1" si="131"/>
        <v/>
      </c>
      <c r="Z64" s="410" t="str">
        <f t="shared" ca="1" si="132"/>
        <v/>
      </c>
      <c r="AA64" s="410"/>
      <c r="AB64" s="411" t="str">
        <f t="shared" ca="1" si="133"/>
        <v/>
      </c>
      <c r="AC64" s="411"/>
      <c r="AD64" s="412"/>
      <c r="AE64" s="273" t="str">
        <f t="shared" ca="1" si="134"/>
        <v/>
      </c>
      <c r="AF64" s="29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93" t="b">
        <f t="shared" ca="1" si="135"/>
        <v>1</v>
      </c>
      <c r="AH64" s="131" t="b">
        <f t="shared" ca="1" si="136"/>
        <v>1</v>
      </c>
      <c r="AI64" s="291" t="s">
        <v>1000</v>
      </c>
    </row>
    <row r="65" spans="2:35" ht="18.75" x14ac:dyDescent="0.4">
      <c r="B65" s="420"/>
      <c r="C65" s="421"/>
      <c r="D65" s="421"/>
      <c r="E65" s="421"/>
      <c r="F65" s="422" t="str">
        <f t="shared" ca="1" si="127"/>
        <v/>
      </c>
      <c r="G65" s="422"/>
      <c r="H65" s="42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423"/>
      <c r="J65" s="410" t="str">
        <f ca="1">IFERROR(VLOOKUP($B65,INDIRECT(CONCATENATE("'",成績管理表!$D$9,$L$39,"'!",$P$39)),$J$40,FALSE)&amp;"","")</f>
        <v/>
      </c>
      <c r="K65" s="410"/>
      <c r="L65" s="410" t="str">
        <f ca="1">IFERROR(VLOOKUP($B65,INDIRECT(CONCATENATE("'",成績管理表!$D$9,$L$39,"'!",$P$39)),$L$40,FALSE)&amp;"","")</f>
        <v/>
      </c>
      <c r="M65" s="410"/>
      <c r="N65" s="292" t="str">
        <f ca="1">IFERROR(VLOOKUP($B65,INDIRECT(CONCATENATE("'",成績管理表!$D$9,$L$39,"'!",$P$39)),$N$40,FALSE)&amp;"","")</f>
        <v/>
      </c>
      <c r="O65" s="292" t="str">
        <f ca="1">IFERROR(VLOOKUP($B65,INDIRECT(CONCATENATE("'",成績管理表!$D$9,$L$39,"'!",$P$39)),$O$40,FALSE)&amp;"","")</f>
        <v/>
      </c>
      <c r="P65" s="292" t="str">
        <f ca="1">IFERROR(VLOOKUP($B65,INDIRECT(CONCATENATE("'",成績管理表!$D$9,$L$39,"'!",$P$39)),$P$40,FALSE)&amp;"","")</f>
        <v/>
      </c>
      <c r="Q65" s="410" t="str">
        <f ca="1">IFERROR(VLOOKUP($B65,INDIRECT(CONCATENATE("'",成績管理表!$D$9,$L$39,"'!",$P$39)),$Q$40,FALSE)&amp;"","")</f>
        <v/>
      </c>
      <c r="R65" s="410"/>
      <c r="S65" s="129" t="str">
        <f ca="1">IFERROR(VLOOKUP($B65,INDIRECT(CONCATENATE("'",成績管理表!$D$9,$L$39,"'!",$P$39)),$S$40,FALSE),"")</f>
        <v/>
      </c>
      <c r="T65" s="110"/>
      <c r="U65" s="190" t="str">
        <f t="shared" si="128"/>
        <v/>
      </c>
      <c r="V65" s="130" t="str">
        <f ca="1">IFERROR(VLOOKUP($B65,INDIRECT(CONCATENATE("'",成績管理表!$D$9,$L$39,"'!",$P$39)),$V$40,FALSE)&amp;"","")</f>
        <v/>
      </c>
      <c r="W65" s="292" t="str">
        <f t="shared" ca="1" si="129"/>
        <v/>
      </c>
      <c r="X65" s="292" t="str">
        <f t="shared" ca="1" si="130"/>
        <v/>
      </c>
      <c r="Y65" s="292" t="str">
        <f t="shared" ca="1" si="131"/>
        <v/>
      </c>
      <c r="Z65" s="410" t="str">
        <f t="shared" ca="1" si="132"/>
        <v/>
      </c>
      <c r="AA65" s="410"/>
      <c r="AB65" s="411" t="str">
        <f t="shared" ca="1" si="133"/>
        <v/>
      </c>
      <c r="AC65" s="411"/>
      <c r="AD65" s="412"/>
      <c r="AE65" s="273" t="str">
        <f t="shared" ca="1" si="134"/>
        <v/>
      </c>
      <c r="AF65" s="29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93" t="b">
        <f t="shared" ca="1" si="135"/>
        <v>1</v>
      </c>
      <c r="AH65" s="131" t="b">
        <f t="shared" ca="1" si="136"/>
        <v>1</v>
      </c>
      <c r="AI65" s="291" t="s">
        <v>1000</v>
      </c>
    </row>
    <row r="66" spans="2:35" ht="18.75" x14ac:dyDescent="0.4">
      <c r="B66" s="420"/>
      <c r="C66" s="421"/>
      <c r="D66" s="421"/>
      <c r="E66" s="421"/>
      <c r="F66" s="422" t="str">
        <f t="shared" ca="1" si="127"/>
        <v/>
      </c>
      <c r="G66" s="422"/>
      <c r="H66" s="42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423"/>
      <c r="J66" s="410" t="str">
        <f ca="1">IFERROR(VLOOKUP($B66,INDIRECT(CONCATENATE("'",成績管理表!$D$9,$L$39,"'!",$P$39)),$J$40,FALSE)&amp;"","")</f>
        <v/>
      </c>
      <c r="K66" s="410"/>
      <c r="L66" s="410" t="str">
        <f ca="1">IFERROR(VLOOKUP($B66,INDIRECT(CONCATENATE("'",成績管理表!$D$9,$L$39,"'!",$P$39)),$L$40,FALSE)&amp;"","")</f>
        <v/>
      </c>
      <c r="M66" s="410"/>
      <c r="N66" s="292" t="str">
        <f ca="1">IFERROR(VLOOKUP($B66,INDIRECT(CONCATENATE("'",成績管理表!$D$9,$L$39,"'!",$P$39)),$N$40,FALSE)&amp;"","")</f>
        <v/>
      </c>
      <c r="O66" s="292" t="str">
        <f ca="1">IFERROR(VLOOKUP($B66,INDIRECT(CONCATENATE("'",成績管理表!$D$9,$L$39,"'!",$P$39)),$O$40,FALSE)&amp;"","")</f>
        <v/>
      </c>
      <c r="P66" s="292" t="str">
        <f ca="1">IFERROR(VLOOKUP($B66,INDIRECT(CONCATENATE("'",成績管理表!$D$9,$L$39,"'!",$P$39)),$P$40,FALSE)&amp;"","")</f>
        <v/>
      </c>
      <c r="Q66" s="410" t="str">
        <f ca="1">IFERROR(VLOOKUP($B66,INDIRECT(CONCATENATE("'",成績管理表!$D$9,$L$39,"'!",$P$39)),$Q$40,FALSE)&amp;"","")</f>
        <v/>
      </c>
      <c r="R66" s="410"/>
      <c r="S66" s="129" t="str">
        <f ca="1">IFERROR(VLOOKUP($B66,INDIRECT(CONCATENATE("'",成績管理表!$D$9,$L$39,"'!",$P$39)),$S$40,FALSE),"")</f>
        <v/>
      </c>
      <c r="T66" s="110"/>
      <c r="U66" s="190" t="str">
        <f t="shared" si="128"/>
        <v/>
      </c>
      <c r="V66" s="130" t="str">
        <f ca="1">IFERROR(VLOOKUP($B66,INDIRECT(CONCATENATE("'",成績管理表!$D$9,$L$39,"'!",$P$39)),$V$40,FALSE)&amp;"","")</f>
        <v/>
      </c>
      <c r="W66" s="292" t="str">
        <f t="shared" ca="1" si="129"/>
        <v/>
      </c>
      <c r="X66" s="292" t="str">
        <f t="shared" ca="1" si="130"/>
        <v/>
      </c>
      <c r="Y66" s="292" t="str">
        <f t="shared" ca="1" si="131"/>
        <v/>
      </c>
      <c r="Z66" s="410" t="str">
        <f t="shared" ca="1" si="132"/>
        <v/>
      </c>
      <c r="AA66" s="410"/>
      <c r="AB66" s="411" t="str">
        <f t="shared" ca="1" si="133"/>
        <v/>
      </c>
      <c r="AC66" s="411"/>
      <c r="AD66" s="412"/>
      <c r="AE66" s="273" t="str">
        <f t="shared" ca="1" si="134"/>
        <v/>
      </c>
      <c r="AF66" s="29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93" t="b">
        <f t="shared" ca="1" si="135"/>
        <v>1</v>
      </c>
      <c r="AH66" s="131" t="b">
        <f t="shared" ca="1" si="136"/>
        <v>1</v>
      </c>
      <c r="AI66" s="291" t="s">
        <v>1000</v>
      </c>
    </row>
    <row r="67" spans="2:35" ht="18.75" x14ac:dyDescent="0.4">
      <c r="B67" s="420"/>
      <c r="C67" s="421"/>
      <c r="D67" s="421"/>
      <c r="E67" s="421"/>
      <c r="F67" s="422" t="str">
        <f t="shared" ca="1" si="127"/>
        <v/>
      </c>
      <c r="G67" s="422"/>
      <c r="H67" s="42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423"/>
      <c r="J67" s="410" t="str">
        <f ca="1">IFERROR(VLOOKUP($B67,INDIRECT(CONCATENATE("'",成績管理表!$D$9,$L$39,"'!",$P$39)),$J$40,FALSE)&amp;"","")</f>
        <v/>
      </c>
      <c r="K67" s="410"/>
      <c r="L67" s="410" t="str">
        <f ca="1">IFERROR(VLOOKUP($B67,INDIRECT(CONCATENATE("'",成績管理表!$D$9,$L$39,"'!",$P$39)),$L$40,FALSE)&amp;"","")</f>
        <v/>
      </c>
      <c r="M67" s="410"/>
      <c r="N67" s="292" t="str">
        <f ca="1">IFERROR(VLOOKUP($B67,INDIRECT(CONCATENATE("'",成績管理表!$D$9,$L$39,"'!",$P$39)),$N$40,FALSE)&amp;"","")</f>
        <v/>
      </c>
      <c r="O67" s="292" t="str">
        <f ca="1">IFERROR(VLOOKUP($B67,INDIRECT(CONCATENATE("'",成績管理表!$D$9,$L$39,"'!",$P$39)),$O$40,FALSE)&amp;"","")</f>
        <v/>
      </c>
      <c r="P67" s="292" t="str">
        <f ca="1">IFERROR(VLOOKUP($B67,INDIRECT(CONCATENATE("'",成績管理表!$D$9,$L$39,"'!",$P$39)),$P$40,FALSE)&amp;"","")</f>
        <v/>
      </c>
      <c r="Q67" s="410" t="str">
        <f ca="1">IFERROR(VLOOKUP($B67,INDIRECT(CONCATENATE("'",成績管理表!$D$9,$L$39,"'!",$P$39)),$Q$40,FALSE)&amp;"","")</f>
        <v/>
      </c>
      <c r="R67" s="410"/>
      <c r="S67" s="129" t="str">
        <f ca="1">IFERROR(VLOOKUP($B67,INDIRECT(CONCATENATE("'",成績管理表!$D$9,$L$39,"'!",$P$39)),$S$40,FALSE),"")</f>
        <v/>
      </c>
      <c r="T67" s="110"/>
      <c r="U67" s="190" t="str">
        <f t="shared" si="128"/>
        <v/>
      </c>
      <c r="V67" s="130" t="str">
        <f ca="1">IFERROR(VLOOKUP($B67,INDIRECT(CONCATENATE("'",成績管理表!$D$9,$L$39,"'!",$P$39)),$V$40,FALSE)&amp;"","")</f>
        <v/>
      </c>
      <c r="W67" s="292" t="str">
        <f t="shared" ca="1" si="129"/>
        <v/>
      </c>
      <c r="X67" s="292" t="str">
        <f t="shared" ca="1" si="130"/>
        <v/>
      </c>
      <c r="Y67" s="292" t="str">
        <f t="shared" ca="1" si="131"/>
        <v/>
      </c>
      <c r="Z67" s="410" t="str">
        <f t="shared" ca="1" si="132"/>
        <v/>
      </c>
      <c r="AA67" s="410"/>
      <c r="AB67" s="411" t="str">
        <f t="shared" ca="1" si="133"/>
        <v/>
      </c>
      <c r="AC67" s="411"/>
      <c r="AD67" s="412"/>
      <c r="AE67" s="273" t="str">
        <f t="shared" ca="1" si="134"/>
        <v/>
      </c>
      <c r="AF67" s="29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93" t="b">
        <f t="shared" ca="1" si="135"/>
        <v>1</v>
      </c>
      <c r="AH67" s="131" t="b">
        <f t="shared" ca="1" si="136"/>
        <v>1</v>
      </c>
      <c r="AI67" s="291" t="s">
        <v>1000</v>
      </c>
    </row>
    <row r="68" spans="2:35" ht="18.75" x14ac:dyDescent="0.4">
      <c r="B68" s="420"/>
      <c r="C68" s="421"/>
      <c r="D68" s="421"/>
      <c r="E68" s="421"/>
      <c r="F68" s="422" t="str">
        <f t="shared" ca="1" si="127"/>
        <v/>
      </c>
      <c r="G68" s="422"/>
      <c r="H68" s="42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423"/>
      <c r="J68" s="410" t="str">
        <f ca="1">IFERROR(VLOOKUP($B68,INDIRECT(CONCATENATE("'",成績管理表!$D$9,$L$39,"'!",$P$39)),$J$40,FALSE)&amp;"","")</f>
        <v/>
      </c>
      <c r="K68" s="410"/>
      <c r="L68" s="410" t="str">
        <f ca="1">IFERROR(VLOOKUP($B68,INDIRECT(CONCATENATE("'",成績管理表!$D$9,$L$39,"'!",$P$39)),$L$40,FALSE)&amp;"","")</f>
        <v/>
      </c>
      <c r="M68" s="410"/>
      <c r="N68" s="292" t="str">
        <f ca="1">IFERROR(VLOOKUP($B68,INDIRECT(CONCATENATE("'",成績管理表!$D$9,$L$39,"'!",$P$39)),$N$40,FALSE)&amp;"","")</f>
        <v/>
      </c>
      <c r="O68" s="292" t="str">
        <f ca="1">IFERROR(VLOOKUP($B68,INDIRECT(CONCATENATE("'",成績管理表!$D$9,$L$39,"'!",$P$39)),$O$40,FALSE)&amp;"","")</f>
        <v/>
      </c>
      <c r="P68" s="292" t="str">
        <f ca="1">IFERROR(VLOOKUP($B68,INDIRECT(CONCATENATE("'",成績管理表!$D$9,$L$39,"'!",$P$39)),$P$40,FALSE)&amp;"","")</f>
        <v/>
      </c>
      <c r="Q68" s="410" t="str">
        <f ca="1">IFERROR(VLOOKUP($B68,INDIRECT(CONCATENATE("'",成績管理表!$D$9,$L$39,"'!",$P$39)),$Q$40,FALSE)&amp;"","")</f>
        <v/>
      </c>
      <c r="R68" s="410"/>
      <c r="S68" s="129" t="str">
        <f ca="1">IFERROR(VLOOKUP($B68,INDIRECT(CONCATENATE("'",成績管理表!$D$9,$L$39,"'!",$P$39)),$S$40,FALSE),"")</f>
        <v/>
      </c>
      <c r="T68" s="110"/>
      <c r="U68" s="190" t="str">
        <f t="shared" si="128"/>
        <v/>
      </c>
      <c r="V68" s="130" t="str">
        <f ca="1">IFERROR(VLOOKUP($B68,INDIRECT(CONCATENATE("'",成績管理表!$D$9,$L$39,"'!",$P$39)),$V$40,FALSE)&amp;"","")</f>
        <v/>
      </c>
      <c r="W68" s="292" t="str">
        <f t="shared" ca="1" si="129"/>
        <v/>
      </c>
      <c r="X68" s="292" t="str">
        <f t="shared" ca="1" si="130"/>
        <v/>
      </c>
      <c r="Y68" s="292" t="str">
        <f t="shared" ca="1" si="131"/>
        <v/>
      </c>
      <c r="Z68" s="410" t="str">
        <f t="shared" ca="1" si="132"/>
        <v/>
      </c>
      <c r="AA68" s="410"/>
      <c r="AB68" s="411" t="str">
        <f t="shared" ca="1" si="133"/>
        <v/>
      </c>
      <c r="AC68" s="411"/>
      <c r="AD68" s="412"/>
      <c r="AE68" s="273" t="str">
        <f t="shared" ca="1" si="134"/>
        <v/>
      </c>
      <c r="AF68" s="29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93" t="b">
        <f t="shared" ca="1" si="135"/>
        <v>1</v>
      </c>
      <c r="AH68" s="131" t="b">
        <f t="shared" ca="1" si="136"/>
        <v>1</v>
      </c>
      <c r="AI68" s="291" t="s">
        <v>1000</v>
      </c>
    </row>
    <row r="69" spans="2:35" ht="18.75" x14ac:dyDescent="0.4">
      <c r="B69" s="420"/>
      <c r="C69" s="421"/>
      <c r="D69" s="421"/>
      <c r="E69" s="421"/>
      <c r="F69" s="422" t="str">
        <f t="shared" ca="1" si="127"/>
        <v/>
      </c>
      <c r="G69" s="422"/>
      <c r="H69" s="42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423"/>
      <c r="J69" s="410" t="str">
        <f ca="1">IFERROR(VLOOKUP($B69,INDIRECT(CONCATENATE("'",成績管理表!$D$9,$L$39,"'!",$P$39)),$J$40,FALSE)&amp;"","")</f>
        <v/>
      </c>
      <c r="K69" s="410"/>
      <c r="L69" s="410" t="str">
        <f ca="1">IFERROR(VLOOKUP($B69,INDIRECT(CONCATENATE("'",成績管理表!$D$9,$L$39,"'!",$P$39)),$L$40,FALSE)&amp;"","")</f>
        <v/>
      </c>
      <c r="M69" s="410"/>
      <c r="N69" s="292" t="str">
        <f ca="1">IFERROR(VLOOKUP($B69,INDIRECT(CONCATENATE("'",成績管理表!$D$9,$L$39,"'!",$P$39)),$N$40,FALSE)&amp;"","")</f>
        <v/>
      </c>
      <c r="O69" s="292" t="str">
        <f ca="1">IFERROR(VLOOKUP($B69,INDIRECT(CONCATENATE("'",成績管理表!$D$9,$L$39,"'!",$P$39)),$O$40,FALSE)&amp;"","")</f>
        <v/>
      </c>
      <c r="P69" s="292" t="str">
        <f ca="1">IFERROR(VLOOKUP($B69,INDIRECT(CONCATENATE("'",成績管理表!$D$9,$L$39,"'!",$P$39)),$P$40,FALSE)&amp;"","")</f>
        <v/>
      </c>
      <c r="Q69" s="410" t="str">
        <f ca="1">IFERROR(VLOOKUP($B69,INDIRECT(CONCATENATE("'",成績管理表!$D$9,$L$39,"'!",$P$39)),$Q$40,FALSE)&amp;"","")</f>
        <v/>
      </c>
      <c r="R69" s="410"/>
      <c r="S69" s="129" t="str">
        <f ca="1">IFERROR(VLOOKUP($B69,INDIRECT(CONCATENATE("'",成績管理表!$D$9,$L$39,"'!",$P$39)),$S$40,FALSE),"")</f>
        <v/>
      </c>
      <c r="T69" s="110"/>
      <c r="U69" s="190" t="str">
        <f t="shared" si="128"/>
        <v/>
      </c>
      <c r="V69" s="130" t="str">
        <f ca="1">IFERROR(VLOOKUP($B69,INDIRECT(CONCATENATE("'",成績管理表!$D$9,$L$39,"'!",$P$39)),$V$40,FALSE)&amp;"","")</f>
        <v/>
      </c>
      <c r="W69" s="292" t="str">
        <f t="shared" ca="1" si="129"/>
        <v/>
      </c>
      <c r="X69" s="292" t="str">
        <f t="shared" ca="1" si="130"/>
        <v/>
      </c>
      <c r="Y69" s="292" t="str">
        <f t="shared" ca="1" si="131"/>
        <v/>
      </c>
      <c r="Z69" s="410" t="str">
        <f t="shared" ca="1" si="132"/>
        <v/>
      </c>
      <c r="AA69" s="410"/>
      <c r="AB69" s="411" t="str">
        <f t="shared" ca="1" si="133"/>
        <v/>
      </c>
      <c r="AC69" s="411"/>
      <c r="AD69" s="412"/>
      <c r="AE69" s="273" t="str">
        <f t="shared" ca="1" si="134"/>
        <v/>
      </c>
      <c r="AF69" s="29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93" t="b">
        <f t="shared" ca="1" si="135"/>
        <v>1</v>
      </c>
      <c r="AH69" s="131" t="b">
        <f t="shared" ca="1" si="136"/>
        <v>1</v>
      </c>
    </row>
    <row r="70" spans="2:35" ht="18.75" x14ac:dyDescent="0.4">
      <c r="B70" s="420"/>
      <c r="C70" s="421"/>
      <c r="D70" s="421"/>
      <c r="E70" s="421"/>
      <c r="F70" s="422" t="str">
        <f t="shared" ca="1" si="127"/>
        <v/>
      </c>
      <c r="G70" s="422"/>
      <c r="H70" s="42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423"/>
      <c r="J70" s="410" t="str">
        <f ca="1">IFERROR(VLOOKUP($B70,INDIRECT(CONCATENATE("'",成績管理表!$D$9,$L$39,"'!",$P$39)),$J$40,FALSE)&amp;"","")</f>
        <v/>
      </c>
      <c r="K70" s="410"/>
      <c r="L70" s="410" t="str">
        <f ca="1">IFERROR(VLOOKUP($B70,INDIRECT(CONCATENATE("'",成績管理表!$D$9,$L$39,"'!",$P$39)),$L$40,FALSE)&amp;"","")</f>
        <v/>
      </c>
      <c r="M70" s="410"/>
      <c r="N70" s="292" t="str">
        <f ca="1">IFERROR(VLOOKUP($B70,INDIRECT(CONCATENATE("'",成績管理表!$D$9,$L$39,"'!",$P$39)),$N$40,FALSE)&amp;"","")</f>
        <v/>
      </c>
      <c r="O70" s="292" t="str">
        <f ca="1">IFERROR(VLOOKUP($B70,INDIRECT(CONCATENATE("'",成績管理表!$D$9,$L$39,"'!",$P$39)),$O$40,FALSE)&amp;"","")</f>
        <v/>
      </c>
      <c r="P70" s="292" t="str">
        <f ca="1">IFERROR(VLOOKUP($B70,INDIRECT(CONCATENATE("'",成績管理表!$D$9,$L$39,"'!",$P$39)),$P$40,FALSE)&amp;"","")</f>
        <v/>
      </c>
      <c r="Q70" s="410" t="str">
        <f ca="1">IFERROR(VLOOKUP($B70,INDIRECT(CONCATENATE("'",成績管理表!$D$9,$L$39,"'!",$P$39)),$Q$40,FALSE)&amp;"","")</f>
        <v/>
      </c>
      <c r="R70" s="410"/>
      <c r="S70" s="129" t="str">
        <f ca="1">IFERROR(VLOOKUP($B70,INDIRECT(CONCATENATE("'",成績管理表!$D$9,$L$39,"'!",$P$39)),$S$40,FALSE),"")</f>
        <v/>
      </c>
      <c r="T70" s="110"/>
      <c r="U70" s="190" t="str">
        <f t="shared" si="128"/>
        <v/>
      </c>
      <c r="V70" s="130" t="str">
        <f ca="1">IFERROR(VLOOKUP($B70,INDIRECT(CONCATENATE("'",成績管理表!$D$9,$L$39,"'!",$P$39)),$V$40,FALSE)&amp;"","")</f>
        <v/>
      </c>
      <c r="W70" s="292" t="str">
        <f t="shared" ca="1" si="129"/>
        <v/>
      </c>
      <c r="X70" s="292" t="str">
        <f t="shared" ca="1" si="130"/>
        <v/>
      </c>
      <c r="Y70" s="292" t="str">
        <f t="shared" ca="1" si="131"/>
        <v/>
      </c>
      <c r="Z70" s="410" t="str">
        <f t="shared" ca="1" si="132"/>
        <v/>
      </c>
      <c r="AA70" s="410"/>
      <c r="AB70" s="411" t="str">
        <f t="shared" ca="1" si="133"/>
        <v/>
      </c>
      <c r="AC70" s="411"/>
      <c r="AD70" s="412"/>
      <c r="AE70" s="273" t="str">
        <f t="shared" ca="1" si="134"/>
        <v/>
      </c>
      <c r="AF70" s="29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93" t="b">
        <f t="shared" ca="1" si="135"/>
        <v>1</v>
      </c>
      <c r="AH70" s="131" t="b">
        <f t="shared" ca="1" si="136"/>
        <v>1</v>
      </c>
    </row>
    <row r="71" spans="2:35" ht="18.75" x14ac:dyDescent="0.4">
      <c r="B71" s="420"/>
      <c r="C71" s="421"/>
      <c r="D71" s="421"/>
      <c r="E71" s="421"/>
      <c r="F71" s="422" t="str">
        <f t="shared" ca="1" si="127"/>
        <v/>
      </c>
      <c r="G71" s="422"/>
      <c r="H71" s="42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423"/>
      <c r="J71" s="410" t="str">
        <f ca="1">IFERROR(VLOOKUP($B71,INDIRECT(CONCATENATE("'",成績管理表!$D$9,$L$39,"'!",$P$39)),$J$40,FALSE)&amp;"","")</f>
        <v/>
      </c>
      <c r="K71" s="410"/>
      <c r="L71" s="410" t="str">
        <f ca="1">IFERROR(VLOOKUP($B71,INDIRECT(CONCATENATE("'",成績管理表!$D$9,$L$39,"'!",$P$39)),$L$40,FALSE)&amp;"","")</f>
        <v/>
      </c>
      <c r="M71" s="410"/>
      <c r="N71" s="292" t="str">
        <f ca="1">IFERROR(VLOOKUP($B71,INDIRECT(CONCATENATE("'",成績管理表!$D$9,$L$39,"'!",$P$39)),$N$40,FALSE)&amp;"","")</f>
        <v/>
      </c>
      <c r="O71" s="292" t="str">
        <f ca="1">IFERROR(VLOOKUP($B71,INDIRECT(CONCATENATE("'",成績管理表!$D$9,$L$39,"'!",$P$39)),$O$40,FALSE)&amp;"","")</f>
        <v/>
      </c>
      <c r="P71" s="292" t="str">
        <f ca="1">IFERROR(VLOOKUP($B71,INDIRECT(CONCATENATE("'",成績管理表!$D$9,$L$39,"'!",$P$39)),$P$40,FALSE)&amp;"","")</f>
        <v/>
      </c>
      <c r="Q71" s="410" t="str">
        <f ca="1">IFERROR(VLOOKUP($B71,INDIRECT(CONCATENATE("'",成績管理表!$D$9,$L$39,"'!",$P$39)),$Q$40,FALSE)&amp;"","")</f>
        <v/>
      </c>
      <c r="R71" s="410"/>
      <c r="S71" s="129" t="str">
        <f ca="1">IFERROR(VLOOKUP($B71,INDIRECT(CONCATENATE("'",成績管理表!$D$9,$L$39,"'!",$P$39)),$S$40,FALSE),"")</f>
        <v/>
      </c>
      <c r="T71" s="110"/>
      <c r="U71" s="190" t="str">
        <f t="shared" si="128"/>
        <v/>
      </c>
      <c r="V71" s="130" t="str">
        <f ca="1">IFERROR(VLOOKUP($B71,INDIRECT(CONCATENATE("'",成績管理表!$D$9,$L$39,"'!",$P$39)),$V$40,FALSE)&amp;"","")</f>
        <v/>
      </c>
      <c r="W71" s="292" t="str">
        <f t="shared" ca="1" si="129"/>
        <v/>
      </c>
      <c r="X71" s="292" t="str">
        <f t="shared" ca="1" si="130"/>
        <v/>
      </c>
      <c r="Y71" s="292" t="str">
        <f t="shared" ca="1" si="131"/>
        <v/>
      </c>
      <c r="Z71" s="410" t="str">
        <f t="shared" ca="1" si="132"/>
        <v/>
      </c>
      <c r="AA71" s="410"/>
      <c r="AB71" s="411" t="str">
        <f t="shared" ca="1" si="133"/>
        <v/>
      </c>
      <c r="AC71" s="411"/>
      <c r="AD71" s="412"/>
      <c r="AE71" s="273" t="str">
        <f t="shared" ca="1" si="134"/>
        <v/>
      </c>
      <c r="AF71" s="29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93" t="b">
        <f t="shared" ca="1" si="135"/>
        <v>1</v>
      </c>
      <c r="AH71" s="131" t="b">
        <f t="shared" ca="1" si="136"/>
        <v>1</v>
      </c>
    </row>
    <row r="72" spans="2:35" ht="18.75" x14ac:dyDescent="0.4">
      <c r="B72" s="420"/>
      <c r="C72" s="421"/>
      <c r="D72" s="421"/>
      <c r="E72" s="421"/>
      <c r="F72" s="422" t="str">
        <f t="shared" ca="1" si="127"/>
        <v/>
      </c>
      <c r="G72" s="422"/>
      <c r="H72" s="42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423"/>
      <c r="J72" s="410" t="str">
        <f ca="1">IFERROR(VLOOKUP($B72,INDIRECT(CONCATENATE("'",成績管理表!$D$9,$L$39,"'!",$P$39)),$J$40,FALSE)&amp;"","")</f>
        <v/>
      </c>
      <c r="K72" s="410"/>
      <c r="L72" s="410" t="str">
        <f ca="1">IFERROR(VLOOKUP($B72,INDIRECT(CONCATENATE("'",成績管理表!$D$9,$L$39,"'!",$P$39)),$L$40,FALSE)&amp;"","")</f>
        <v/>
      </c>
      <c r="M72" s="410"/>
      <c r="N72" s="292" t="str">
        <f ca="1">IFERROR(VLOOKUP($B72,INDIRECT(CONCATENATE("'",成績管理表!$D$9,$L$39,"'!",$P$39)),$N$40,FALSE)&amp;"","")</f>
        <v/>
      </c>
      <c r="O72" s="292" t="str">
        <f ca="1">IFERROR(VLOOKUP($B72,INDIRECT(CONCATENATE("'",成績管理表!$D$9,$L$39,"'!",$P$39)),$O$40,FALSE)&amp;"","")</f>
        <v/>
      </c>
      <c r="P72" s="292" t="str">
        <f ca="1">IFERROR(VLOOKUP($B72,INDIRECT(CONCATENATE("'",成績管理表!$D$9,$L$39,"'!",$P$39)),$P$40,FALSE)&amp;"","")</f>
        <v/>
      </c>
      <c r="Q72" s="410" t="str">
        <f ca="1">IFERROR(VLOOKUP($B72,INDIRECT(CONCATENATE("'",成績管理表!$D$9,$L$39,"'!",$P$39)),$Q$40,FALSE)&amp;"","")</f>
        <v/>
      </c>
      <c r="R72" s="410"/>
      <c r="S72" s="129" t="str">
        <f ca="1">IFERROR(VLOOKUP($B72,INDIRECT(CONCATENATE("'",成績管理表!$D$9,$L$39,"'!",$P$39)),$S$40,FALSE),"")</f>
        <v/>
      </c>
      <c r="T72" s="110"/>
      <c r="U72" s="190" t="str">
        <f t="shared" si="128"/>
        <v/>
      </c>
      <c r="V72" s="130" t="str">
        <f ca="1">IFERROR(VLOOKUP($B72,INDIRECT(CONCATENATE("'",成績管理表!$D$9,$L$39,"'!",$P$39)),$V$40,FALSE)&amp;"","")</f>
        <v/>
      </c>
      <c r="W72" s="292" t="str">
        <f t="shared" ca="1" si="129"/>
        <v/>
      </c>
      <c r="X72" s="292" t="str">
        <f t="shared" ca="1" si="130"/>
        <v/>
      </c>
      <c r="Y72" s="292" t="str">
        <f t="shared" ca="1" si="131"/>
        <v/>
      </c>
      <c r="Z72" s="410" t="str">
        <f t="shared" ca="1" si="132"/>
        <v/>
      </c>
      <c r="AA72" s="410"/>
      <c r="AB72" s="411" t="str">
        <f t="shared" ca="1" si="133"/>
        <v/>
      </c>
      <c r="AC72" s="411"/>
      <c r="AD72" s="412"/>
      <c r="AE72" s="273" t="str">
        <f t="shared" ca="1" si="134"/>
        <v/>
      </c>
      <c r="AF72" s="29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93" t="b">
        <f t="shared" ca="1" si="135"/>
        <v>1</v>
      </c>
      <c r="AH72" s="131" t="b">
        <f t="shared" ca="1" si="136"/>
        <v>1</v>
      </c>
    </row>
    <row r="73" spans="2:35" ht="18.75" customHeight="1" thickBot="1" x14ac:dyDescent="0.45">
      <c r="B73" s="413"/>
      <c r="C73" s="414"/>
      <c r="D73" s="414"/>
      <c r="E73" s="414"/>
      <c r="F73" s="415" t="str">
        <f t="shared" ca="1" si="127"/>
        <v/>
      </c>
      <c r="G73" s="415"/>
      <c r="H73" s="416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416"/>
      <c r="J73" s="417" t="str">
        <f ca="1">IFERROR(VLOOKUP($B73,INDIRECT(CONCATENATE("'",成績管理表!$D$9,$L$39,"'!",$P$39)),$J$40,FALSE)&amp;"","")</f>
        <v/>
      </c>
      <c r="K73" s="417"/>
      <c r="L73" s="417" t="str">
        <f ca="1">IFERROR(VLOOKUP($B73,INDIRECT(CONCATENATE("'",成績管理表!$D$9,$L$39,"'!",$P$39)),$L$40,FALSE)&amp;"","")</f>
        <v/>
      </c>
      <c r="M73" s="417"/>
      <c r="N73" s="301" t="str">
        <f ca="1">IFERROR(VLOOKUP($B73,INDIRECT(CONCATENATE("'",成績管理表!$D$9,$L$39,"'!",$P$39)),$N$40,FALSE)&amp;"","")</f>
        <v/>
      </c>
      <c r="O73" s="301" t="str">
        <f ca="1">IFERROR(VLOOKUP($B73,INDIRECT(CONCATENATE("'",成績管理表!$D$9,$L$39,"'!",$P$39)),$O$40,FALSE)&amp;"","")</f>
        <v/>
      </c>
      <c r="P73" s="301" t="str">
        <f ca="1">IFERROR(VLOOKUP($B73,INDIRECT(CONCATENATE("'",成績管理表!$D$9,$L$39,"'!",$P$39)),$P$40,FALSE)&amp;"","")</f>
        <v/>
      </c>
      <c r="Q73" s="417" t="str">
        <f ca="1">IFERROR(VLOOKUP($B73,INDIRECT(CONCATENATE("'",成績管理表!$D$9,$L$39,"'!",$P$39)),$Q$40,FALSE)&amp;"","")</f>
        <v/>
      </c>
      <c r="R73" s="417"/>
      <c r="S73" s="133" t="str">
        <f ca="1">IFERROR(VLOOKUP($B73,INDIRECT(CONCATENATE("'",成績管理表!$D$9,$L$39,"'!",$P$39)),$S$40,FALSE),"")</f>
        <v/>
      </c>
      <c r="T73" s="111"/>
      <c r="U73" s="191" t="str">
        <f t="shared" si="128"/>
        <v/>
      </c>
      <c r="V73" s="134" t="str">
        <f ca="1">IFERROR(VLOOKUP($B73,INDIRECT(CONCATENATE("'",成績管理表!$D$9,$L$39,"'!",$P$39)),$V$40,FALSE)&amp;"","")</f>
        <v/>
      </c>
      <c r="W73" s="301" t="str">
        <f t="shared" ca="1" si="129"/>
        <v/>
      </c>
      <c r="X73" s="301" t="str">
        <f t="shared" ca="1" si="130"/>
        <v/>
      </c>
      <c r="Y73" s="301" t="str">
        <f t="shared" ca="1" si="131"/>
        <v/>
      </c>
      <c r="Z73" s="417" t="str">
        <f t="shared" ca="1" si="132"/>
        <v/>
      </c>
      <c r="AA73" s="417"/>
      <c r="AB73" s="418" t="str">
        <f t="shared" ca="1" si="133"/>
        <v/>
      </c>
      <c r="AC73" s="418"/>
      <c r="AD73" s="419"/>
      <c r="AE73" s="274" t="str">
        <f t="shared" ca="1" si="134"/>
        <v/>
      </c>
      <c r="AF73" s="300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00" t="b">
        <f t="shared" ca="1" si="135"/>
        <v>1</v>
      </c>
      <c r="AH73" s="131" t="b">
        <f t="shared" ca="1" si="136"/>
        <v>1</v>
      </c>
    </row>
    <row r="74" spans="2:35" ht="6.75" customHeight="1" x14ac:dyDescent="0.4">
      <c r="B74" s="291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291"/>
      <c r="AA74" s="291"/>
      <c r="AB74" s="291"/>
      <c r="AC74" s="291"/>
      <c r="AD74" s="291"/>
      <c r="AE74" s="291"/>
      <c r="AF74" s="291"/>
      <c r="AG74" s="291"/>
      <c r="AH74" s="291"/>
    </row>
  </sheetData>
  <sheetProtection algorithmName="SHA-512" hashValue="e4NhSLJcK3giOQFr3XawB7lMLSD+9EnE/IyeySPGIoc8Hk6GVPeEtqwPVX5M4qjEWWVhsZf4Nd7J2R96qIbnHQ==" saltValue="taLpGKEZFgflhmrvkQKw/w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T39:U39"/>
    <mergeCell ref="V39:W39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48" priority="4">
      <formula>$AG44=FALSE</formula>
    </cfRule>
  </conditionalFormatting>
  <conditionalFormatting sqref="D9:R9 D14:R14 D19:R19 D24:R24 D29:R29">
    <cfRule type="expression" dxfId="47" priority="3">
      <formula>F10="重複あり"</formula>
    </cfRule>
  </conditionalFormatting>
  <conditionalFormatting sqref="D6:R8 D11:R13 D16:R18 D21:R23 D26:R28">
    <cfRule type="expression" dxfId="46" priority="2">
      <formula>F10="重複あり"</formula>
    </cfRule>
  </conditionalFormatting>
  <conditionalFormatting sqref="X44:Y73">
    <cfRule type="expression" dxfId="45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4E1CA50F-DB0D-4CF9-894F-41F0C2CA9E0B}">
      <formula1>"秀,優,良,可,不可"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56D59BF1-A6F2-444E-8F23-01AFEC99E818}"/>
    <dataValidation allowBlank="1" showInputMessage="1" showErrorMessage="1" promptTitle="【受講年度】を入力してください" prompt="【受講年度】に応じてデータベース照合が行われます．" sqref="B36:C36" xr:uid="{EAF4CDE5-1EFD-489A-A726-F27C2077EAC7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7050A-B2DD-40DA-9CC1-B66179E1E767}">
  <sheetPr>
    <tabColor theme="8" tint="0.79998168889431442"/>
  </sheetPr>
  <dimension ref="A1:AK74"/>
  <sheetViews>
    <sheetView zoomScale="84" zoomScaleNormal="85" workbookViewId="0">
      <selection activeCell="B44" sqref="B44:E59"/>
    </sheetView>
  </sheetViews>
  <sheetFormatPr defaultColWidth="0" defaultRowHeight="0" customHeight="1" zeroHeight="1" x14ac:dyDescent="0.4"/>
  <cols>
    <col min="1" max="1" width="1.25" style="291" customWidth="1"/>
    <col min="2" max="30" width="8.625" style="95" customWidth="1"/>
    <col min="31" max="34" width="11.25" style="95" hidden="1" customWidth="1"/>
    <col min="35" max="35" width="1.25" style="291" customWidth="1"/>
    <col min="36" max="36" width="8.625" style="275" hidden="1" customWidth="1"/>
    <col min="37" max="37" width="9.125" style="275" hidden="1" customWidth="1"/>
    <col min="38" max="16384" width="8.625" style="275" hidden="1"/>
  </cols>
  <sheetData>
    <row r="1" spans="1:35" ht="7.5" customHeight="1" x14ac:dyDescent="0.4"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</row>
    <row r="2" spans="1:35" s="276" customFormat="1" ht="30" customHeight="1" x14ac:dyDescent="0.4">
      <c r="A2" s="70"/>
      <c r="B2" s="524" t="str">
        <f ca="1">"　"&amp;RIGHT(CELL("filename",A1),LEN(CELL("filename",A1))-FIND("]",CELL("filename",A1)))&amp;"　時間割表"</f>
        <v>　２年秋　時間割表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299"/>
      <c r="AD2" s="70"/>
      <c r="AE2" s="70"/>
      <c r="AF2" s="70"/>
      <c r="AG2" s="70"/>
      <c r="AH2" s="70"/>
      <c r="AI2" s="70"/>
    </row>
    <row r="3" spans="1:35" s="276" customFormat="1" ht="18.95" customHeight="1" x14ac:dyDescent="0.4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211" t="s">
        <v>707</v>
      </c>
      <c r="AA3" s="480">
        <f ca="1">NOW()</f>
        <v>43958.619198726854</v>
      </c>
      <c r="AB3" s="480"/>
      <c r="AC3" s="299"/>
      <c r="AD3" s="70"/>
      <c r="AE3" s="70"/>
      <c r="AF3" s="70"/>
      <c r="AG3" s="70"/>
      <c r="AH3" s="70"/>
      <c r="AI3" s="70"/>
    </row>
    <row r="4" spans="1:35" s="276" customFormat="1" ht="18.95" customHeight="1" thickBot="1" x14ac:dyDescent="0.4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211"/>
      <c r="AB4" s="299"/>
      <c r="AC4" s="299"/>
      <c r="AD4" s="70"/>
      <c r="AE4" s="70"/>
      <c r="AF4" s="70"/>
      <c r="AG4" s="70"/>
      <c r="AH4" s="70"/>
      <c r="AI4" s="70"/>
    </row>
    <row r="5" spans="1:35" s="277" customFormat="1" ht="18.95" customHeight="1" thickBot="1" x14ac:dyDescent="0.45">
      <c r="A5" s="68"/>
      <c r="B5" s="525"/>
      <c r="C5" s="526"/>
      <c r="D5" s="527" t="s">
        <v>988</v>
      </c>
      <c r="E5" s="528"/>
      <c r="F5" s="529"/>
      <c r="G5" s="527" t="s">
        <v>989</v>
      </c>
      <c r="H5" s="528"/>
      <c r="I5" s="529"/>
      <c r="J5" s="527" t="s">
        <v>990</v>
      </c>
      <c r="K5" s="528"/>
      <c r="L5" s="529"/>
      <c r="M5" s="527" t="s">
        <v>991</v>
      </c>
      <c r="N5" s="528"/>
      <c r="O5" s="529"/>
      <c r="P5" s="527" t="s">
        <v>992</v>
      </c>
      <c r="Q5" s="528"/>
      <c r="R5" s="529"/>
      <c r="S5" s="71"/>
      <c r="T5" s="530" t="s">
        <v>987</v>
      </c>
      <c r="U5" s="531"/>
      <c r="V5" s="532"/>
      <c r="W5" s="530" t="s">
        <v>2189</v>
      </c>
      <c r="X5" s="531"/>
      <c r="Y5" s="532"/>
      <c r="Z5" s="68"/>
      <c r="AA5" s="68"/>
      <c r="AB5" s="68"/>
      <c r="AC5" s="68"/>
      <c r="AD5" s="68"/>
      <c r="AE5" s="112"/>
      <c r="AF5" s="112"/>
      <c r="AG5" s="112"/>
      <c r="AH5" s="119"/>
      <c r="AI5" s="68"/>
    </row>
    <row r="6" spans="1:35" s="278" customFormat="1" ht="18.95" customHeight="1" x14ac:dyDescent="0.4">
      <c r="A6" s="72"/>
      <c r="B6" s="522">
        <v>1</v>
      </c>
      <c r="C6" s="523"/>
      <c r="D6" s="506" t="str">
        <f ca="1">IFERROR(IF(F10="ターム",INDIRECT($D$42&amp;D10)&amp;CHAR(10)&amp;INDIRECT($D$42&amp;E10),INDIRECT($D$42&amp;D10)),"")</f>
        <v/>
      </c>
      <c r="E6" s="507"/>
      <c r="F6" s="508"/>
      <c r="G6" s="506" t="str">
        <f t="shared" ref="G6" ca="1" si="0">IFERROR(IF(I10="ターム",INDIRECT($D$42&amp;G10)&amp;CHAR(10)&amp;INDIRECT($D$42&amp;H10),INDIRECT($D$42&amp;G10)),"")</f>
        <v/>
      </c>
      <c r="H6" s="507"/>
      <c r="I6" s="508"/>
      <c r="J6" s="506" t="str">
        <f t="shared" ref="J6" ca="1" si="1">IFERROR(IF(L10="ターム",INDIRECT($D$42&amp;J10)&amp;CHAR(10)&amp;INDIRECT($D$42&amp;K10),INDIRECT($D$42&amp;J10)),"")</f>
        <v/>
      </c>
      <c r="K6" s="507"/>
      <c r="L6" s="508"/>
      <c r="M6" s="506" t="str">
        <f t="shared" ref="M6" ca="1" si="2">IFERROR(IF(O10="ターム",INDIRECT($D$42&amp;M10)&amp;CHAR(10)&amp;INDIRECT($D$42&amp;N10),INDIRECT($D$42&amp;M10)),"")</f>
        <v/>
      </c>
      <c r="N6" s="507"/>
      <c r="O6" s="508"/>
      <c r="P6" s="506" t="str">
        <f t="shared" ref="P6" ca="1" si="3">IFERROR(IF(R10="ターム",INDIRECT($D$42&amp;P10)&amp;CHAR(10)&amp;INDIRECT($D$42&amp;Q10),INDIRECT($D$42&amp;P10)),"")</f>
        <v/>
      </c>
      <c r="Q6" s="507"/>
      <c r="R6" s="508"/>
      <c r="S6" s="72"/>
      <c r="T6" s="506" t="str">
        <f ca="1">IFERROR(IF(V10="ターム",INDIRECT($D$42&amp;T10)&amp;CHAR(10)&amp;INDIRECT($D$42&amp;U10),INDIRECT($D$42&amp;T10)),"")</f>
        <v/>
      </c>
      <c r="U6" s="507"/>
      <c r="V6" s="508"/>
      <c r="W6" s="506" t="str">
        <f ca="1">IFERROR(IF(Y10="ターム",INDIRECT($D$42&amp;W10)&amp;CHAR(10)&amp;INDIRECT($D$42&amp;X10),INDIRECT($D$42&amp;W10)),"")</f>
        <v/>
      </c>
      <c r="X6" s="507"/>
      <c r="Y6" s="508"/>
      <c r="Z6" s="72"/>
      <c r="AA6" s="72"/>
      <c r="AB6" s="72"/>
      <c r="AC6" s="72"/>
      <c r="AD6" s="72"/>
      <c r="AE6" s="113"/>
      <c r="AF6" s="113"/>
      <c r="AG6" s="113"/>
      <c r="AH6" s="358"/>
      <c r="AI6" s="72"/>
    </row>
    <row r="7" spans="1:35" s="278" customFormat="1" ht="18.95" customHeight="1" x14ac:dyDescent="0.4">
      <c r="A7" s="72"/>
      <c r="B7" s="502"/>
      <c r="C7" s="503"/>
      <c r="D7" s="509"/>
      <c r="E7" s="510"/>
      <c r="F7" s="511"/>
      <c r="G7" s="509"/>
      <c r="H7" s="510"/>
      <c r="I7" s="511"/>
      <c r="J7" s="509"/>
      <c r="K7" s="510"/>
      <c r="L7" s="511"/>
      <c r="M7" s="509"/>
      <c r="N7" s="510"/>
      <c r="O7" s="511"/>
      <c r="P7" s="509"/>
      <c r="Q7" s="510"/>
      <c r="R7" s="511"/>
      <c r="S7" s="72"/>
      <c r="T7" s="509"/>
      <c r="U7" s="510"/>
      <c r="V7" s="511"/>
      <c r="W7" s="509"/>
      <c r="X7" s="510"/>
      <c r="Y7" s="511"/>
      <c r="Z7" s="72"/>
      <c r="AA7" s="72"/>
      <c r="AB7" s="72"/>
      <c r="AC7" s="72"/>
      <c r="AD7" s="72"/>
      <c r="AE7" s="113"/>
      <c r="AF7" s="113"/>
      <c r="AG7" s="113"/>
      <c r="AH7" s="358"/>
      <c r="AI7" s="72"/>
    </row>
    <row r="8" spans="1:35" s="279" customFormat="1" ht="18.95" customHeight="1" x14ac:dyDescent="0.4">
      <c r="A8" s="114"/>
      <c r="B8" s="504"/>
      <c r="C8" s="505"/>
      <c r="D8" s="509"/>
      <c r="E8" s="510"/>
      <c r="F8" s="511"/>
      <c r="G8" s="509"/>
      <c r="H8" s="510"/>
      <c r="I8" s="511"/>
      <c r="J8" s="509"/>
      <c r="K8" s="510"/>
      <c r="L8" s="511"/>
      <c r="M8" s="509"/>
      <c r="N8" s="510"/>
      <c r="O8" s="511"/>
      <c r="P8" s="509"/>
      <c r="Q8" s="510"/>
      <c r="R8" s="511"/>
      <c r="S8" s="114"/>
      <c r="T8" s="509"/>
      <c r="U8" s="510"/>
      <c r="V8" s="511"/>
      <c r="W8" s="509"/>
      <c r="X8" s="510"/>
      <c r="Y8" s="511"/>
      <c r="Z8" s="114"/>
      <c r="AA8" s="114"/>
      <c r="AB8" s="114"/>
      <c r="AC8" s="114"/>
      <c r="AD8" s="114"/>
      <c r="AE8" s="115"/>
      <c r="AF8" s="115"/>
      <c r="AG8" s="115"/>
      <c r="AH8" s="359"/>
      <c r="AI8" s="114"/>
    </row>
    <row r="9" spans="1:35" s="278" customFormat="1" ht="18.95" customHeight="1" thickBot="1" x14ac:dyDescent="0.45">
      <c r="A9" s="72"/>
      <c r="B9" s="520" t="s">
        <v>982</v>
      </c>
      <c r="C9" s="521"/>
      <c r="D9" s="497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8"/>
      <c r="F9" s="499"/>
      <c r="G9" s="497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8"/>
      <c r="I9" s="499"/>
      <c r="J9" s="497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8"/>
      <c r="L9" s="499"/>
      <c r="M9" s="497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8"/>
      <c r="O9" s="499"/>
      <c r="P9" s="497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8"/>
      <c r="R9" s="499"/>
      <c r="S9" s="72"/>
      <c r="T9" s="497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8"/>
      <c r="V9" s="499"/>
      <c r="W9" s="497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8"/>
      <c r="Y9" s="499"/>
      <c r="Z9" s="72"/>
      <c r="AA9" s="72"/>
      <c r="AB9" s="72"/>
      <c r="AC9" s="72"/>
      <c r="AD9" s="72"/>
      <c r="AE9" s="113"/>
      <c r="AF9" s="113"/>
      <c r="AG9" s="113"/>
      <c r="AH9" s="358"/>
      <c r="AI9" s="72"/>
    </row>
    <row r="10" spans="1:35" s="278" customFormat="1" ht="18.95" hidden="1" customHeight="1" thickBot="1" x14ac:dyDescent="0.45">
      <c r="A10" s="72"/>
      <c r="B10" s="116" t="s">
        <v>2180</v>
      </c>
      <c r="C10" s="117" t="s">
        <v>2181</v>
      </c>
      <c r="D10" s="209" t="str">
        <f ca="1">IFERROR($AF$39+MATCH("*"&amp;D$5&amp;$B6&amp;"-1"&amp;"*",INDIRECT("$"&amp;$W$42&amp;$AF$39&amp;":"&amp;$W$42&amp;$AF$40),0)-1,"ー")</f>
        <v>ー</v>
      </c>
      <c r="E10" s="216" t="str">
        <f ca="1">IFERROR($AF$39+MATCH("*"&amp;D$5&amp;$B6&amp;"-2"&amp;"*",INDIRECT("$"&amp;$W$42&amp;$AF$39&amp;":"&amp;$W$42&amp;$AF$40),0)-1,"ー")</f>
        <v>ー</v>
      </c>
      <c r="F10" s="210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209" t="str">
        <f t="shared" ref="G10" ca="1" si="8">IFERROR($AF$39+MATCH("*"&amp;G$5&amp;$B6&amp;"-1"&amp;"*",INDIRECT("$"&amp;$W$42&amp;$AF$39&amp;":"&amp;$W$42&amp;$AF$40),0)-1,"ー")</f>
        <v>ー</v>
      </c>
      <c r="H10" s="216" t="str">
        <f t="shared" ref="H10" ca="1" si="9">IFERROR($AF$39+MATCH("*"&amp;G$5&amp;$B6&amp;"-2"&amp;"*",INDIRECT("$"&amp;$W$42&amp;$AF$39&amp;":"&amp;$W$42&amp;$AF$40),0)-1,"ー")</f>
        <v>ー</v>
      </c>
      <c r="I10" s="210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209" t="str">
        <f t="shared" ref="J10" ca="1" si="11">IFERROR($AF$39+MATCH("*"&amp;J$5&amp;$B6&amp;"-1"&amp;"*",INDIRECT("$"&amp;$W$42&amp;$AF$39&amp;":"&amp;$W$42&amp;$AF$40),0)-1,"ー")</f>
        <v>ー</v>
      </c>
      <c r="K10" s="216" t="str">
        <f t="shared" ref="K10" ca="1" si="12">IFERROR($AF$39+MATCH("*"&amp;J$5&amp;$B6&amp;"-2"&amp;"*",INDIRECT("$"&amp;$W$42&amp;$AF$39&amp;":"&amp;$W$42&amp;$AF$40),0)-1,"ー")</f>
        <v>ー</v>
      </c>
      <c r="L10" s="210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209" t="str">
        <f t="shared" ref="M10" ca="1" si="14">IFERROR($AF$39+MATCH("*"&amp;M$5&amp;$B6&amp;"-1"&amp;"*",INDIRECT("$"&amp;$W$42&amp;$AF$39&amp;":"&amp;$W$42&amp;$AF$40),0)-1,"ー")</f>
        <v>ー</v>
      </c>
      <c r="N10" s="216" t="str">
        <f t="shared" ref="N10" ca="1" si="15">IFERROR($AF$39+MATCH("*"&amp;M$5&amp;$B6&amp;"-2"&amp;"*",INDIRECT("$"&amp;$W$42&amp;$AF$39&amp;":"&amp;$W$42&amp;$AF$40),0)-1,"ー")</f>
        <v>ー</v>
      </c>
      <c r="O10" s="210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209" t="str">
        <f t="shared" ref="P10" ca="1" si="17">IFERROR($AF$39+MATCH("*"&amp;P$5&amp;$B6&amp;"-1"&amp;"*",INDIRECT("$"&amp;$W$42&amp;$AF$39&amp;":"&amp;$W$42&amp;$AF$40),0)-1,"ー")</f>
        <v>ー</v>
      </c>
      <c r="Q10" s="216" t="str">
        <f t="shared" ref="Q10" ca="1" si="18">IFERROR($AF$39+MATCH("*"&amp;P$5&amp;$B6&amp;"-2"&amp;"*",INDIRECT("$"&amp;$W$42&amp;$AF$39&amp;":"&amp;$W$42&amp;$AF$40),0)-1,"ー")</f>
        <v>ー</v>
      </c>
      <c r="R10" s="210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72"/>
      <c r="T10" s="209" t="str">
        <f ca="1">IFERROR($AF$39+MATCH(T$5&amp;"-"&amp;$B6,INDIRECT("$"&amp;$W$42&amp;$AF$39&amp;":"&amp;$W$42&amp;$AF$40),0)-1,"ー")</f>
        <v>ー</v>
      </c>
      <c r="U10" s="216" t="str">
        <f ca="1">IFERROR($AF$39+MATCH(T$5&amp;"-"&amp;(VALUE($B6)+5),INDIRECT("$"&amp;$W$42&amp;$AF$39&amp;":"&amp;$W$42&amp;$AF$40),0)-1,"ー")</f>
        <v>ー</v>
      </c>
      <c r="V10" s="210" t="str">
        <f ca="1">IF(U10="ー",
"重複なし",
IF(AND(T10&lt;&gt;"ー",U10&lt;&gt;"ー"),"ターム","重複あり")
)</f>
        <v>重複なし</v>
      </c>
      <c r="W10" s="209" t="str">
        <f ca="1">IFERROR($AF$39+MATCH(W$5&amp;"-"&amp;$B6,INDIRECT("$"&amp;$W$42&amp;$AF$39&amp;":"&amp;$W$42&amp;$AF$40),0)-1,"ー")</f>
        <v>ー</v>
      </c>
      <c r="X10" s="216" t="str">
        <f ca="1">IFERROR($AF$39+MATCH(W$5&amp;"-"&amp;(VALUE($B6)+5),INDIRECT("$"&amp;$W$42&amp;$AF$39&amp;":"&amp;$W$42&amp;$AF$40),0)-1,"ー")</f>
        <v>ー</v>
      </c>
      <c r="Y10" s="210" t="str">
        <f ca="1">IF(X10="ー",
"重複なし",
IF(AND(W10&lt;&gt;"ー",X10&lt;&gt;"ー"),"ターム","重複あり")
)</f>
        <v>重複なし</v>
      </c>
      <c r="Z10" s="72"/>
      <c r="AA10" s="72"/>
      <c r="AB10" s="72"/>
      <c r="AC10" s="72"/>
      <c r="AD10" s="72"/>
      <c r="AE10" s="113"/>
      <c r="AF10" s="113"/>
      <c r="AG10" s="113"/>
      <c r="AH10" s="358"/>
      <c r="AI10" s="72"/>
    </row>
    <row r="11" spans="1:35" s="278" customFormat="1" ht="18.95" customHeight="1" x14ac:dyDescent="0.4">
      <c r="A11" s="72"/>
      <c r="B11" s="500">
        <v>2</v>
      </c>
      <c r="C11" s="501"/>
      <c r="D11" s="506" t="str">
        <f t="shared" ref="D11" ca="1" si="20">IFERROR(IF(F15="ターム",INDIRECT($D$42&amp;D15)&amp;CHAR(10)&amp;INDIRECT($D$42&amp;E15),INDIRECT($D$42&amp;D15)),"")</f>
        <v/>
      </c>
      <c r="E11" s="507"/>
      <c r="F11" s="508"/>
      <c r="G11" s="506" t="str">
        <f t="shared" ref="G11" ca="1" si="21">IFERROR(IF(I15="ターム",INDIRECT($D$42&amp;G15)&amp;CHAR(10)&amp;INDIRECT($D$42&amp;H15),INDIRECT($D$42&amp;G15)),"")</f>
        <v/>
      </c>
      <c r="H11" s="507"/>
      <c r="I11" s="508"/>
      <c r="J11" s="506" t="str">
        <f t="shared" ref="J11" ca="1" si="22">IFERROR(IF(L15="ターム",INDIRECT($D$42&amp;J15)&amp;CHAR(10)&amp;INDIRECT($D$42&amp;K15),INDIRECT($D$42&amp;J15)),"")</f>
        <v/>
      </c>
      <c r="K11" s="507"/>
      <c r="L11" s="508"/>
      <c r="M11" s="506" t="str">
        <f t="shared" ref="M11" ca="1" si="23">IFERROR(IF(O15="ターム",INDIRECT($D$42&amp;M15)&amp;CHAR(10)&amp;INDIRECT($D$42&amp;N15),INDIRECT($D$42&amp;M15)),"")</f>
        <v/>
      </c>
      <c r="N11" s="507"/>
      <c r="O11" s="508"/>
      <c r="P11" s="506" t="str">
        <f t="shared" ref="P11" ca="1" si="24">IFERROR(IF(R15="ターム",INDIRECT($D$42&amp;P15)&amp;CHAR(10)&amp;INDIRECT($D$42&amp;Q15),INDIRECT($D$42&amp;P15)),"")</f>
        <v/>
      </c>
      <c r="Q11" s="507"/>
      <c r="R11" s="508"/>
      <c r="S11" s="72"/>
      <c r="T11" s="506" t="str">
        <f ca="1">IFERROR(IF(V15="ターム",INDIRECT($D$42&amp;T15)&amp;CHAR(10)&amp;INDIRECT($D$42&amp;U15),INDIRECT($D$42&amp;T15)),"")</f>
        <v/>
      </c>
      <c r="U11" s="507"/>
      <c r="V11" s="508"/>
      <c r="W11" s="506" t="str">
        <f t="shared" ref="W11" ca="1" si="25">IFERROR(IF(Y15="ターム",INDIRECT($D$42&amp;W15)&amp;CHAR(10)&amp;INDIRECT($D$42&amp;X15),INDIRECT($D$42&amp;W15)),"")</f>
        <v/>
      </c>
      <c r="X11" s="507"/>
      <c r="Y11" s="508"/>
      <c r="Z11" s="72"/>
      <c r="AA11" s="72"/>
      <c r="AB11" s="72"/>
      <c r="AC11" s="72"/>
      <c r="AD11" s="72"/>
      <c r="AE11" s="113"/>
      <c r="AF11" s="113"/>
      <c r="AG11" s="113"/>
      <c r="AH11" s="358"/>
      <c r="AI11" s="72"/>
    </row>
    <row r="12" spans="1:35" s="279" customFormat="1" ht="18.95" customHeight="1" x14ac:dyDescent="0.4">
      <c r="A12" s="114"/>
      <c r="B12" s="502"/>
      <c r="C12" s="503"/>
      <c r="D12" s="509"/>
      <c r="E12" s="510"/>
      <c r="F12" s="511"/>
      <c r="G12" s="509"/>
      <c r="H12" s="510"/>
      <c r="I12" s="511"/>
      <c r="J12" s="509"/>
      <c r="K12" s="510"/>
      <c r="L12" s="511"/>
      <c r="M12" s="509"/>
      <c r="N12" s="510"/>
      <c r="O12" s="511"/>
      <c r="P12" s="509"/>
      <c r="Q12" s="510"/>
      <c r="R12" s="511"/>
      <c r="S12" s="114"/>
      <c r="T12" s="509"/>
      <c r="U12" s="510"/>
      <c r="V12" s="511"/>
      <c r="W12" s="509"/>
      <c r="X12" s="510"/>
      <c r="Y12" s="511"/>
      <c r="Z12" s="114"/>
      <c r="AA12" s="114"/>
      <c r="AB12" s="114"/>
      <c r="AC12" s="114"/>
      <c r="AD12" s="114"/>
      <c r="AE12" s="115"/>
      <c r="AF12" s="115"/>
      <c r="AG12" s="115"/>
      <c r="AH12" s="359"/>
      <c r="AI12" s="114"/>
    </row>
    <row r="13" spans="1:35" s="278" customFormat="1" ht="18.95" customHeight="1" x14ac:dyDescent="0.4">
      <c r="A13" s="72"/>
      <c r="B13" s="504"/>
      <c r="C13" s="505"/>
      <c r="D13" s="509"/>
      <c r="E13" s="510"/>
      <c r="F13" s="511"/>
      <c r="G13" s="509"/>
      <c r="H13" s="510"/>
      <c r="I13" s="511"/>
      <c r="J13" s="509"/>
      <c r="K13" s="510"/>
      <c r="L13" s="511"/>
      <c r="M13" s="509"/>
      <c r="N13" s="510"/>
      <c r="O13" s="511"/>
      <c r="P13" s="509"/>
      <c r="Q13" s="510"/>
      <c r="R13" s="511"/>
      <c r="S13" s="72"/>
      <c r="T13" s="509"/>
      <c r="U13" s="510"/>
      <c r="V13" s="511"/>
      <c r="W13" s="509"/>
      <c r="X13" s="510"/>
      <c r="Y13" s="511"/>
      <c r="Z13" s="72"/>
      <c r="AA13" s="72"/>
      <c r="AB13" s="72"/>
      <c r="AC13" s="72"/>
      <c r="AD13" s="72"/>
      <c r="AE13" s="113"/>
      <c r="AF13" s="113"/>
      <c r="AG13" s="113"/>
      <c r="AH13" s="358"/>
      <c r="AI13" s="72"/>
    </row>
    <row r="14" spans="1:35" s="278" customFormat="1" ht="18.95" customHeight="1" thickBot="1" x14ac:dyDescent="0.45">
      <c r="A14" s="72"/>
      <c r="B14" s="495" t="s">
        <v>983</v>
      </c>
      <c r="C14" s="496"/>
      <c r="D14" s="497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8"/>
      <c r="F14" s="499"/>
      <c r="G14" s="497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8"/>
      <c r="I14" s="499"/>
      <c r="J14" s="497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8"/>
      <c r="L14" s="499"/>
      <c r="M14" s="497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8"/>
      <c r="O14" s="499"/>
      <c r="P14" s="497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8"/>
      <c r="R14" s="499"/>
      <c r="S14" s="72"/>
      <c r="T14" s="497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8"/>
      <c r="V14" s="499"/>
      <c r="W14" s="497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8"/>
      <c r="Y14" s="499"/>
      <c r="Z14" s="72"/>
      <c r="AA14" s="72"/>
      <c r="AB14" s="72"/>
      <c r="AC14" s="72"/>
      <c r="AD14" s="72"/>
      <c r="AE14" s="113"/>
      <c r="AF14" s="113"/>
      <c r="AG14" s="113"/>
      <c r="AH14" s="358"/>
      <c r="AI14" s="72"/>
    </row>
    <row r="15" spans="1:35" s="278" customFormat="1" ht="18.95" hidden="1" customHeight="1" thickBot="1" x14ac:dyDescent="0.45">
      <c r="A15" s="72"/>
      <c r="B15" s="116" t="s">
        <v>2180</v>
      </c>
      <c r="C15" s="117" t="s">
        <v>2181</v>
      </c>
      <c r="D15" s="209" t="str">
        <f t="shared" ref="D15" ca="1" si="31">IFERROR($AF$39+MATCH("*"&amp;D$5&amp;$B11&amp;"-1"&amp;"*",INDIRECT("$"&amp;$W$42&amp;$AF$39&amp;":"&amp;$W$42&amp;$AF$40),0)-1,"ー")</f>
        <v>ー</v>
      </c>
      <c r="E15" s="216" t="str">
        <f t="shared" ref="E15" ca="1" si="32">IFERROR($AF$39+MATCH("*"&amp;D$5&amp;$B11&amp;"-2"&amp;"*",INDIRECT("$"&amp;$W$42&amp;$AF$39&amp;":"&amp;$W$42&amp;$AF$40),0)-1,"ー")</f>
        <v>ー</v>
      </c>
      <c r="F15" s="210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209" t="str">
        <f t="shared" ref="G15:P15" ca="1" si="34">IFERROR($AF$39+MATCH("*"&amp;G$5&amp;$B11&amp;"-1"&amp;"*",INDIRECT("$"&amp;$W$42&amp;$AF$39&amp;":"&amp;$W$42&amp;$AF$40),0)-1,"ー")</f>
        <v>ー</v>
      </c>
      <c r="H15" s="216" t="str">
        <f t="shared" ref="H15:Q15" ca="1" si="35">IFERROR($AF$39+MATCH("*"&amp;G$5&amp;$B11&amp;"-2"&amp;"*",INDIRECT("$"&amp;$W$42&amp;$AF$39&amp;":"&amp;$W$42&amp;$AF$40),0)-1,"ー")</f>
        <v>ー</v>
      </c>
      <c r="I15" s="210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209" t="str">
        <f t="shared" ca="1" si="34"/>
        <v>ー</v>
      </c>
      <c r="K15" s="216" t="str">
        <f t="shared" ca="1" si="35"/>
        <v>ー</v>
      </c>
      <c r="L15" s="210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209" t="str">
        <f t="shared" ca="1" si="34"/>
        <v>ー</v>
      </c>
      <c r="N15" s="216" t="str">
        <f t="shared" ca="1" si="35"/>
        <v>ー</v>
      </c>
      <c r="O15" s="210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209" t="str">
        <f t="shared" ca="1" si="34"/>
        <v>ー</v>
      </c>
      <c r="Q15" s="216" t="str">
        <f t="shared" ca="1" si="35"/>
        <v>ー</v>
      </c>
      <c r="R15" s="210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72"/>
      <c r="T15" s="209" t="str">
        <f t="shared" ref="T15" ca="1" si="40">IFERROR($AF$39+MATCH(T$5&amp;"-"&amp;$B11,INDIRECT("$"&amp;$W$42&amp;$AF$39&amp;":"&amp;$W$42&amp;$AF$40),0)-1,"ー")</f>
        <v>ー</v>
      </c>
      <c r="U15" s="216" t="str">
        <f t="shared" ref="U15" ca="1" si="41">IFERROR($AF$39+MATCH(T$5&amp;"-"&amp;(VALUE($B11)+5),INDIRECT("$"&amp;$W$42&amp;$AF$39&amp;":"&amp;$W$42&amp;$AF$40),0)-1,"ー")</f>
        <v>ー</v>
      </c>
      <c r="V15" s="210" t="str">
        <f t="shared" ref="V15" ca="1" si="42">IF(U15="ー",
"重複なし",
IF(AND(T15&lt;&gt;"ー",U15&lt;&gt;"ー"),"ターム","重複あり")
)</f>
        <v>重複なし</v>
      </c>
      <c r="W15" s="209" t="str">
        <f t="shared" ref="W15" ca="1" si="43">IFERROR($AF$39+MATCH(W$5&amp;"-"&amp;$B11,INDIRECT("$"&amp;$W$42&amp;$AF$39&amp;":"&amp;$W$42&amp;$AF$40),0)-1,"ー")</f>
        <v>ー</v>
      </c>
      <c r="X15" s="216" t="str">
        <f t="shared" ref="X15" ca="1" si="44">IFERROR($AF$39+MATCH(W$5&amp;"-"&amp;(VALUE($B11)+5),INDIRECT("$"&amp;$W$42&amp;$AF$39&amp;":"&amp;$W$42&amp;$AF$40),0)-1,"ー")</f>
        <v>ー</v>
      </c>
      <c r="Y15" s="210" t="str">
        <f t="shared" ref="Y15" ca="1" si="45">IF(X15="ー",
"重複なし",
IF(AND(W15&lt;&gt;"ー",X15&lt;&gt;"ー"),"ターム","重複あり")
)</f>
        <v>重複なし</v>
      </c>
      <c r="Z15" s="72"/>
      <c r="AA15" s="72"/>
      <c r="AB15" s="72"/>
      <c r="AC15" s="72"/>
      <c r="AD15" s="72"/>
      <c r="AE15" s="113"/>
      <c r="AF15" s="113"/>
      <c r="AG15" s="113"/>
      <c r="AH15" s="358"/>
      <c r="AI15" s="72"/>
    </row>
    <row r="16" spans="1:35" s="279" customFormat="1" ht="18.95" customHeight="1" x14ac:dyDescent="0.4">
      <c r="A16" s="114"/>
      <c r="B16" s="500">
        <v>3</v>
      </c>
      <c r="C16" s="501"/>
      <c r="D16" s="506" t="str">
        <f t="shared" ref="D16" ca="1" si="46">IFERROR(IF(F20="ターム",INDIRECT($D$42&amp;D20)&amp;CHAR(10)&amp;INDIRECT($D$42&amp;E20),INDIRECT($D$42&amp;D20)),"")</f>
        <v/>
      </c>
      <c r="E16" s="507"/>
      <c r="F16" s="508"/>
      <c r="G16" s="506" t="str">
        <f t="shared" ref="G16" ca="1" si="47">IFERROR(IF(I20="ターム",INDIRECT($D$42&amp;G20)&amp;CHAR(10)&amp;INDIRECT($D$42&amp;H20),INDIRECT($D$42&amp;G20)),"")</f>
        <v/>
      </c>
      <c r="H16" s="507"/>
      <c r="I16" s="508"/>
      <c r="J16" s="506" t="str">
        <f t="shared" ref="J16" ca="1" si="48">IFERROR(IF(L20="ターム",INDIRECT($D$42&amp;J20)&amp;CHAR(10)&amp;INDIRECT($D$42&amp;K20),INDIRECT($D$42&amp;J20)),"")</f>
        <v/>
      </c>
      <c r="K16" s="507"/>
      <c r="L16" s="508"/>
      <c r="M16" s="506" t="str">
        <f t="shared" ref="M16" ca="1" si="49">IFERROR(IF(O20="ターム",INDIRECT($D$42&amp;M20)&amp;CHAR(10)&amp;INDIRECT($D$42&amp;N20),INDIRECT($D$42&amp;M20)),"")</f>
        <v/>
      </c>
      <c r="N16" s="507"/>
      <c r="O16" s="508"/>
      <c r="P16" s="506" t="str">
        <f t="shared" ref="P16" ca="1" si="50">IFERROR(IF(R20="ターム",INDIRECT($D$42&amp;P20)&amp;CHAR(10)&amp;INDIRECT($D$42&amp;Q20),INDIRECT($D$42&amp;P20)),"")</f>
        <v/>
      </c>
      <c r="Q16" s="507"/>
      <c r="R16" s="508"/>
      <c r="S16" s="114"/>
      <c r="T16" s="506" t="str">
        <f t="shared" ref="T16" ca="1" si="51">IFERROR(IF(V20="ターム",INDIRECT($D$42&amp;T20)&amp;CHAR(10)&amp;INDIRECT($D$42&amp;U20),INDIRECT($D$42&amp;T20)),"")</f>
        <v/>
      </c>
      <c r="U16" s="507"/>
      <c r="V16" s="508"/>
      <c r="W16" s="506" t="str">
        <f t="shared" ref="W16" ca="1" si="52">IFERROR(IF(Y20="ターム",INDIRECT($D$42&amp;W20)&amp;CHAR(10)&amp;INDIRECT($D$42&amp;X20),INDIRECT($D$42&amp;W20)),"")</f>
        <v/>
      </c>
      <c r="X16" s="507"/>
      <c r="Y16" s="508"/>
      <c r="Z16" s="114"/>
      <c r="AA16" s="114"/>
      <c r="AB16" s="114"/>
      <c r="AC16" s="114"/>
      <c r="AD16" s="114"/>
      <c r="AE16" s="115"/>
      <c r="AF16" s="115"/>
      <c r="AG16" s="115"/>
      <c r="AH16" s="359"/>
      <c r="AI16" s="114"/>
    </row>
    <row r="17" spans="1:35" s="278" customFormat="1" ht="18.95" customHeight="1" x14ac:dyDescent="0.4">
      <c r="A17" s="72"/>
      <c r="B17" s="502"/>
      <c r="C17" s="503"/>
      <c r="D17" s="509"/>
      <c r="E17" s="510"/>
      <c r="F17" s="511"/>
      <c r="G17" s="509"/>
      <c r="H17" s="510"/>
      <c r="I17" s="511"/>
      <c r="J17" s="509"/>
      <c r="K17" s="510"/>
      <c r="L17" s="511"/>
      <c r="M17" s="509"/>
      <c r="N17" s="510"/>
      <c r="O17" s="511"/>
      <c r="P17" s="509"/>
      <c r="Q17" s="510"/>
      <c r="R17" s="511"/>
      <c r="S17" s="72"/>
      <c r="T17" s="509"/>
      <c r="U17" s="510"/>
      <c r="V17" s="511"/>
      <c r="W17" s="509"/>
      <c r="X17" s="510"/>
      <c r="Y17" s="511"/>
      <c r="Z17" s="72"/>
      <c r="AA17" s="72"/>
      <c r="AB17" s="72"/>
      <c r="AC17" s="72"/>
      <c r="AD17" s="72"/>
      <c r="AE17" s="113"/>
      <c r="AF17" s="113"/>
      <c r="AG17" s="113"/>
      <c r="AH17" s="358"/>
      <c r="AI17" s="72"/>
    </row>
    <row r="18" spans="1:35" s="278" customFormat="1" ht="18.95" customHeight="1" x14ac:dyDescent="0.4">
      <c r="A18" s="72"/>
      <c r="B18" s="504"/>
      <c r="C18" s="505"/>
      <c r="D18" s="509"/>
      <c r="E18" s="510"/>
      <c r="F18" s="511"/>
      <c r="G18" s="509"/>
      <c r="H18" s="510"/>
      <c r="I18" s="511"/>
      <c r="J18" s="509"/>
      <c r="K18" s="510"/>
      <c r="L18" s="511"/>
      <c r="M18" s="509"/>
      <c r="N18" s="510"/>
      <c r="O18" s="511"/>
      <c r="P18" s="509"/>
      <c r="Q18" s="510"/>
      <c r="R18" s="511"/>
      <c r="S18" s="72"/>
      <c r="T18" s="509"/>
      <c r="U18" s="510"/>
      <c r="V18" s="511"/>
      <c r="W18" s="509"/>
      <c r="X18" s="510"/>
      <c r="Y18" s="511"/>
      <c r="Z18" s="72"/>
      <c r="AA18" s="72"/>
      <c r="AB18" s="72"/>
      <c r="AC18" s="72"/>
      <c r="AD18" s="72"/>
      <c r="AE18" s="113"/>
      <c r="AF18" s="113"/>
      <c r="AG18" s="113"/>
      <c r="AH18" s="358"/>
      <c r="AI18" s="72"/>
    </row>
    <row r="19" spans="1:35" s="279" customFormat="1" ht="18.95" customHeight="1" thickBot="1" x14ac:dyDescent="0.45">
      <c r="A19" s="114"/>
      <c r="B19" s="495" t="s">
        <v>984</v>
      </c>
      <c r="C19" s="496"/>
      <c r="D19" s="497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8"/>
      <c r="F19" s="499"/>
      <c r="G19" s="497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8"/>
      <c r="I19" s="499"/>
      <c r="J19" s="497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8"/>
      <c r="L19" s="499"/>
      <c r="M19" s="497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8"/>
      <c r="O19" s="499"/>
      <c r="P19" s="497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8"/>
      <c r="R19" s="499"/>
      <c r="S19" s="114"/>
      <c r="T19" s="497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8"/>
      <c r="V19" s="499"/>
      <c r="W19" s="497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8"/>
      <c r="Y19" s="499"/>
      <c r="Z19" s="114"/>
      <c r="AA19" s="114"/>
      <c r="AB19" s="114"/>
      <c r="AC19" s="114"/>
      <c r="AD19" s="114"/>
      <c r="AE19" s="115"/>
      <c r="AF19" s="115"/>
      <c r="AG19" s="115"/>
      <c r="AH19" s="359"/>
      <c r="AI19" s="114"/>
    </row>
    <row r="20" spans="1:35" s="278" customFormat="1" ht="18.95" hidden="1" customHeight="1" thickBot="1" x14ac:dyDescent="0.45">
      <c r="A20" s="72"/>
      <c r="B20" s="116" t="s">
        <v>2180</v>
      </c>
      <c r="C20" s="117" t="s">
        <v>2181</v>
      </c>
      <c r="D20" s="209" t="str">
        <f t="shared" ref="D20" ca="1" si="58">IFERROR($AF$39+MATCH("*"&amp;D$5&amp;$B16&amp;"-1"&amp;"*",INDIRECT("$"&amp;$W$42&amp;$AF$39&amp;":"&amp;$W$42&amp;$AF$40),0)-1,"ー")</f>
        <v>ー</v>
      </c>
      <c r="E20" s="216" t="str">
        <f t="shared" ref="E20" ca="1" si="59">IFERROR($AF$39+MATCH("*"&amp;D$5&amp;$B16&amp;"-2"&amp;"*",INDIRECT("$"&amp;$W$42&amp;$AF$39&amp;":"&amp;$W$42&amp;$AF$40),0)-1,"ー")</f>
        <v>ー</v>
      </c>
      <c r="F20" s="210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209" t="str">
        <f t="shared" ref="G20:P20" ca="1" si="61">IFERROR($AF$39+MATCH("*"&amp;G$5&amp;$B16&amp;"-1"&amp;"*",INDIRECT("$"&amp;$W$42&amp;$AF$39&amp;":"&amp;$W$42&amp;$AF$40),0)-1,"ー")</f>
        <v>ー</v>
      </c>
      <c r="H20" s="216" t="str">
        <f t="shared" ref="H20:Q20" ca="1" si="62">IFERROR($AF$39+MATCH("*"&amp;G$5&amp;$B16&amp;"-2"&amp;"*",INDIRECT("$"&amp;$W$42&amp;$AF$39&amp;":"&amp;$W$42&amp;$AF$40),0)-1,"ー")</f>
        <v>ー</v>
      </c>
      <c r="I20" s="210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209" t="str">
        <f t="shared" ca="1" si="61"/>
        <v>ー</v>
      </c>
      <c r="K20" s="216" t="str">
        <f t="shared" ca="1" si="62"/>
        <v>ー</v>
      </c>
      <c r="L20" s="210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209" t="str">
        <f t="shared" ca="1" si="61"/>
        <v>ー</v>
      </c>
      <c r="N20" s="216" t="str">
        <f t="shared" ca="1" si="62"/>
        <v>ー</v>
      </c>
      <c r="O20" s="210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209" t="str">
        <f t="shared" ca="1" si="61"/>
        <v>ー</v>
      </c>
      <c r="Q20" s="216" t="str">
        <f t="shared" ca="1" si="62"/>
        <v>ー</v>
      </c>
      <c r="R20" s="210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72"/>
      <c r="T20" s="209" t="str">
        <f t="shared" ref="T20" ca="1" si="67">IFERROR($AF$39+MATCH(T$5&amp;"-"&amp;$B16,INDIRECT("$"&amp;$W$42&amp;$AF$39&amp;":"&amp;$W$42&amp;$AF$40),0)-1,"ー")</f>
        <v>ー</v>
      </c>
      <c r="U20" s="216" t="str">
        <f t="shared" ref="U20" ca="1" si="68">IFERROR($AF$39+MATCH(T$5&amp;"-"&amp;(VALUE($B16)+5),INDIRECT("$"&amp;$W$42&amp;$AF$39&amp;":"&amp;$W$42&amp;$AF$40),0)-1,"ー")</f>
        <v>ー</v>
      </c>
      <c r="V20" s="210" t="str">
        <f t="shared" ref="V20" ca="1" si="69">IF(U20="ー",
"重複なし",
IF(AND(T20&lt;&gt;"ー",U20&lt;&gt;"ー"),"ターム","重複あり")
)</f>
        <v>重複なし</v>
      </c>
      <c r="W20" s="209" t="str">
        <f t="shared" ref="W20" ca="1" si="70">IFERROR($AF$39+MATCH(W$5&amp;"-"&amp;$B16,INDIRECT("$"&amp;$W$42&amp;$AF$39&amp;":"&amp;$W$42&amp;$AF$40),0)-1,"ー")</f>
        <v>ー</v>
      </c>
      <c r="X20" s="216" t="str">
        <f t="shared" ref="X20" ca="1" si="71">IFERROR($AF$39+MATCH(W$5&amp;"-"&amp;(VALUE($B16)+5),INDIRECT("$"&amp;$W$42&amp;$AF$39&amp;":"&amp;$W$42&amp;$AF$40),0)-1,"ー")</f>
        <v>ー</v>
      </c>
      <c r="Y20" s="210" t="str">
        <f t="shared" ref="Y20" ca="1" si="72">IF(X20="ー",
"重複なし",
IF(AND(W20&lt;&gt;"ー",X20&lt;&gt;"ー"),"ターム","重複あり")
)</f>
        <v>重複なし</v>
      </c>
      <c r="Z20" s="72"/>
      <c r="AA20" s="72"/>
      <c r="AB20" s="72"/>
      <c r="AC20" s="72"/>
      <c r="AD20" s="72"/>
      <c r="AE20" s="113"/>
      <c r="AF20" s="113"/>
      <c r="AG20" s="113"/>
      <c r="AH20" s="358"/>
      <c r="AI20" s="72"/>
    </row>
    <row r="21" spans="1:35" s="278" customFormat="1" ht="18.95" customHeight="1" x14ac:dyDescent="0.4">
      <c r="A21" s="72"/>
      <c r="B21" s="514">
        <v>4</v>
      </c>
      <c r="C21" s="515"/>
      <c r="D21" s="506" t="str">
        <f t="shared" ref="D21" ca="1" si="73">IFERROR(IF(F25="ターム",INDIRECT($D$42&amp;D25)&amp;CHAR(10)&amp;INDIRECT($D$42&amp;E25),INDIRECT($D$42&amp;D25)),"")</f>
        <v/>
      </c>
      <c r="E21" s="507"/>
      <c r="F21" s="508"/>
      <c r="G21" s="506" t="str">
        <f t="shared" ref="G21" ca="1" si="74">IFERROR(IF(I25="ターム",INDIRECT($D$42&amp;G25)&amp;CHAR(10)&amp;INDIRECT($D$42&amp;H25),INDIRECT($D$42&amp;G25)),"")</f>
        <v/>
      </c>
      <c r="H21" s="507"/>
      <c r="I21" s="508"/>
      <c r="J21" s="506" t="str">
        <f t="shared" ref="J21" ca="1" si="75">IFERROR(IF(L25="ターム",INDIRECT($D$42&amp;J25)&amp;CHAR(10)&amp;INDIRECT($D$42&amp;K25),INDIRECT($D$42&amp;J25)),"")</f>
        <v/>
      </c>
      <c r="K21" s="507"/>
      <c r="L21" s="508"/>
      <c r="M21" s="506" t="str">
        <f t="shared" ref="M21" ca="1" si="76">IFERROR(IF(O25="ターム",INDIRECT($D$42&amp;M25)&amp;CHAR(10)&amp;INDIRECT($D$42&amp;N25),INDIRECT($D$42&amp;M25)),"")</f>
        <v/>
      </c>
      <c r="N21" s="507"/>
      <c r="O21" s="508"/>
      <c r="P21" s="506" t="str">
        <f t="shared" ref="P21" ca="1" si="77">IFERROR(IF(R25="ターム",INDIRECT($D$42&amp;P25)&amp;CHAR(10)&amp;INDIRECT($D$42&amp;Q25),INDIRECT($D$42&amp;P25)),"")</f>
        <v/>
      </c>
      <c r="Q21" s="507"/>
      <c r="R21" s="508"/>
      <c r="S21" s="72"/>
      <c r="T21" s="506" t="str">
        <f t="shared" ref="T21" ca="1" si="78">IFERROR(IF(V25="ターム",INDIRECT($D$42&amp;T25)&amp;CHAR(10)&amp;INDIRECT($D$42&amp;U25),INDIRECT($D$42&amp;T25)),"")</f>
        <v/>
      </c>
      <c r="U21" s="507"/>
      <c r="V21" s="508"/>
      <c r="W21" s="506" t="str">
        <f t="shared" ref="W21" ca="1" si="79">IFERROR(IF(Y25="ターム",INDIRECT($D$42&amp;W25)&amp;CHAR(10)&amp;INDIRECT($D$42&amp;X25),INDIRECT($D$42&amp;W25)),"")</f>
        <v/>
      </c>
      <c r="X21" s="507"/>
      <c r="Y21" s="508"/>
      <c r="Z21" s="72"/>
      <c r="AA21" s="72"/>
      <c r="AB21" s="72"/>
      <c r="AC21" s="72"/>
      <c r="AD21" s="72"/>
      <c r="AE21" s="113"/>
      <c r="AF21" s="113"/>
      <c r="AG21" s="113"/>
      <c r="AH21" s="358"/>
      <c r="AI21" s="72"/>
    </row>
    <row r="22" spans="1:35" s="278" customFormat="1" ht="18.95" customHeight="1" thickBot="1" x14ac:dyDescent="0.45">
      <c r="A22" s="72"/>
      <c r="B22" s="516"/>
      <c r="C22" s="517"/>
      <c r="D22" s="509"/>
      <c r="E22" s="510"/>
      <c r="F22" s="511"/>
      <c r="G22" s="509"/>
      <c r="H22" s="510"/>
      <c r="I22" s="511"/>
      <c r="J22" s="509"/>
      <c r="K22" s="510"/>
      <c r="L22" s="511"/>
      <c r="M22" s="509"/>
      <c r="N22" s="510"/>
      <c r="O22" s="511"/>
      <c r="P22" s="509"/>
      <c r="Q22" s="510"/>
      <c r="R22" s="511"/>
      <c r="S22" s="72"/>
      <c r="T22" s="509"/>
      <c r="U22" s="510"/>
      <c r="V22" s="511"/>
      <c r="W22" s="509"/>
      <c r="X22" s="510"/>
      <c r="Y22" s="511"/>
      <c r="Z22" s="72"/>
      <c r="AA22" s="72"/>
      <c r="AB22" s="72"/>
      <c r="AC22" s="72"/>
      <c r="AD22" s="72"/>
      <c r="AE22" s="113"/>
      <c r="AF22" s="113"/>
      <c r="AG22" s="113"/>
      <c r="AH22" s="358"/>
      <c r="AI22" s="72"/>
    </row>
    <row r="23" spans="1:35" s="279" customFormat="1" ht="18.95" customHeight="1" x14ac:dyDescent="0.4">
      <c r="A23" s="114"/>
      <c r="B23" s="518"/>
      <c r="C23" s="519"/>
      <c r="D23" s="509"/>
      <c r="E23" s="510"/>
      <c r="F23" s="511"/>
      <c r="G23" s="509"/>
      <c r="H23" s="510"/>
      <c r="I23" s="511"/>
      <c r="J23" s="509"/>
      <c r="K23" s="510"/>
      <c r="L23" s="511"/>
      <c r="M23" s="509"/>
      <c r="N23" s="510"/>
      <c r="O23" s="511"/>
      <c r="P23" s="509"/>
      <c r="Q23" s="510"/>
      <c r="R23" s="511"/>
      <c r="S23" s="114"/>
      <c r="T23" s="509"/>
      <c r="U23" s="510"/>
      <c r="V23" s="511"/>
      <c r="W23" s="509"/>
      <c r="X23" s="510"/>
      <c r="Y23" s="511"/>
      <c r="Z23" s="114"/>
      <c r="AA23" s="512" t="s">
        <v>998</v>
      </c>
      <c r="AB23" s="513"/>
      <c r="AC23" s="114"/>
      <c r="AD23" s="114"/>
      <c r="AE23" s="115"/>
      <c r="AF23" s="115"/>
      <c r="AG23" s="115"/>
      <c r="AH23" s="359"/>
      <c r="AI23" s="114"/>
    </row>
    <row r="24" spans="1:35" s="279" customFormat="1" ht="18.95" customHeight="1" thickBot="1" x14ac:dyDescent="0.45">
      <c r="A24" s="114"/>
      <c r="B24" s="495" t="s">
        <v>985</v>
      </c>
      <c r="C24" s="496"/>
      <c r="D24" s="497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8"/>
      <c r="F24" s="499"/>
      <c r="G24" s="497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8"/>
      <c r="I24" s="499"/>
      <c r="J24" s="497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8"/>
      <c r="L24" s="499"/>
      <c r="M24" s="497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8"/>
      <c r="O24" s="499"/>
      <c r="P24" s="497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8"/>
      <c r="R24" s="499"/>
      <c r="S24" s="114"/>
      <c r="T24" s="497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8"/>
      <c r="V24" s="499"/>
      <c r="W24" s="497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8"/>
      <c r="Y24" s="499"/>
      <c r="Z24" s="114"/>
      <c r="AA24" s="491">
        <f ca="1">SUM(INDIRECT($M$42&amp;$AF$39&amp;":"&amp;$M$42&amp;$AF$40))</f>
        <v>0</v>
      </c>
      <c r="AB24" s="492"/>
      <c r="AC24" s="114"/>
      <c r="AD24" s="114"/>
      <c r="AE24" s="115"/>
      <c r="AF24" s="115"/>
      <c r="AG24" s="115"/>
      <c r="AH24" s="359"/>
      <c r="AI24" s="114"/>
    </row>
    <row r="25" spans="1:35" s="278" customFormat="1" ht="18.95" hidden="1" customHeight="1" thickBot="1" x14ac:dyDescent="0.45">
      <c r="A25" s="72"/>
      <c r="B25" s="116" t="s">
        <v>2180</v>
      </c>
      <c r="C25" s="117" t="s">
        <v>2181</v>
      </c>
      <c r="D25" s="209" t="str">
        <f t="shared" ref="D25" ca="1" si="85">IFERROR($AF$39+MATCH("*"&amp;D$5&amp;$B21&amp;"-1"&amp;"*",INDIRECT("$"&amp;$W$42&amp;$AF$39&amp;":"&amp;$W$42&amp;$AF$40),0)-1,"ー")</f>
        <v>ー</v>
      </c>
      <c r="E25" s="216" t="str">
        <f t="shared" ref="E25" ca="1" si="86">IFERROR($AF$39+MATCH("*"&amp;D$5&amp;$B21&amp;"-2"&amp;"*",INDIRECT("$"&amp;$W$42&amp;$AF$39&amp;":"&amp;$W$42&amp;$AF$40),0)-1,"ー")</f>
        <v>ー</v>
      </c>
      <c r="F25" s="210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209" t="str">
        <f t="shared" ref="G25:P25" ca="1" si="88">IFERROR($AF$39+MATCH("*"&amp;G$5&amp;$B21&amp;"-1"&amp;"*",INDIRECT("$"&amp;$W$42&amp;$AF$39&amp;":"&amp;$W$42&amp;$AF$40),0)-1,"ー")</f>
        <v>ー</v>
      </c>
      <c r="H25" s="216" t="str">
        <f t="shared" ref="H25:Q25" ca="1" si="89">IFERROR($AF$39+MATCH("*"&amp;G$5&amp;$B21&amp;"-2"&amp;"*",INDIRECT("$"&amp;$W$42&amp;$AF$39&amp;":"&amp;$W$42&amp;$AF$40),0)-1,"ー")</f>
        <v>ー</v>
      </c>
      <c r="I25" s="210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209" t="str">
        <f t="shared" ca="1" si="88"/>
        <v>ー</v>
      </c>
      <c r="K25" s="216" t="str">
        <f t="shared" ca="1" si="89"/>
        <v>ー</v>
      </c>
      <c r="L25" s="210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209" t="str">
        <f t="shared" ca="1" si="88"/>
        <v>ー</v>
      </c>
      <c r="N25" s="216" t="str">
        <f t="shared" ca="1" si="89"/>
        <v>ー</v>
      </c>
      <c r="O25" s="210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209" t="str">
        <f t="shared" ca="1" si="88"/>
        <v>ー</v>
      </c>
      <c r="Q25" s="216" t="str">
        <f t="shared" ca="1" si="89"/>
        <v>ー</v>
      </c>
      <c r="R25" s="210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72"/>
      <c r="T25" s="209" t="str">
        <f t="shared" ref="T25" ca="1" si="94">IFERROR($AF$39+MATCH(T$5&amp;"-"&amp;$B21,INDIRECT("$"&amp;$W$42&amp;$AF$39&amp;":"&amp;$W$42&amp;$AF$40),0)-1,"ー")</f>
        <v>ー</v>
      </c>
      <c r="U25" s="216" t="str">
        <f t="shared" ref="U25" ca="1" si="95">IFERROR($AF$39+MATCH(T$5&amp;"-"&amp;(VALUE($B21)+5),INDIRECT("$"&amp;$W$42&amp;$AF$39&amp;":"&amp;$W$42&amp;$AF$40),0)-1,"ー")</f>
        <v>ー</v>
      </c>
      <c r="V25" s="210" t="str">
        <f t="shared" ref="V25" ca="1" si="96">IF(U25="ー",
"重複なし",
IF(AND(T25&lt;&gt;"ー",U25&lt;&gt;"ー"),"ターム","重複あり")
)</f>
        <v>重複なし</v>
      </c>
      <c r="W25" s="209" t="str">
        <f t="shared" ref="W25" ca="1" si="97">IFERROR($AF$39+MATCH(W$5&amp;"-"&amp;$B21,INDIRECT("$"&amp;$W$42&amp;$AF$39&amp;":"&amp;$W$42&amp;$AF$40),0)-1,"ー")</f>
        <v>ー</v>
      </c>
      <c r="X25" s="216" t="str">
        <f t="shared" ref="X25" ca="1" si="98">IFERROR($AF$39+MATCH(W$5&amp;"-"&amp;(VALUE($B21)+5),INDIRECT("$"&amp;$W$42&amp;$AF$39&amp;":"&amp;$W$42&amp;$AF$40),0)-1,"ー")</f>
        <v>ー</v>
      </c>
      <c r="Y25" s="210" t="str">
        <f t="shared" ref="Y25" ca="1" si="99">IF(X25="ー",
"重複なし",
IF(AND(W25&lt;&gt;"ー",X25&lt;&gt;"ー"),"ターム","重複あり")
)</f>
        <v>重複なし</v>
      </c>
      <c r="Z25" s="72"/>
      <c r="AA25" s="491"/>
      <c r="AB25" s="492"/>
      <c r="AC25" s="72"/>
      <c r="AD25" s="72"/>
      <c r="AE25" s="113"/>
      <c r="AF25" s="113"/>
      <c r="AG25" s="113"/>
      <c r="AH25" s="358"/>
      <c r="AI25" s="72"/>
    </row>
    <row r="26" spans="1:35" s="279" customFormat="1" ht="18.95" customHeight="1" thickBot="1" x14ac:dyDescent="0.45">
      <c r="A26" s="114"/>
      <c r="B26" s="500">
        <v>5</v>
      </c>
      <c r="C26" s="501"/>
      <c r="D26" s="506" t="str">
        <f t="shared" ref="D26" ca="1" si="100">IFERROR(IF(F30="ターム",INDIRECT($D$42&amp;D30)&amp;CHAR(10)&amp;INDIRECT($D$42&amp;E30),INDIRECT($D$42&amp;D30)),"")</f>
        <v/>
      </c>
      <c r="E26" s="507"/>
      <c r="F26" s="508"/>
      <c r="G26" s="506" t="str">
        <f t="shared" ref="G26" ca="1" si="101">IFERROR(IF(I30="ターム",INDIRECT($D$42&amp;G30)&amp;CHAR(10)&amp;INDIRECT($D$42&amp;H30),INDIRECT($D$42&amp;G30)),"")</f>
        <v/>
      </c>
      <c r="H26" s="507"/>
      <c r="I26" s="508"/>
      <c r="J26" s="506" t="str">
        <f t="shared" ref="J26" ca="1" si="102">IFERROR(IF(L30="ターム",INDIRECT($D$42&amp;J30)&amp;CHAR(10)&amp;INDIRECT($D$42&amp;K30),INDIRECT($D$42&amp;J30)),"")</f>
        <v/>
      </c>
      <c r="K26" s="507"/>
      <c r="L26" s="508"/>
      <c r="M26" s="506" t="str">
        <f t="shared" ref="M26" ca="1" si="103">IFERROR(IF(O30="ターム",INDIRECT($D$42&amp;M30)&amp;CHAR(10)&amp;INDIRECT($D$42&amp;N30),INDIRECT($D$42&amp;M30)),"")</f>
        <v/>
      </c>
      <c r="N26" s="507"/>
      <c r="O26" s="508"/>
      <c r="P26" s="506" t="str">
        <f t="shared" ref="P26" ca="1" si="104">IFERROR(IF(R30="ターム",INDIRECT($D$42&amp;P30)&amp;CHAR(10)&amp;INDIRECT($D$42&amp;Q30),INDIRECT($D$42&amp;P30)),"")</f>
        <v/>
      </c>
      <c r="Q26" s="507"/>
      <c r="R26" s="508"/>
      <c r="S26" s="114"/>
      <c r="T26" s="506" t="str">
        <f t="shared" ref="T26" ca="1" si="105">IFERROR(IF(V30="ターム",INDIRECT($D$42&amp;T30)&amp;CHAR(10)&amp;INDIRECT($D$42&amp;U30),INDIRECT($D$42&amp;T30)),"")</f>
        <v/>
      </c>
      <c r="U26" s="507"/>
      <c r="V26" s="508"/>
      <c r="W26" s="506" t="str">
        <f t="shared" ref="W26" ca="1" si="106">IFERROR(IF(Y30="ターム",INDIRECT($D$42&amp;W30)&amp;CHAR(10)&amp;INDIRECT($D$42&amp;X30),INDIRECT($D$42&amp;W30)),"")</f>
        <v/>
      </c>
      <c r="X26" s="507"/>
      <c r="Y26" s="508"/>
      <c r="Z26" s="114"/>
      <c r="AA26" s="493"/>
      <c r="AB26" s="494"/>
      <c r="AC26" s="114"/>
      <c r="AD26" s="114"/>
      <c r="AE26" s="115"/>
      <c r="AF26" s="115"/>
      <c r="AG26" s="115"/>
      <c r="AH26" s="359"/>
      <c r="AI26" s="114"/>
    </row>
    <row r="27" spans="1:35" s="279" customFormat="1" ht="18.95" customHeight="1" x14ac:dyDescent="0.4">
      <c r="A27" s="114"/>
      <c r="B27" s="502"/>
      <c r="C27" s="503"/>
      <c r="D27" s="509"/>
      <c r="E27" s="510"/>
      <c r="F27" s="511"/>
      <c r="G27" s="509"/>
      <c r="H27" s="510"/>
      <c r="I27" s="511"/>
      <c r="J27" s="509"/>
      <c r="K27" s="510"/>
      <c r="L27" s="511"/>
      <c r="M27" s="509"/>
      <c r="N27" s="510"/>
      <c r="O27" s="511"/>
      <c r="P27" s="509"/>
      <c r="Q27" s="510"/>
      <c r="R27" s="511"/>
      <c r="S27" s="114"/>
      <c r="T27" s="509"/>
      <c r="U27" s="510"/>
      <c r="V27" s="511"/>
      <c r="W27" s="509"/>
      <c r="X27" s="510"/>
      <c r="Y27" s="511"/>
      <c r="Z27" s="114"/>
      <c r="AA27" s="489" t="s">
        <v>999</v>
      </c>
      <c r="AB27" s="490"/>
      <c r="AC27" s="114"/>
      <c r="AD27" s="114"/>
      <c r="AE27" s="115"/>
      <c r="AF27" s="115"/>
      <c r="AG27" s="115"/>
      <c r="AH27" s="359"/>
      <c r="AI27" s="114"/>
    </row>
    <row r="28" spans="1:35" s="277" customFormat="1" ht="18.75" customHeight="1" x14ac:dyDescent="0.4">
      <c r="A28" s="68"/>
      <c r="B28" s="504"/>
      <c r="C28" s="505"/>
      <c r="D28" s="509"/>
      <c r="E28" s="510"/>
      <c r="F28" s="511"/>
      <c r="G28" s="509"/>
      <c r="H28" s="510"/>
      <c r="I28" s="511"/>
      <c r="J28" s="509"/>
      <c r="K28" s="510"/>
      <c r="L28" s="511"/>
      <c r="M28" s="509"/>
      <c r="N28" s="510"/>
      <c r="O28" s="511"/>
      <c r="P28" s="509"/>
      <c r="Q28" s="510"/>
      <c r="R28" s="511"/>
      <c r="S28" s="68"/>
      <c r="T28" s="509"/>
      <c r="U28" s="510"/>
      <c r="V28" s="511"/>
      <c r="W28" s="509"/>
      <c r="X28" s="510"/>
      <c r="Y28" s="511"/>
      <c r="Z28" s="68"/>
      <c r="AA28" s="491">
        <f ca="1">SUMIF(INDIRECT($N$42&amp;$AF$39&amp;":"&amp;$N$42&amp;$AF$40),"?",INDIRECT($M$42&amp;$AF$39&amp;":"&amp;$M$42&amp;$AF$40))</f>
        <v>0</v>
      </c>
      <c r="AB28" s="492"/>
      <c r="AC28" s="68"/>
      <c r="AD28" s="68"/>
      <c r="AE28" s="112"/>
      <c r="AF28" s="112"/>
      <c r="AG28" s="112"/>
      <c r="AH28" s="119"/>
      <c r="AI28" s="68"/>
    </row>
    <row r="29" spans="1:35" s="277" customFormat="1" ht="19.5" thickBot="1" x14ac:dyDescent="0.45">
      <c r="A29" s="68"/>
      <c r="B29" s="495" t="s">
        <v>986</v>
      </c>
      <c r="C29" s="496"/>
      <c r="D29" s="497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8"/>
      <c r="F29" s="499"/>
      <c r="G29" s="497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8"/>
      <c r="I29" s="499"/>
      <c r="J29" s="497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8"/>
      <c r="L29" s="499"/>
      <c r="M29" s="497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8"/>
      <c r="O29" s="499"/>
      <c r="P29" s="497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8"/>
      <c r="R29" s="499"/>
      <c r="S29" s="68"/>
      <c r="T29" s="497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8"/>
      <c r="V29" s="499"/>
      <c r="W29" s="497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8"/>
      <c r="Y29" s="499"/>
      <c r="Z29" s="68"/>
      <c r="AA29" s="493"/>
      <c r="AB29" s="494"/>
      <c r="AC29" s="68"/>
      <c r="AD29" s="68"/>
      <c r="AE29" s="112"/>
      <c r="AF29" s="112"/>
      <c r="AG29" s="112"/>
      <c r="AH29" s="119"/>
      <c r="AI29" s="68"/>
    </row>
    <row r="30" spans="1:35" s="278" customFormat="1" ht="19.5" hidden="1" thickBot="1" x14ac:dyDescent="0.45">
      <c r="A30" s="72"/>
      <c r="B30" s="116" t="s">
        <v>2180</v>
      </c>
      <c r="C30" s="117" t="s">
        <v>2181</v>
      </c>
      <c r="D30" s="207" t="str">
        <f t="shared" ref="D30" ca="1" si="112">IFERROR($AF$39+MATCH("*"&amp;D$5&amp;$B26&amp;"-1"&amp;"*",INDIRECT("$"&amp;$W$42&amp;$AF$39&amp;":"&amp;$W$42&amp;$AF$40),0)-1,"ー")</f>
        <v>ー</v>
      </c>
      <c r="E30" s="217" t="str">
        <f t="shared" ref="E30" ca="1" si="113">IFERROR($AF$39+MATCH("*"&amp;D$5&amp;$B26&amp;"-2"&amp;"*",INDIRECT("$"&amp;$W$42&amp;$AF$39&amp;":"&amp;$W$42&amp;$AF$40),0)-1,"ー")</f>
        <v>ー</v>
      </c>
      <c r="F30" s="208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207" t="str">
        <f t="shared" ref="G30:P30" ca="1" si="115">IFERROR($AF$39+MATCH("*"&amp;G$5&amp;$B26&amp;"-1"&amp;"*",INDIRECT("$"&amp;$W$42&amp;$AF$39&amp;":"&amp;$W$42&amp;$AF$40),0)-1,"ー")</f>
        <v>ー</v>
      </c>
      <c r="H30" s="217" t="str">
        <f t="shared" ref="H30:Q30" ca="1" si="116">IFERROR($AF$39+MATCH("*"&amp;G$5&amp;$B26&amp;"-2"&amp;"*",INDIRECT("$"&amp;$W$42&amp;$AF$39&amp;":"&amp;$W$42&amp;$AF$40),0)-1,"ー")</f>
        <v>ー</v>
      </c>
      <c r="I30" s="208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207" t="str">
        <f t="shared" ca="1" si="115"/>
        <v>ー</v>
      </c>
      <c r="K30" s="217" t="str">
        <f t="shared" ca="1" si="116"/>
        <v>ー</v>
      </c>
      <c r="L30" s="208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207" t="str">
        <f t="shared" ca="1" si="115"/>
        <v>ー</v>
      </c>
      <c r="N30" s="217" t="str">
        <f t="shared" ca="1" si="116"/>
        <v>ー</v>
      </c>
      <c r="O30" s="208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207" t="str">
        <f t="shared" ca="1" si="115"/>
        <v>ー</v>
      </c>
      <c r="Q30" s="217" t="str">
        <f t="shared" ca="1" si="116"/>
        <v>ー</v>
      </c>
      <c r="R30" s="208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72"/>
      <c r="T30" s="207" t="str">
        <f t="shared" ref="T30" ca="1" si="121">IFERROR($AF$39+MATCH(T$5&amp;"-"&amp;$B26,INDIRECT("$"&amp;$W$42&amp;$AF$39&amp;":"&amp;$W$42&amp;$AF$40),0)-1,"ー")</f>
        <v>ー</v>
      </c>
      <c r="U30" s="217" t="str">
        <f t="shared" ref="U30" ca="1" si="122">IFERROR($AF$39+MATCH(T$5&amp;"-"&amp;(VALUE($B26)+5),INDIRECT("$"&amp;$W$42&amp;$AF$39&amp;":"&amp;$W$42&amp;$AF$40),0)-1,"ー")</f>
        <v>ー</v>
      </c>
      <c r="V30" s="208" t="str">
        <f t="shared" ref="V30" ca="1" si="123">IF(U30="ー",
"重複なし",
IF(AND(T30&lt;&gt;"ー",U30&lt;&gt;"ー"),"ターム","重複あり")
)</f>
        <v>重複なし</v>
      </c>
      <c r="W30" s="207" t="str">
        <f t="shared" ref="W30" ca="1" si="124">IFERROR($AF$39+MATCH(W$5&amp;"-"&amp;$B26,INDIRECT("$"&amp;$W$42&amp;$AF$39&amp;":"&amp;$W$42&amp;$AF$40),0)-1,"ー")</f>
        <v>ー</v>
      </c>
      <c r="X30" s="217" t="str">
        <f t="shared" ref="X30" ca="1" si="125">IFERROR($AF$39+MATCH(W$5&amp;"-"&amp;(VALUE($B26)+5),INDIRECT("$"&amp;$W$42&amp;$AF$39&amp;":"&amp;$W$42&amp;$AF$40),0)-1,"ー")</f>
        <v>ー</v>
      </c>
      <c r="Y30" s="208" t="str">
        <f t="shared" ref="Y30" ca="1" si="126">IF(X30="ー",
"重複なし",
IF(AND(W30&lt;&gt;"ー",X30&lt;&gt;"ー"),"ターム","重複あり")
)</f>
        <v>重複なし</v>
      </c>
      <c r="Z30" s="72"/>
      <c r="AA30" s="72"/>
      <c r="AB30" s="72"/>
      <c r="AC30" s="72"/>
      <c r="AD30" s="72"/>
      <c r="AE30" s="113"/>
      <c r="AF30" s="113"/>
      <c r="AG30" s="113"/>
      <c r="AH30" s="358"/>
      <c r="AI30" s="72"/>
    </row>
    <row r="31" spans="1:35" s="277" customFormat="1" ht="18.75" x14ac:dyDescent="0.4">
      <c r="A31" s="68"/>
      <c r="B31" s="68"/>
      <c r="C31" s="68"/>
      <c r="D31" s="70"/>
      <c r="E31" s="70"/>
      <c r="F31" s="70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112"/>
      <c r="AF31" s="112"/>
      <c r="AG31" s="112"/>
      <c r="AH31" s="119"/>
      <c r="AI31" s="68"/>
    </row>
    <row r="32" spans="1:35" s="277" customFormat="1" ht="18.75" x14ac:dyDescent="0.4">
      <c r="A32" s="68"/>
      <c r="B32" s="68"/>
      <c r="C32" s="68"/>
      <c r="D32" s="70"/>
      <c r="E32" s="70"/>
      <c r="F32" s="70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112"/>
      <c r="AF32" s="112"/>
      <c r="AG32" s="112"/>
      <c r="AH32" s="119"/>
      <c r="AI32" s="68"/>
    </row>
    <row r="33" spans="1:35" s="277" customFormat="1" ht="30" x14ac:dyDescent="0.4">
      <c r="A33" s="68"/>
      <c r="B33" s="479" t="str">
        <f ca="1">"　"&amp;RIGHT(CELL("filename",A1),LEN(CELL("filename",A1))-FIND("]",CELL("filename",A1)))&amp;"　単位表"</f>
        <v>　２年秋　単位表</v>
      </c>
      <c r="C33" s="479"/>
      <c r="D33" s="479"/>
      <c r="E33" s="479"/>
      <c r="F33" s="479"/>
      <c r="G33" s="479"/>
      <c r="H33" s="479"/>
      <c r="I33" s="479"/>
      <c r="J33" s="479"/>
      <c r="K33" s="479"/>
      <c r="L33" s="479"/>
      <c r="M33" s="479"/>
      <c r="N33" s="479"/>
      <c r="O33" s="479"/>
      <c r="P33" s="479"/>
      <c r="Q33" s="479"/>
      <c r="R33" s="479"/>
      <c r="S33" s="479"/>
      <c r="T33" s="479"/>
      <c r="U33" s="479"/>
      <c r="V33" s="479"/>
      <c r="W33" s="479"/>
      <c r="X33" s="479"/>
      <c r="Y33" s="479"/>
      <c r="Z33" s="479"/>
      <c r="AA33" s="479"/>
      <c r="AB33" s="479"/>
      <c r="AC33" s="479"/>
      <c r="AD33" s="479"/>
      <c r="AE33" s="112"/>
      <c r="AF33" s="112"/>
      <c r="AG33" s="112"/>
      <c r="AH33" s="119"/>
      <c r="AI33" s="68"/>
    </row>
    <row r="34" spans="1:35" s="276" customFormat="1" ht="18" customHeight="1" x14ac:dyDescent="0.4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211"/>
      <c r="AB34" s="211" t="s">
        <v>707</v>
      </c>
      <c r="AC34" s="480">
        <f ca="1">NOW()</f>
        <v>43958.619198726854</v>
      </c>
      <c r="AD34" s="480"/>
      <c r="AE34" s="119"/>
      <c r="AF34" s="119"/>
      <c r="AG34" s="119"/>
      <c r="AH34" s="119"/>
      <c r="AI34" s="70"/>
    </row>
    <row r="35" spans="1:35" ht="19.5" thickBot="1" x14ac:dyDescent="0.45"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120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121"/>
      <c r="AF35" s="121"/>
      <c r="AG35" s="121"/>
      <c r="AH35" s="121"/>
    </row>
    <row r="36" spans="1:35" ht="19.5" thickBot="1" x14ac:dyDescent="0.45">
      <c r="B36" s="481">
        <v>2020</v>
      </c>
      <c r="C36" s="482"/>
      <c r="D36" s="280" t="s">
        <v>970</v>
      </c>
      <c r="E36" s="482" t="s">
        <v>979</v>
      </c>
      <c r="F36" s="482"/>
      <c r="G36" s="281" t="s">
        <v>978</v>
      </c>
      <c r="H36" s="483"/>
      <c r="I36" s="483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121"/>
      <c r="AF36" s="121"/>
      <c r="AG36" s="121"/>
      <c r="AH36" s="121"/>
    </row>
    <row r="37" spans="1:35" ht="19.5" thickBot="1" x14ac:dyDescent="0.45">
      <c r="B37" s="484" t="s">
        <v>967</v>
      </c>
      <c r="C37" s="485"/>
      <c r="D37" s="485"/>
      <c r="E37" s="485"/>
      <c r="F37" s="485"/>
      <c r="G37" s="485"/>
      <c r="H37" s="485"/>
      <c r="I37" s="485"/>
      <c r="J37" s="485"/>
      <c r="K37" s="485"/>
      <c r="L37" s="485"/>
      <c r="M37" s="485"/>
      <c r="N37" s="485"/>
      <c r="O37" s="485"/>
      <c r="P37" s="485"/>
      <c r="Q37" s="485"/>
      <c r="R37" s="485"/>
      <c r="S37" s="485"/>
      <c r="T37" s="485"/>
      <c r="U37" s="485"/>
      <c r="V37" s="486" t="s">
        <v>968</v>
      </c>
      <c r="W37" s="487"/>
      <c r="X37" s="487"/>
      <c r="Y37" s="487"/>
      <c r="Z37" s="487"/>
      <c r="AA37" s="487"/>
      <c r="AB37" s="487"/>
      <c r="AC37" s="487"/>
      <c r="AD37" s="488"/>
      <c r="AE37" s="472" t="s">
        <v>993</v>
      </c>
      <c r="AF37" s="473"/>
      <c r="AG37" s="473"/>
      <c r="AH37" s="474"/>
    </row>
    <row r="38" spans="1:35" ht="19.5" hidden="1" thickBot="1" x14ac:dyDescent="0.45">
      <c r="B38" s="434" t="s">
        <v>2174</v>
      </c>
      <c r="C38" s="435"/>
      <c r="D38" s="475" t="str">
        <f>$E$36</f>
        <v>秋</v>
      </c>
      <c r="E38" s="476"/>
      <c r="F38" s="477" t="str">
        <f>IF($D$38="春","第１ターム",IF($D$38="秋","第４ターム",""))</f>
        <v>第４ターム</v>
      </c>
      <c r="G38" s="477"/>
      <c r="H38" s="477" t="str">
        <f>IF($D$38="春","第２ターム",IF($D$38="秋","第５ターム",""))</f>
        <v>第５ターム</v>
      </c>
      <c r="I38" s="478"/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460"/>
      <c r="U38" s="460"/>
      <c r="V38" s="460"/>
      <c r="W38" s="460"/>
      <c r="X38" s="460"/>
      <c r="Y38" s="460"/>
      <c r="Z38" s="460"/>
      <c r="AA38" s="460"/>
      <c r="AB38" s="460"/>
      <c r="AC38" s="460"/>
      <c r="AD38" s="460"/>
      <c r="AE38" s="298"/>
      <c r="AF38" s="298"/>
      <c r="AG38" s="298"/>
      <c r="AH38" s="298"/>
    </row>
    <row r="39" spans="1:35" ht="18.600000000000001" hidden="1" customHeight="1" thickBot="1" x14ac:dyDescent="0.45">
      <c r="B39" s="432" t="s">
        <v>977</v>
      </c>
      <c r="C39" s="461"/>
      <c r="D39" s="464" t="s">
        <v>970</v>
      </c>
      <c r="E39" s="465"/>
      <c r="F39" s="466">
        <f>$B$36</f>
        <v>2020</v>
      </c>
      <c r="G39" s="467"/>
      <c r="H39" s="468" t="s">
        <v>971</v>
      </c>
      <c r="I39" s="469"/>
      <c r="J39" s="470" t="s">
        <v>972</v>
      </c>
      <c r="K39" s="471"/>
      <c r="L39" s="450" t="s">
        <v>58</v>
      </c>
      <c r="M39" s="450"/>
      <c r="N39" s="451" t="s">
        <v>973</v>
      </c>
      <c r="O39" s="452"/>
      <c r="P39" s="448" t="s">
        <v>975</v>
      </c>
      <c r="Q39" s="453"/>
      <c r="R39" s="454" t="s">
        <v>974</v>
      </c>
      <c r="S39" s="455"/>
      <c r="T39" s="456" t="s">
        <v>972</v>
      </c>
      <c r="U39" s="457"/>
      <c r="V39" s="458" t="s">
        <v>500</v>
      </c>
      <c r="W39" s="459"/>
      <c r="X39" s="440" t="s">
        <v>973</v>
      </c>
      <c r="Y39" s="441"/>
      <c r="Z39" s="442" t="s">
        <v>976</v>
      </c>
      <c r="AA39" s="443"/>
      <c r="AB39" s="282"/>
      <c r="AC39" s="282"/>
      <c r="AD39" s="282"/>
      <c r="AE39" s="360" t="s">
        <v>994</v>
      </c>
      <c r="AF39" s="122">
        <f>ROW(AE43)+1</f>
        <v>44</v>
      </c>
      <c r="AG39" s="298"/>
      <c r="AH39" s="298"/>
    </row>
    <row r="40" spans="1:35" ht="19.5" hidden="1" thickBot="1" x14ac:dyDescent="0.45">
      <c r="B40" s="462"/>
      <c r="C40" s="463"/>
      <c r="D40" s="444" t="s">
        <v>969</v>
      </c>
      <c r="E40" s="445"/>
      <c r="F40" s="446">
        <v>3</v>
      </c>
      <c r="G40" s="447"/>
      <c r="H40" s="448">
        <v>2</v>
      </c>
      <c r="I40" s="447"/>
      <c r="J40" s="448">
        <v>2</v>
      </c>
      <c r="K40" s="447"/>
      <c r="L40" s="448">
        <v>3</v>
      </c>
      <c r="M40" s="447"/>
      <c r="N40" s="297">
        <v>7</v>
      </c>
      <c r="O40" s="297">
        <v>8</v>
      </c>
      <c r="P40" s="297">
        <v>10</v>
      </c>
      <c r="Q40" s="448">
        <v>11</v>
      </c>
      <c r="R40" s="447"/>
      <c r="S40" s="297">
        <v>6</v>
      </c>
      <c r="T40" s="297" t="s">
        <v>11</v>
      </c>
      <c r="U40" s="297" t="s">
        <v>11</v>
      </c>
      <c r="V40" s="123">
        <v>12</v>
      </c>
      <c r="W40" s="206">
        <v>4</v>
      </c>
      <c r="X40" s="206">
        <v>5</v>
      </c>
      <c r="Y40" s="206">
        <v>6</v>
      </c>
      <c r="Z40" s="430">
        <v>7</v>
      </c>
      <c r="AA40" s="449"/>
      <c r="AB40" s="430">
        <v>8</v>
      </c>
      <c r="AC40" s="431"/>
      <c r="AD40" s="431"/>
      <c r="AE40" s="361" t="s">
        <v>995</v>
      </c>
      <c r="AF40" s="124">
        <f ca="1">AF39+COUNTA(AF44:AF108)-1</f>
        <v>73</v>
      </c>
      <c r="AG40" s="298"/>
      <c r="AH40" s="298"/>
    </row>
    <row r="41" spans="1:35" ht="19.5" hidden="1" thickBot="1" x14ac:dyDescent="0.45">
      <c r="B41" s="432" t="s">
        <v>1005</v>
      </c>
      <c r="C41" s="433"/>
      <c r="D41" s="196" t="s">
        <v>939</v>
      </c>
      <c r="E41" s="197" t="s">
        <v>941</v>
      </c>
      <c r="F41" s="197" t="s">
        <v>940</v>
      </c>
      <c r="G41" s="197" t="s">
        <v>944</v>
      </c>
      <c r="H41" s="197" t="s">
        <v>954</v>
      </c>
      <c r="I41" s="197" t="s">
        <v>958</v>
      </c>
      <c r="J41" s="197" t="s">
        <v>960</v>
      </c>
      <c r="K41" s="197" t="s">
        <v>957</v>
      </c>
      <c r="L41" s="197" t="s">
        <v>961</v>
      </c>
      <c r="M41" s="197" t="s">
        <v>15</v>
      </c>
      <c r="N41" s="197" t="s">
        <v>9</v>
      </c>
      <c r="O41" s="197" t="s">
        <v>16</v>
      </c>
      <c r="P41" s="198" t="s">
        <v>959</v>
      </c>
      <c r="Q41" s="198" t="s">
        <v>962</v>
      </c>
      <c r="R41" s="198" t="s">
        <v>945</v>
      </c>
      <c r="S41" s="198" t="s">
        <v>946</v>
      </c>
      <c r="T41" s="198" t="s">
        <v>947</v>
      </c>
      <c r="U41" s="198" t="s">
        <v>948</v>
      </c>
      <c r="V41" s="199" t="s">
        <v>996</v>
      </c>
      <c r="W41" s="200" t="s">
        <v>997</v>
      </c>
      <c r="X41" s="195"/>
      <c r="Y41" s="195"/>
      <c r="Z41" s="296"/>
      <c r="AA41" s="296"/>
      <c r="AB41" s="296"/>
      <c r="AC41" s="296"/>
      <c r="AD41" s="296"/>
      <c r="AE41" s="298"/>
      <c r="AF41" s="298"/>
      <c r="AG41" s="298"/>
      <c r="AH41" s="298"/>
    </row>
    <row r="42" spans="1:35" ht="19.5" hidden="1" thickBot="1" x14ac:dyDescent="0.45">
      <c r="B42" s="434"/>
      <c r="C42" s="435"/>
      <c r="D42" s="201" t="str">
        <f>LEFT(ADDRESS(1,COLUMN($B$43),2),FIND("$",ADDRESS(1,COLUMN($B$43),2))-1)</f>
        <v>B</v>
      </c>
      <c r="E42" s="202" t="str">
        <f>LEFT(ADDRESS(1,COLUMN($F$43),2),FIND("$",ADDRESS(1,COLUMN($F$43),2))-1)</f>
        <v>F</v>
      </c>
      <c r="F42" s="203" t="str">
        <f>LEFT(ADDRESS(1,COLUMN($H$43),2),FIND("$",ADDRESS(1,COLUMN($H$43),2))-1)</f>
        <v>H</v>
      </c>
      <c r="G42" s="203" t="str">
        <f>LEFT(ADDRESS(1,COLUMN($J$43),2),FIND("$",ADDRESS(1,COLUMN($J$43),2))-1)</f>
        <v>J</v>
      </c>
      <c r="H42" s="203" t="str">
        <f>LEFT(ADDRESS(1,COLUMN($L$43),2),FIND("$",ADDRESS(1,COLUMN($L$43),2))-1)</f>
        <v>L</v>
      </c>
      <c r="I42" s="203" t="str">
        <f>LEFT(ADDRESS(1,COLUMN($N$43),2),FIND("$",ADDRESS(1,COLUMN($N$43),2))-1)</f>
        <v>N</v>
      </c>
      <c r="J42" s="203" t="str">
        <f>LEFT(ADDRESS(1,COLUMN($O$43),2),FIND("$",ADDRESS(1,COLUMN($O$43),2))-1)</f>
        <v>O</v>
      </c>
      <c r="K42" s="203" t="str">
        <f>LEFT(ADDRESS(1,COLUMN($P$43),2),FIND("$",ADDRESS(1,COLUMN($P$43),2))-1)</f>
        <v>P</v>
      </c>
      <c r="L42" s="203" t="str">
        <f>LEFT(ADDRESS(1,COLUMN($Q$43),2),FIND("$",ADDRESS(1,COLUMN($Q$43),2))-1)</f>
        <v>Q</v>
      </c>
      <c r="M42" s="202" t="str">
        <f>LEFT(ADDRESS(1,COLUMN($S$43),2),FIND("$",ADDRESS(1,COLUMN($S$43),2))-1)</f>
        <v>S</v>
      </c>
      <c r="N42" s="202" t="str">
        <f>LEFT(ADDRESS(1,COLUMN($T$43),2),FIND("$",ADDRESS(1,COLUMN($T$43),2))-1)</f>
        <v>T</v>
      </c>
      <c r="O42" s="202" t="str">
        <f>LEFT(ADDRESS(1,COLUMN($U$43),2),FIND("$",ADDRESS(1,COLUMN($U$43),2))-1)</f>
        <v>U</v>
      </c>
      <c r="P42" s="204" t="str">
        <f>LEFT(ADDRESS(1,COLUMN($V$43),2),FIND("$",ADDRESS(1,COLUMN($V$43),2))-1)</f>
        <v>V</v>
      </c>
      <c r="Q42" s="204" t="str">
        <f>LEFT(ADDRESS(1,COLUMN($W$43),2),FIND("$",ADDRESS(1,COLUMN($W$43),2))-1)</f>
        <v>W</v>
      </c>
      <c r="R42" s="204" t="str">
        <f>LEFT(ADDRESS(1,COLUMN($X$43),2),FIND("$",ADDRESS(1,COLUMN($X$43),2))-1)</f>
        <v>X</v>
      </c>
      <c r="S42" s="204" t="str">
        <f>LEFT(ADDRESS(1,COLUMN($Y$43),2),FIND("$",ADDRESS(1,COLUMN($Y$43),2))-1)</f>
        <v>Y</v>
      </c>
      <c r="T42" s="205" t="str">
        <f>LEFT(ADDRESS(1,COLUMN($Z$43),2),FIND("$",ADDRESS(1,COLUMN($Z$43),2))-1)</f>
        <v>Z</v>
      </c>
      <c r="U42" s="205" t="str">
        <f>LEFT(ADDRESS(1,COLUMN($AB$43),2),FIND("$",ADDRESS(1,COLUMN($AB$43),2))-1)</f>
        <v>AB</v>
      </c>
      <c r="V42" s="125" t="str">
        <f>LEFT(ADDRESS(1,COLUMN($AE$43),2),FIND("$",ADDRESS(1,COLUMN($AE$43),2))-1)</f>
        <v>AE</v>
      </c>
      <c r="W42" s="126" t="str">
        <f>LEFT(ADDRESS(1,COLUMN($AF$43),2),FIND("$",ADDRESS(1,COLUMN($AF$43),2))-1)</f>
        <v>AF</v>
      </c>
      <c r="X42" s="127"/>
      <c r="Y42" s="127"/>
      <c r="Z42" s="296"/>
      <c r="AA42" s="296"/>
      <c r="AB42" s="296"/>
      <c r="AC42" s="296"/>
      <c r="AD42" s="296"/>
      <c r="AE42" s="298"/>
      <c r="AF42" s="298"/>
      <c r="AG42" s="298"/>
      <c r="AH42" s="298"/>
    </row>
    <row r="43" spans="1:35" ht="19.5" thickBot="1" x14ac:dyDescent="0.45">
      <c r="B43" s="436" t="s">
        <v>939</v>
      </c>
      <c r="C43" s="437"/>
      <c r="D43" s="437"/>
      <c r="E43" s="437"/>
      <c r="F43" s="437" t="s">
        <v>941</v>
      </c>
      <c r="G43" s="437"/>
      <c r="H43" s="437" t="s">
        <v>940</v>
      </c>
      <c r="I43" s="437"/>
      <c r="J43" s="437" t="s">
        <v>944</v>
      </c>
      <c r="K43" s="437"/>
      <c r="L43" s="437" t="s">
        <v>954</v>
      </c>
      <c r="M43" s="437"/>
      <c r="N43" s="294" t="s">
        <v>958</v>
      </c>
      <c r="O43" s="294" t="s">
        <v>960</v>
      </c>
      <c r="P43" s="294" t="s">
        <v>957</v>
      </c>
      <c r="Q43" s="437" t="s">
        <v>961</v>
      </c>
      <c r="R43" s="437"/>
      <c r="S43" s="294" t="s">
        <v>15</v>
      </c>
      <c r="T43" s="294" t="s">
        <v>9</v>
      </c>
      <c r="U43" s="189" t="s">
        <v>16</v>
      </c>
      <c r="V43" s="128" t="s">
        <v>959</v>
      </c>
      <c r="W43" s="295" t="s">
        <v>962</v>
      </c>
      <c r="X43" s="295" t="s">
        <v>945</v>
      </c>
      <c r="Y43" s="295" t="s">
        <v>946</v>
      </c>
      <c r="Z43" s="438" t="s">
        <v>947</v>
      </c>
      <c r="AA43" s="438"/>
      <c r="AB43" s="438" t="s">
        <v>948</v>
      </c>
      <c r="AC43" s="438"/>
      <c r="AD43" s="439"/>
      <c r="AE43" s="355" t="s">
        <v>996</v>
      </c>
      <c r="AF43" s="357" t="s">
        <v>997</v>
      </c>
      <c r="AG43" s="357" t="s">
        <v>2179</v>
      </c>
      <c r="AH43" s="356" t="s">
        <v>2508</v>
      </c>
    </row>
    <row r="44" spans="1:35" ht="19.5" thickTop="1" x14ac:dyDescent="0.4">
      <c r="B44" s="424"/>
      <c r="C44" s="425"/>
      <c r="D44" s="425"/>
      <c r="E44" s="425"/>
      <c r="F44" s="410" t="str">
        <f ca="1">IFERROR(VLOOKUP($B44,INDIRECT(CONCATENATE("'",$F$39,$V$39,"'!",$Z$39)),$F$40,FALSE)&amp;"","")</f>
        <v/>
      </c>
      <c r="G44" s="410"/>
      <c r="H44" s="429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429"/>
      <c r="J44" s="410" t="str">
        <f ca="1">IFERROR(VLOOKUP($B44,INDIRECT(CONCATENATE("'",成績管理表!$D$9,$L$39,"'!",$P$39)),$J$40,FALSE)&amp;"","")</f>
        <v/>
      </c>
      <c r="K44" s="410"/>
      <c r="L44" s="410" t="str">
        <f ca="1">IFERROR(VLOOKUP($B44,INDIRECT(CONCATENATE("'",成績管理表!$D$9,$L$39,"'!",$P$39)),$L$40,FALSE)&amp;"","")</f>
        <v/>
      </c>
      <c r="M44" s="410"/>
      <c r="N44" s="292" t="str">
        <f ca="1">IFERROR(VLOOKUP($B44,INDIRECT(CONCATENATE("'",成績管理表!$D$9,$L$39,"'!",$P$39)),$N$40,FALSE)&amp;"","")</f>
        <v/>
      </c>
      <c r="O44" s="292" t="str">
        <f ca="1">IFERROR(VLOOKUP($B44,INDIRECT(CONCATENATE("'",成績管理表!$D$9,$L$39,"'!",$P$39)),$O$40,FALSE)&amp;"","")</f>
        <v/>
      </c>
      <c r="P44" s="292" t="str">
        <f ca="1">IFERROR(VLOOKUP($B44,INDIRECT(CONCATENATE("'",成績管理表!$D$9,$L$39,"'!",$P$39)),$P$40,FALSE)&amp;"","")</f>
        <v/>
      </c>
      <c r="Q44" s="410" t="str">
        <f ca="1">IFERROR(VLOOKUP($B44,INDIRECT(CONCATENATE("'",成績管理表!$D$9,$L$39,"'!",$P$39)),$Q$40,FALSE)&amp;"","")</f>
        <v/>
      </c>
      <c r="R44" s="410"/>
      <c r="S44" s="129" t="str">
        <f ca="1">IFERROR(VLOOKUP($B44,INDIRECT(CONCATENATE("'",成績管理表!$D$9,$L$39,"'!",$P$39)),$S$40,FALSE),"")</f>
        <v/>
      </c>
      <c r="T44" s="110"/>
      <c r="U44" s="190" t="str">
        <f>IF($T44="秀",4.5*$S44,IF($T44="優",4*$S44,IF($T44="良",3*$S44,IF($T44="可",2*$S44,IF($T44="不可",0,"")))))</f>
        <v/>
      </c>
      <c r="V44" s="130" t="str">
        <f ca="1">IFERROR(VLOOKUP($B44,INDIRECT(CONCATENATE("'",成績管理表!$D$9,$L$39,"'!",$P$39)),$V$40,FALSE)&amp;"","")</f>
        <v/>
      </c>
      <c r="W44" s="292" t="str">
        <f ca="1">IFERROR(VLOOKUP($B44,INDIRECT(CONCATENATE("'",$F$39,$V$39,"'!",$Z$39)),$W$40,FALSE)&amp;"","")</f>
        <v/>
      </c>
      <c r="X44" s="292" t="str">
        <f ca="1">IFERROR(VLOOKUP($B44,INDIRECT(CONCATENATE("'",$F$39,$V$39,"'!",$Z$39)),$X$40,FALSE)&amp;"","")</f>
        <v/>
      </c>
      <c r="Y44" s="292" t="str">
        <f ca="1">IFERROR(VLOOKUP($B44,INDIRECT(CONCATENATE("'",$F$39,$V$39,"'!",$Z$39)),$Y$40,FALSE)&amp;"","")</f>
        <v/>
      </c>
      <c r="Z44" s="410" t="str">
        <f ca="1">IFERROR(VLOOKUP($B44,INDIRECT(CONCATENATE("'",$F$39,$V$39,"'!",$Z$39)),$Z$40,FALSE)&amp;"","")</f>
        <v/>
      </c>
      <c r="AA44" s="410"/>
      <c r="AB44" s="411" t="str">
        <f ca="1">IFERROR(VLOOKUP($B44,INDIRECT(CONCATENATE("'",$F$39,$V$39,"'!",$Z$39)),$AB$40,FALSE)&amp;"","")</f>
        <v/>
      </c>
      <c r="AC44" s="411"/>
      <c r="AD44" s="412"/>
      <c r="AE44" s="130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9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92" t="b">
        <f ca="1">OR(OR($W44=$D$38,$W44=$F$38,$W44=$H$38),LEN($W44)=0)</f>
        <v>1</v>
      </c>
      <c r="AH44" s="131" t="b">
        <f ca="1">OR(LEN(AF44)=0,
$AE44="集中講義等",
$AE44="演習",
IF(COUNTIF($AF44,"*/*")=1,COUNTIF($AF44,"*-1*-1*")=1,COUNTIF($AF44,"*-1*")=1)
)</f>
        <v>1</v>
      </c>
      <c r="AI44" s="132"/>
    </row>
    <row r="45" spans="1:35" ht="18.75" x14ac:dyDescent="0.4">
      <c r="B45" s="426"/>
      <c r="C45" s="427"/>
      <c r="D45" s="427"/>
      <c r="E45" s="428"/>
      <c r="F45" s="422" t="str">
        <f t="shared" ref="F45:F73" ca="1" si="127">IFERROR(VLOOKUP($B45,INDIRECT(CONCATENATE("'",$F$39,$V$39,"'!",$Z$39)),$F$40,FALSE)&amp;"","")</f>
        <v/>
      </c>
      <c r="G45" s="422"/>
      <c r="H45" s="42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423"/>
      <c r="J45" s="410" t="str">
        <f ca="1">IFERROR(VLOOKUP($B45,INDIRECT(CONCATENATE("'",成績管理表!$D$9,$L$39,"'!",$P$39)),$J$40,FALSE)&amp;"","")</f>
        <v/>
      </c>
      <c r="K45" s="410"/>
      <c r="L45" s="410" t="str">
        <f ca="1">IFERROR(VLOOKUP($B45,INDIRECT(CONCATENATE("'",成績管理表!$D$9,$L$39,"'!",$P$39)),$L$40,FALSE)&amp;"","")</f>
        <v/>
      </c>
      <c r="M45" s="410"/>
      <c r="N45" s="292" t="str">
        <f ca="1">IFERROR(VLOOKUP($B45,INDIRECT(CONCATENATE("'",成績管理表!$D$9,$L$39,"'!",$P$39)),$N$40,FALSE)&amp;"","")</f>
        <v/>
      </c>
      <c r="O45" s="292" t="str">
        <f ca="1">IFERROR(VLOOKUP($B45,INDIRECT(CONCATENATE("'",成績管理表!$D$9,$L$39,"'!",$P$39)),$O$40,FALSE)&amp;"","")</f>
        <v/>
      </c>
      <c r="P45" s="292" t="str">
        <f ca="1">IFERROR(VLOOKUP($B45,INDIRECT(CONCATENATE("'",成績管理表!$D$9,$L$39,"'!",$P$39)),$P$40,FALSE)&amp;"","")</f>
        <v/>
      </c>
      <c r="Q45" s="410" t="str">
        <f ca="1">IFERROR(VLOOKUP($B45,INDIRECT(CONCATENATE("'",成績管理表!$D$9,$L$39,"'!",$P$39)),$Q$40,FALSE)&amp;"","")</f>
        <v/>
      </c>
      <c r="R45" s="410"/>
      <c r="S45" s="129" t="str">
        <f ca="1">IFERROR(VLOOKUP($B45,INDIRECT(CONCATENATE("'",成績管理表!$D$9,$L$39,"'!",$P$39)),$S$40,FALSE),"")</f>
        <v/>
      </c>
      <c r="T45" s="110"/>
      <c r="U45" s="190" t="str">
        <f t="shared" ref="U45:U73" si="128">IF($T45="秀",4.5*$S45,IF($T45="優",4*$S45,IF($T45="良",3*$S45,IF($T45="可",2*$S45,IF($T45="不可",0,"")))))</f>
        <v/>
      </c>
      <c r="V45" s="130" t="str">
        <f ca="1">IFERROR(VLOOKUP($B45,INDIRECT(CONCATENATE("'",成績管理表!$D$9,$L$39,"'!",$P$39)),$V$40,FALSE)&amp;"","")</f>
        <v/>
      </c>
      <c r="W45" s="292" t="str">
        <f t="shared" ref="W45:W73" ca="1" si="129">IFERROR(VLOOKUP($B45,INDIRECT(CONCATENATE("'",$F$39,$V$39,"'!",$Z$39)),$W$40,FALSE)&amp;"","")</f>
        <v/>
      </c>
      <c r="X45" s="292" t="str">
        <f t="shared" ref="X45:X73" ca="1" si="130">IFERROR(VLOOKUP($B45,INDIRECT(CONCATENATE("'",$F$39,$V$39,"'!",$Z$39)),$X$40,FALSE)&amp;"","")</f>
        <v/>
      </c>
      <c r="Y45" s="292" t="str">
        <f t="shared" ref="Y45:Y73" ca="1" si="131">IFERROR(VLOOKUP($B45,INDIRECT(CONCATENATE("'",$F$39,$V$39,"'!",$Z$39)),$Y$40,FALSE)&amp;"","")</f>
        <v/>
      </c>
      <c r="Z45" s="410" t="str">
        <f t="shared" ref="Z45:Z73" ca="1" si="132">IFERROR(VLOOKUP($B45,INDIRECT(CONCATENATE("'",$F$39,$V$39,"'!",$Z$39)),$Z$40,FALSE)&amp;"","")</f>
        <v/>
      </c>
      <c r="AA45" s="410"/>
      <c r="AB45" s="411" t="str">
        <f t="shared" ref="AB45:AB73" ca="1" si="133">IFERROR(VLOOKUP($B45,INDIRECT(CONCATENATE("'",$F$39,$V$39,"'!",$Z$39)),$AB$40,FALSE)&amp;"","")</f>
        <v/>
      </c>
      <c r="AC45" s="411"/>
      <c r="AD45" s="412"/>
      <c r="AE45" s="273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9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93" t="b">
        <f t="shared" ref="AG45:AG73" ca="1" si="135">OR(OR($W45=$D$38,$W45=$F$38,$W45=$H$38),LEN($W45)=0)</f>
        <v>1</v>
      </c>
      <c r="AH45" s="131" t="b">
        <f t="shared" ref="AH45:AH73" ca="1" si="136">OR(LEN(AF45)=0,
$AE45="集中講義等",
$AE45="演習",
IF(COUNTIF($AF45,"*/*")=1,COUNTIF($AF45,"*-1*-1*")=1,COUNTIF($AF45,"*-1*")=1)
)</f>
        <v>1</v>
      </c>
      <c r="AI45" s="132"/>
    </row>
    <row r="46" spans="1:35" ht="18.75" x14ac:dyDescent="0.4">
      <c r="B46" s="426"/>
      <c r="C46" s="427"/>
      <c r="D46" s="427"/>
      <c r="E46" s="428"/>
      <c r="F46" s="422" t="str">
        <f t="shared" ca="1" si="127"/>
        <v/>
      </c>
      <c r="G46" s="422"/>
      <c r="H46" s="42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423"/>
      <c r="J46" s="410" t="str">
        <f ca="1">IFERROR(VLOOKUP($B46,INDIRECT(CONCATENATE("'",成績管理表!$D$9,$L$39,"'!",$P$39)),$J$40,FALSE)&amp;"","")</f>
        <v/>
      </c>
      <c r="K46" s="410"/>
      <c r="L46" s="410" t="str">
        <f ca="1">IFERROR(VLOOKUP($B46,INDIRECT(CONCATENATE("'",成績管理表!$D$9,$L$39,"'!",$P$39)),$L$40,FALSE)&amp;"","")</f>
        <v/>
      </c>
      <c r="M46" s="410"/>
      <c r="N46" s="292" t="str">
        <f ca="1">IFERROR(VLOOKUP($B46,INDIRECT(CONCATENATE("'",成績管理表!$D$9,$L$39,"'!",$P$39)),$N$40,FALSE)&amp;"","")</f>
        <v/>
      </c>
      <c r="O46" s="292" t="str">
        <f ca="1">IFERROR(VLOOKUP($B46,INDIRECT(CONCATENATE("'",成績管理表!$D$9,$L$39,"'!",$P$39)),$O$40,FALSE)&amp;"","")</f>
        <v/>
      </c>
      <c r="P46" s="292" t="str">
        <f ca="1">IFERROR(VLOOKUP($B46,INDIRECT(CONCATENATE("'",成績管理表!$D$9,$L$39,"'!",$P$39)),$P$40,FALSE)&amp;"","")</f>
        <v/>
      </c>
      <c r="Q46" s="410" t="str">
        <f ca="1">IFERROR(VLOOKUP($B46,INDIRECT(CONCATENATE("'",成績管理表!$D$9,$L$39,"'!",$P$39)),$Q$40,FALSE)&amp;"","")</f>
        <v/>
      </c>
      <c r="R46" s="410"/>
      <c r="S46" s="129" t="str">
        <f ca="1">IFERROR(VLOOKUP($B46,INDIRECT(CONCATENATE("'",成績管理表!$D$9,$L$39,"'!",$P$39)),$S$40,FALSE),"")</f>
        <v/>
      </c>
      <c r="T46" s="110"/>
      <c r="U46" s="190" t="str">
        <f t="shared" si="128"/>
        <v/>
      </c>
      <c r="V46" s="130" t="str">
        <f ca="1">IFERROR(VLOOKUP($B46,INDIRECT(CONCATENATE("'",成績管理表!$D$9,$L$39,"'!",$P$39)),$V$40,FALSE)&amp;"","")</f>
        <v/>
      </c>
      <c r="W46" s="292" t="str">
        <f t="shared" ca="1" si="129"/>
        <v/>
      </c>
      <c r="X46" s="292" t="str">
        <f t="shared" ca="1" si="130"/>
        <v/>
      </c>
      <c r="Y46" s="292" t="str">
        <f t="shared" ca="1" si="131"/>
        <v/>
      </c>
      <c r="Z46" s="410" t="str">
        <f t="shared" ca="1" si="132"/>
        <v/>
      </c>
      <c r="AA46" s="410"/>
      <c r="AB46" s="411" t="str">
        <f t="shared" ca="1" si="133"/>
        <v/>
      </c>
      <c r="AC46" s="411"/>
      <c r="AD46" s="412"/>
      <c r="AE46" s="273" t="str">
        <f t="shared" ca="1" si="134"/>
        <v/>
      </c>
      <c r="AF46" s="29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93" t="b">
        <f t="shared" ca="1" si="135"/>
        <v>1</v>
      </c>
      <c r="AH46" s="131" t="b">
        <f t="shared" ca="1" si="136"/>
        <v>1</v>
      </c>
      <c r="AI46" s="132"/>
    </row>
    <row r="47" spans="1:35" ht="18.75" x14ac:dyDescent="0.4">
      <c r="B47" s="426"/>
      <c r="C47" s="427"/>
      <c r="D47" s="427"/>
      <c r="E47" s="428"/>
      <c r="F47" s="422" t="str">
        <f t="shared" ca="1" si="127"/>
        <v/>
      </c>
      <c r="G47" s="422"/>
      <c r="H47" s="42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423"/>
      <c r="J47" s="410" t="str">
        <f ca="1">IFERROR(VLOOKUP($B47,INDIRECT(CONCATENATE("'",成績管理表!$D$9,$L$39,"'!",$P$39)),$J$40,FALSE)&amp;"","")</f>
        <v/>
      </c>
      <c r="K47" s="410"/>
      <c r="L47" s="410" t="str">
        <f ca="1">IFERROR(VLOOKUP($B47,INDIRECT(CONCATENATE("'",成績管理表!$D$9,$L$39,"'!",$P$39)),$L$40,FALSE)&amp;"","")</f>
        <v/>
      </c>
      <c r="M47" s="410"/>
      <c r="N47" s="292" t="str">
        <f ca="1">IFERROR(VLOOKUP($B47,INDIRECT(CONCATENATE("'",成績管理表!$D$9,$L$39,"'!",$P$39)),$N$40,FALSE)&amp;"","")</f>
        <v/>
      </c>
      <c r="O47" s="292" t="str">
        <f ca="1">IFERROR(VLOOKUP($B47,INDIRECT(CONCATENATE("'",成績管理表!$D$9,$L$39,"'!",$P$39)),$O$40,FALSE)&amp;"","")</f>
        <v/>
      </c>
      <c r="P47" s="292" t="str">
        <f ca="1">IFERROR(VLOOKUP($B47,INDIRECT(CONCATENATE("'",成績管理表!$D$9,$L$39,"'!",$P$39)),$P$40,FALSE)&amp;"","")</f>
        <v/>
      </c>
      <c r="Q47" s="410" t="str">
        <f ca="1">IFERROR(VLOOKUP($B47,INDIRECT(CONCATENATE("'",成績管理表!$D$9,$L$39,"'!",$P$39)),$Q$40,FALSE)&amp;"","")</f>
        <v/>
      </c>
      <c r="R47" s="410"/>
      <c r="S47" s="129" t="str">
        <f ca="1">IFERROR(VLOOKUP($B47,INDIRECT(CONCATENATE("'",成績管理表!$D$9,$L$39,"'!",$P$39)),$S$40,FALSE),"")</f>
        <v/>
      </c>
      <c r="T47" s="110"/>
      <c r="U47" s="190" t="str">
        <f t="shared" si="128"/>
        <v/>
      </c>
      <c r="V47" s="130" t="str">
        <f ca="1">IFERROR(VLOOKUP($B47,INDIRECT(CONCATENATE("'",成績管理表!$D$9,$L$39,"'!",$P$39)),$V$40,FALSE)&amp;"","")</f>
        <v/>
      </c>
      <c r="W47" s="292" t="str">
        <f ca="1">IFERROR(VLOOKUP($B47,INDIRECT(CONCATENATE("'",$F$39,$V$39,"'!",$Z$39)),$W$40,FALSE)&amp;"","")</f>
        <v/>
      </c>
      <c r="X47" s="292" t="str">
        <f t="shared" ca="1" si="130"/>
        <v/>
      </c>
      <c r="Y47" s="292" t="str">
        <f t="shared" ca="1" si="131"/>
        <v/>
      </c>
      <c r="Z47" s="410" t="str">
        <f t="shared" ca="1" si="132"/>
        <v/>
      </c>
      <c r="AA47" s="410"/>
      <c r="AB47" s="411" t="str">
        <f t="shared" ca="1" si="133"/>
        <v/>
      </c>
      <c r="AC47" s="411"/>
      <c r="AD47" s="412"/>
      <c r="AE47" s="273" t="str">
        <f t="shared" ca="1" si="134"/>
        <v/>
      </c>
      <c r="AF47" s="29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93" t="b">
        <f t="shared" ca="1" si="135"/>
        <v>1</v>
      </c>
      <c r="AH47" s="131" t="b">
        <f t="shared" ca="1" si="136"/>
        <v>1</v>
      </c>
      <c r="AI47" s="132"/>
    </row>
    <row r="48" spans="1:35" ht="18.75" x14ac:dyDescent="0.4">
      <c r="B48" s="420"/>
      <c r="C48" s="421"/>
      <c r="D48" s="421"/>
      <c r="E48" s="421"/>
      <c r="F48" s="422" t="str">
        <f t="shared" ca="1" si="127"/>
        <v/>
      </c>
      <c r="G48" s="422"/>
      <c r="H48" s="42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423"/>
      <c r="J48" s="410" t="str">
        <f ca="1">IFERROR(VLOOKUP($B48,INDIRECT(CONCATENATE("'",成績管理表!$D$9,$L$39,"'!",$P$39)),$J$40,FALSE)&amp;"","")</f>
        <v/>
      </c>
      <c r="K48" s="410"/>
      <c r="L48" s="410" t="str">
        <f ca="1">IFERROR(VLOOKUP($B48,INDIRECT(CONCATENATE("'",成績管理表!$D$9,$L$39,"'!",$P$39)),$L$40,FALSE)&amp;"","")</f>
        <v/>
      </c>
      <c r="M48" s="410"/>
      <c r="N48" s="292" t="str">
        <f ca="1">IFERROR(VLOOKUP($B48,INDIRECT(CONCATENATE("'",成績管理表!$D$9,$L$39,"'!",$P$39)),$N$40,FALSE)&amp;"","")</f>
        <v/>
      </c>
      <c r="O48" s="292" t="str">
        <f ca="1">IFERROR(VLOOKUP($B48,INDIRECT(CONCATENATE("'",成績管理表!$D$9,$L$39,"'!",$P$39)),$O$40,FALSE)&amp;"","")</f>
        <v/>
      </c>
      <c r="P48" s="292" t="str">
        <f ca="1">IFERROR(VLOOKUP($B48,INDIRECT(CONCATENATE("'",成績管理表!$D$9,$L$39,"'!",$P$39)),$P$40,FALSE)&amp;"","")</f>
        <v/>
      </c>
      <c r="Q48" s="410" t="str">
        <f ca="1">IFERROR(VLOOKUP($B48,INDIRECT(CONCATENATE("'",成績管理表!$D$9,$L$39,"'!",$P$39)),$Q$40,FALSE)&amp;"","")</f>
        <v/>
      </c>
      <c r="R48" s="410"/>
      <c r="S48" s="129" t="str">
        <f ca="1">IFERROR(VLOOKUP($B48,INDIRECT(CONCATENATE("'",成績管理表!$D$9,$L$39,"'!",$P$39)),$S$40,FALSE),"")</f>
        <v/>
      </c>
      <c r="T48" s="110"/>
      <c r="U48" s="190" t="str">
        <f t="shared" si="128"/>
        <v/>
      </c>
      <c r="V48" s="130" t="str">
        <f ca="1">IFERROR(VLOOKUP($B48,INDIRECT(CONCATENATE("'",成績管理表!$D$9,$L$39,"'!",$P$39)),$V$40,FALSE)&amp;"","")</f>
        <v/>
      </c>
      <c r="W48" s="292" t="str">
        <f t="shared" ca="1" si="129"/>
        <v/>
      </c>
      <c r="X48" s="292" t="str">
        <f t="shared" ca="1" si="130"/>
        <v/>
      </c>
      <c r="Y48" s="292" t="str">
        <f t="shared" ca="1" si="131"/>
        <v/>
      </c>
      <c r="Z48" s="410" t="str">
        <f t="shared" ca="1" si="132"/>
        <v/>
      </c>
      <c r="AA48" s="410"/>
      <c r="AB48" s="411" t="str">
        <f t="shared" ca="1" si="133"/>
        <v/>
      </c>
      <c r="AC48" s="411"/>
      <c r="AD48" s="412"/>
      <c r="AE48" s="273" t="str">
        <f t="shared" ca="1" si="134"/>
        <v/>
      </c>
      <c r="AF48" s="29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93" t="b">
        <f t="shared" ca="1" si="135"/>
        <v>1</v>
      </c>
      <c r="AH48" s="131" t="b">
        <f t="shared" ca="1" si="136"/>
        <v>1</v>
      </c>
      <c r="AI48" s="132"/>
    </row>
    <row r="49" spans="2:35" ht="18.75" x14ac:dyDescent="0.4">
      <c r="B49" s="426"/>
      <c r="C49" s="427"/>
      <c r="D49" s="427"/>
      <c r="E49" s="428"/>
      <c r="F49" s="422" t="str">
        <f t="shared" ca="1" si="127"/>
        <v/>
      </c>
      <c r="G49" s="422"/>
      <c r="H49" s="42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423"/>
      <c r="J49" s="410" t="str">
        <f ca="1">IFERROR(VLOOKUP($B49,INDIRECT(CONCATENATE("'",成績管理表!$D$9,$L$39,"'!",$P$39)),$J$40,FALSE)&amp;"","")</f>
        <v/>
      </c>
      <c r="K49" s="410"/>
      <c r="L49" s="410" t="str">
        <f ca="1">IFERROR(VLOOKUP($B49,INDIRECT(CONCATENATE("'",成績管理表!$D$9,$L$39,"'!",$P$39)),$L$40,FALSE)&amp;"","")</f>
        <v/>
      </c>
      <c r="M49" s="410"/>
      <c r="N49" s="292" t="str">
        <f ca="1">IFERROR(VLOOKUP($B49,INDIRECT(CONCATENATE("'",成績管理表!$D$9,$L$39,"'!",$P$39)),$N$40,FALSE)&amp;"","")</f>
        <v/>
      </c>
      <c r="O49" s="292" t="str">
        <f ca="1">IFERROR(VLOOKUP($B49,INDIRECT(CONCATENATE("'",成績管理表!$D$9,$L$39,"'!",$P$39)),$O$40,FALSE)&amp;"","")</f>
        <v/>
      </c>
      <c r="P49" s="292" t="str">
        <f ca="1">IFERROR(VLOOKUP($B49,INDIRECT(CONCATENATE("'",成績管理表!$D$9,$L$39,"'!",$P$39)),$P$40,FALSE)&amp;"","")</f>
        <v/>
      </c>
      <c r="Q49" s="410" t="str">
        <f ca="1">IFERROR(VLOOKUP($B49,INDIRECT(CONCATENATE("'",成績管理表!$D$9,$L$39,"'!",$P$39)),$Q$40,FALSE)&amp;"","")</f>
        <v/>
      </c>
      <c r="R49" s="410"/>
      <c r="S49" s="129" t="str">
        <f ca="1">IFERROR(VLOOKUP($B49,INDIRECT(CONCATENATE("'",成績管理表!$D$9,$L$39,"'!",$P$39)),$S$40,FALSE),"")</f>
        <v/>
      </c>
      <c r="T49" s="110"/>
      <c r="U49" s="190" t="str">
        <f t="shared" si="128"/>
        <v/>
      </c>
      <c r="V49" s="130" t="str">
        <f ca="1">IFERROR(VLOOKUP($B49,INDIRECT(CONCATENATE("'",成績管理表!$D$9,$L$39,"'!",$P$39)),$V$40,FALSE)&amp;"","")</f>
        <v/>
      </c>
      <c r="W49" s="292" t="str">
        <f t="shared" ca="1" si="129"/>
        <v/>
      </c>
      <c r="X49" s="292" t="str">
        <f t="shared" ca="1" si="130"/>
        <v/>
      </c>
      <c r="Y49" s="292" t="str">
        <f t="shared" ca="1" si="131"/>
        <v/>
      </c>
      <c r="Z49" s="410" t="str">
        <f t="shared" ca="1" si="132"/>
        <v/>
      </c>
      <c r="AA49" s="410"/>
      <c r="AB49" s="411" t="str">
        <f t="shared" ca="1" si="133"/>
        <v/>
      </c>
      <c r="AC49" s="411"/>
      <c r="AD49" s="412"/>
      <c r="AE49" s="273" t="str">
        <f t="shared" ca="1" si="134"/>
        <v/>
      </c>
      <c r="AF49" s="29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93" t="b">
        <f t="shared" ca="1" si="135"/>
        <v>1</v>
      </c>
      <c r="AH49" s="131" t="b">
        <f t="shared" ca="1" si="136"/>
        <v>1</v>
      </c>
      <c r="AI49" s="132"/>
    </row>
    <row r="50" spans="2:35" ht="18.75" x14ac:dyDescent="0.4">
      <c r="B50" s="426"/>
      <c r="C50" s="427"/>
      <c r="D50" s="427"/>
      <c r="E50" s="428"/>
      <c r="F50" s="422" t="str">
        <f t="shared" ca="1" si="127"/>
        <v/>
      </c>
      <c r="G50" s="422"/>
      <c r="H50" s="42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423"/>
      <c r="J50" s="410" t="str">
        <f ca="1">IFERROR(VLOOKUP($B50,INDIRECT(CONCATENATE("'",成績管理表!$D$9,$L$39,"'!",$P$39)),$J$40,FALSE)&amp;"","")</f>
        <v/>
      </c>
      <c r="K50" s="410"/>
      <c r="L50" s="410" t="str">
        <f ca="1">IFERROR(VLOOKUP($B50,INDIRECT(CONCATENATE("'",成績管理表!$D$9,$L$39,"'!",$P$39)),$L$40,FALSE)&amp;"","")</f>
        <v/>
      </c>
      <c r="M50" s="410"/>
      <c r="N50" s="292" t="str">
        <f ca="1">IFERROR(VLOOKUP($B50,INDIRECT(CONCATENATE("'",成績管理表!$D$9,$L$39,"'!",$P$39)),$N$40,FALSE)&amp;"","")</f>
        <v/>
      </c>
      <c r="O50" s="292" t="str">
        <f ca="1">IFERROR(VLOOKUP($B50,INDIRECT(CONCATENATE("'",成績管理表!$D$9,$L$39,"'!",$P$39)),$O$40,FALSE)&amp;"","")</f>
        <v/>
      </c>
      <c r="P50" s="292" t="str">
        <f ca="1">IFERROR(VLOOKUP($B50,INDIRECT(CONCATENATE("'",成績管理表!$D$9,$L$39,"'!",$P$39)),$P$40,FALSE)&amp;"","")</f>
        <v/>
      </c>
      <c r="Q50" s="410" t="str">
        <f ca="1">IFERROR(VLOOKUP($B50,INDIRECT(CONCATENATE("'",成績管理表!$D$9,$L$39,"'!",$P$39)),$Q$40,FALSE)&amp;"","")</f>
        <v/>
      </c>
      <c r="R50" s="410"/>
      <c r="S50" s="129" t="str">
        <f ca="1">IFERROR(VLOOKUP($B50,INDIRECT(CONCATENATE("'",成績管理表!$D$9,$L$39,"'!",$P$39)),$S$40,FALSE),"")</f>
        <v/>
      </c>
      <c r="T50" s="110"/>
      <c r="U50" s="190" t="str">
        <f t="shared" si="128"/>
        <v/>
      </c>
      <c r="V50" s="130" t="str">
        <f ca="1">IFERROR(VLOOKUP($B50,INDIRECT(CONCATENATE("'",成績管理表!$D$9,$L$39,"'!",$P$39)),$V$40,FALSE)&amp;"","")</f>
        <v/>
      </c>
      <c r="W50" s="292" t="str">
        <f t="shared" ca="1" si="129"/>
        <v/>
      </c>
      <c r="X50" s="292" t="str">
        <f t="shared" ca="1" si="130"/>
        <v/>
      </c>
      <c r="Y50" s="292" t="str">
        <f t="shared" ca="1" si="131"/>
        <v/>
      </c>
      <c r="Z50" s="410" t="str">
        <f t="shared" ca="1" si="132"/>
        <v/>
      </c>
      <c r="AA50" s="410"/>
      <c r="AB50" s="411" t="str">
        <f t="shared" ca="1" si="133"/>
        <v/>
      </c>
      <c r="AC50" s="411"/>
      <c r="AD50" s="412"/>
      <c r="AE50" s="273" t="str">
        <f t="shared" ca="1" si="134"/>
        <v/>
      </c>
      <c r="AF50" s="29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93" t="b">
        <f t="shared" ca="1" si="135"/>
        <v>1</v>
      </c>
      <c r="AH50" s="131" t="b">
        <f t="shared" ca="1" si="136"/>
        <v>1</v>
      </c>
      <c r="AI50" s="132"/>
    </row>
    <row r="51" spans="2:35" ht="18.75" x14ac:dyDescent="0.4">
      <c r="B51" s="420"/>
      <c r="C51" s="421"/>
      <c r="D51" s="421"/>
      <c r="E51" s="421"/>
      <c r="F51" s="422" t="str">
        <f t="shared" ca="1" si="127"/>
        <v/>
      </c>
      <c r="G51" s="422"/>
      <c r="H51" s="42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423"/>
      <c r="J51" s="410" t="str">
        <f ca="1">IFERROR(VLOOKUP($B51,INDIRECT(CONCATENATE("'",成績管理表!$D$9,$L$39,"'!",$P$39)),$J$40,FALSE)&amp;"","")</f>
        <v/>
      </c>
      <c r="K51" s="410"/>
      <c r="L51" s="410" t="str">
        <f ca="1">IFERROR(VLOOKUP($B51,INDIRECT(CONCATENATE("'",成績管理表!$D$9,$L$39,"'!",$P$39)),$L$40,FALSE)&amp;"","")</f>
        <v/>
      </c>
      <c r="M51" s="410"/>
      <c r="N51" s="292" t="str">
        <f ca="1">IFERROR(VLOOKUP($B51,INDIRECT(CONCATENATE("'",成績管理表!$D$9,$L$39,"'!",$P$39)),$N$40,FALSE)&amp;"","")</f>
        <v/>
      </c>
      <c r="O51" s="292" t="str">
        <f ca="1">IFERROR(VLOOKUP($B51,INDIRECT(CONCATENATE("'",成績管理表!$D$9,$L$39,"'!",$P$39)),$O$40,FALSE)&amp;"","")</f>
        <v/>
      </c>
      <c r="P51" s="292" t="str">
        <f ca="1">IFERROR(VLOOKUP($B51,INDIRECT(CONCATENATE("'",成績管理表!$D$9,$L$39,"'!",$P$39)),$P$40,FALSE)&amp;"","")</f>
        <v/>
      </c>
      <c r="Q51" s="410" t="str">
        <f ca="1">IFERROR(VLOOKUP($B51,INDIRECT(CONCATENATE("'",成績管理表!$D$9,$L$39,"'!",$P$39)),$Q$40,FALSE)&amp;"","")</f>
        <v/>
      </c>
      <c r="R51" s="410"/>
      <c r="S51" s="129" t="str">
        <f ca="1">IFERROR(VLOOKUP($B51,INDIRECT(CONCATENATE("'",成績管理表!$D$9,$L$39,"'!",$P$39)),$S$40,FALSE),"")</f>
        <v/>
      </c>
      <c r="T51" s="110"/>
      <c r="U51" s="190" t="str">
        <f t="shared" si="128"/>
        <v/>
      </c>
      <c r="V51" s="130" t="str">
        <f ca="1">IFERROR(VLOOKUP($B51,INDIRECT(CONCATENATE("'",成績管理表!$D$9,$L$39,"'!",$P$39)),$V$40,FALSE)&amp;"","")</f>
        <v/>
      </c>
      <c r="W51" s="292" t="str">
        <f t="shared" ca="1" si="129"/>
        <v/>
      </c>
      <c r="X51" s="292" t="str">
        <f t="shared" ca="1" si="130"/>
        <v/>
      </c>
      <c r="Y51" s="292" t="str">
        <f t="shared" ca="1" si="131"/>
        <v/>
      </c>
      <c r="Z51" s="410" t="str">
        <f t="shared" ca="1" si="132"/>
        <v/>
      </c>
      <c r="AA51" s="410"/>
      <c r="AB51" s="411" t="str">
        <f t="shared" ca="1" si="133"/>
        <v/>
      </c>
      <c r="AC51" s="411"/>
      <c r="AD51" s="412"/>
      <c r="AE51" s="273" t="str">
        <f t="shared" ca="1" si="134"/>
        <v/>
      </c>
      <c r="AF51" s="29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93" t="b">
        <f t="shared" ca="1" si="135"/>
        <v>1</v>
      </c>
      <c r="AH51" s="131" t="b">
        <f t="shared" ca="1" si="136"/>
        <v>1</v>
      </c>
      <c r="AI51" s="132"/>
    </row>
    <row r="52" spans="2:35" ht="18.75" x14ac:dyDescent="0.4">
      <c r="B52" s="420"/>
      <c r="C52" s="421"/>
      <c r="D52" s="421"/>
      <c r="E52" s="421"/>
      <c r="F52" s="422" t="str">
        <f t="shared" ca="1" si="127"/>
        <v/>
      </c>
      <c r="G52" s="422"/>
      <c r="H52" s="42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423"/>
      <c r="J52" s="410" t="str">
        <f ca="1">IFERROR(VLOOKUP($B52,INDIRECT(CONCATENATE("'",成績管理表!$D$9,$L$39,"'!",$P$39)),$J$40,FALSE)&amp;"","")</f>
        <v/>
      </c>
      <c r="K52" s="410"/>
      <c r="L52" s="410" t="str">
        <f ca="1">IFERROR(VLOOKUP($B52,INDIRECT(CONCATENATE("'",成績管理表!$D$9,$L$39,"'!",$P$39)),$L$40,FALSE)&amp;"","")</f>
        <v/>
      </c>
      <c r="M52" s="410"/>
      <c r="N52" s="292" t="str">
        <f ca="1">IFERROR(VLOOKUP($B52,INDIRECT(CONCATENATE("'",成績管理表!$D$9,$L$39,"'!",$P$39)),$N$40,FALSE)&amp;"","")</f>
        <v/>
      </c>
      <c r="O52" s="292" t="str">
        <f ca="1">IFERROR(VLOOKUP($B52,INDIRECT(CONCATENATE("'",成績管理表!$D$9,$L$39,"'!",$P$39)),$O$40,FALSE)&amp;"","")</f>
        <v/>
      </c>
      <c r="P52" s="292" t="str">
        <f ca="1">IFERROR(VLOOKUP($B52,INDIRECT(CONCATENATE("'",成績管理表!$D$9,$L$39,"'!",$P$39)),$P$40,FALSE)&amp;"","")</f>
        <v/>
      </c>
      <c r="Q52" s="410" t="str">
        <f ca="1">IFERROR(VLOOKUP($B52,INDIRECT(CONCATENATE("'",成績管理表!$D$9,$L$39,"'!",$P$39)),$Q$40,FALSE)&amp;"","")</f>
        <v/>
      </c>
      <c r="R52" s="410"/>
      <c r="S52" s="129" t="str">
        <f ca="1">IFERROR(VLOOKUP($B52,INDIRECT(CONCATENATE("'",成績管理表!$D$9,$L$39,"'!",$P$39)),$S$40,FALSE),"")</f>
        <v/>
      </c>
      <c r="T52" s="110"/>
      <c r="U52" s="190" t="str">
        <f t="shared" si="128"/>
        <v/>
      </c>
      <c r="V52" s="130" t="str">
        <f ca="1">IFERROR(VLOOKUP($B52,INDIRECT(CONCATENATE("'",成績管理表!$D$9,$L$39,"'!",$P$39)),$V$40,FALSE)&amp;"","")</f>
        <v/>
      </c>
      <c r="W52" s="292" t="str">
        <f t="shared" ca="1" si="129"/>
        <v/>
      </c>
      <c r="X52" s="292" t="str">
        <f t="shared" ca="1" si="130"/>
        <v/>
      </c>
      <c r="Y52" s="292" t="str">
        <f t="shared" ca="1" si="131"/>
        <v/>
      </c>
      <c r="Z52" s="410" t="str">
        <f t="shared" ca="1" si="132"/>
        <v/>
      </c>
      <c r="AA52" s="410"/>
      <c r="AB52" s="411" t="str">
        <f t="shared" ca="1" si="133"/>
        <v/>
      </c>
      <c r="AC52" s="411"/>
      <c r="AD52" s="412"/>
      <c r="AE52" s="273" t="str">
        <f t="shared" ca="1" si="134"/>
        <v/>
      </c>
      <c r="AF52" s="29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93" t="b">
        <f t="shared" ca="1" si="135"/>
        <v>1</v>
      </c>
      <c r="AH52" s="131" t="b">
        <f t="shared" ca="1" si="136"/>
        <v>1</v>
      </c>
      <c r="AI52" s="132"/>
    </row>
    <row r="53" spans="2:35" ht="18.75" x14ac:dyDescent="0.4">
      <c r="B53" s="420"/>
      <c r="C53" s="421"/>
      <c r="D53" s="421"/>
      <c r="E53" s="421"/>
      <c r="F53" s="422" t="str">
        <f t="shared" ca="1" si="127"/>
        <v/>
      </c>
      <c r="G53" s="422"/>
      <c r="H53" s="42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423"/>
      <c r="J53" s="410" t="str">
        <f ca="1">IFERROR(VLOOKUP($B53,INDIRECT(CONCATENATE("'",成績管理表!$D$9,$L$39,"'!",$P$39)),$J$40,FALSE)&amp;"","")</f>
        <v/>
      </c>
      <c r="K53" s="410"/>
      <c r="L53" s="410" t="str">
        <f ca="1">IFERROR(VLOOKUP($B53,INDIRECT(CONCATENATE("'",成績管理表!$D$9,$L$39,"'!",$P$39)),$L$40,FALSE)&amp;"","")</f>
        <v/>
      </c>
      <c r="M53" s="410"/>
      <c r="N53" s="292" t="str">
        <f ca="1">IFERROR(VLOOKUP($B53,INDIRECT(CONCATENATE("'",成績管理表!$D$9,$L$39,"'!",$P$39)),$N$40,FALSE)&amp;"","")</f>
        <v/>
      </c>
      <c r="O53" s="292" t="str">
        <f ca="1">IFERROR(VLOOKUP($B53,INDIRECT(CONCATENATE("'",成績管理表!$D$9,$L$39,"'!",$P$39)),$O$40,FALSE)&amp;"","")</f>
        <v/>
      </c>
      <c r="P53" s="292" t="str">
        <f ca="1">IFERROR(VLOOKUP($B53,INDIRECT(CONCATENATE("'",成績管理表!$D$9,$L$39,"'!",$P$39)),$P$40,FALSE)&amp;"","")</f>
        <v/>
      </c>
      <c r="Q53" s="410" t="str">
        <f ca="1">IFERROR(VLOOKUP($B53,INDIRECT(CONCATENATE("'",成績管理表!$D$9,$L$39,"'!",$P$39)),$Q$40,FALSE)&amp;"","")</f>
        <v/>
      </c>
      <c r="R53" s="410"/>
      <c r="S53" s="129" t="str">
        <f ca="1">IFERROR(VLOOKUP($B53,INDIRECT(CONCATENATE("'",成績管理表!$D$9,$L$39,"'!",$P$39)),$S$40,FALSE),"")</f>
        <v/>
      </c>
      <c r="T53" s="110"/>
      <c r="U53" s="190" t="str">
        <f t="shared" si="128"/>
        <v/>
      </c>
      <c r="V53" s="130" t="str">
        <f ca="1">IFERROR(VLOOKUP($B53,INDIRECT(CONCATENATE("'",成績管理表!$D$9,$L$39,"'!",$P$39)),$V$40,FALSE)&amp;"","")</f>
        <v/>
      </c>
      <c r="W53" s="292" t="str">
        <f t="shared" ca="1" si="129"/>
        <v/>
      </c>
      <c r="X53" s="292" t="str">
        <f t="shared" ca="1" si="130"/>
        <v/>
      </c>
      <c r="Y53" s="292" t="str">
        <f t="shared" ca="1" si="131"/>
        <v/>
      </c>
      <c r="Z53" s="410" t="str">
        <f t="shared" ca="1" si="132"/>
        <v/>
      </c>
      <c r="AA53" s="410"/>
      <c r="AB53" s="411" t="str">
        <f t="shared" ca="1" si="133"/>
        <v/>
      </c>
      <c r="AC53" s="411"/>
      <c r="AD53" s="412"/>
      <c r="AE53" s="273" t="str">
        <f t="shared" ca="1" si="134"/>
        <v/>
      </c>
      <c r="AF53" s="29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93" t="b">
        <f t="shared" ca="1" si="135"/>
        <v>1</v>
      </c>
      <c r="AH53" s="131" t="b">
        <f t="shared" ca="1" si="136"/>
        <v>1</v>
      </c>
      <c r="AI53" s="132"/>
    </row>
    <row r="54" spans="2:35" ht="18.75" x14ac:dyDescent="0.4">
      <c r="B54" s="420"/>
      <c r="C54" s="421"/>
      <c r="D54" s="421"/>
      <c r="E54" s="421"/>
      <c r="F54" s="422" t="str">
        <f t="shared" ca="1" si="127"/>
        <v/>
      </c>
      <c r="G54" s="422"/>
      <c r="H54" s="42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423"/>
      <c r="J54" s="410" t="str">
        <f ca="1">IFERROR(VLOOKUP($B54,INDIRECT(CONCATENATE("'",成績管理表!$D$9,$L$39,"'!",$P$39)),$J$40,FALSE)&amp;"","")</f>
        <v/>
      </c>
      <c r="K54" s="410"/>
      <c r="L54" s="410" t="str">
        <f ca="1">IFERROR(VLOOKUP($B54,INDIRECT(CONCATENATE("'",成績管理表!$D$9,$L$39,"'!",$P$39)),$L$40,FALSE)&amp;"","")</f>
        <v/>
      </c>
      <c r="M54" s="410"/>
      <c r="N54" s="292" t="str">
        <f ca="1">IFERROR(VLOOKUP($B54,INDIRECT(CONCATENATE("'",成績管理表!$D$9,$L$39,"'!",$P$39)),$N$40,FALSE)&amp;"","")</f>
        <v/>
      </c>
      <c r="O54" s="292" t="str">
        <f ca="1">IFERROR(VLOOKUP($B54,INDIRECT(CONCATENATE("'",成績管理表!$D$9,$L$39,"'!",$P$39)),$O$40,FALSE)&amp;"","")</f>
        <v/>
      </c>
      <c r="P54" s="292" t="str">
        <f ca="1">IFERROR(VLOOKUP($B54,INDIRECT(CONCATENATE("'",成績管理表!$D$9,$L$39,"'!",$P$39)),$P$40,FALSE)&amp;"","")</f>
        <v/>
      </c>
      <c r="Q54" s="410" t="str">
        <f ca="1">IFERROR(VLOOKUP($B54,INDIRECT(CONCATENATE("'",成績管理表!$D$9,$L$39,"'!",$P$39)),$Q$40,FALSE)&amp;"","")</f>
        <v/>
      </c>
      <c r="R54" s="410"/>
      <c r="S54" s="129" t="str">
        <f ca="1">IFERROR(VLOOKUP($B54,INDIRECT(CONCATENATE("'",成績管理表!$D$9,$L$39,"'!",$P$39)),$S$40,FALSE),"")</f>
        <v/>
      </c>
      <c r="T54" s="110"/>
      <c r="U54" s="190" t="str">
        <f t="shared" si="128"/>
        <v/>
      </c>
      <c r="V54" s="130" t="str">
        <f ca="1">IFERROR(VLOOKUP($B54,INDIRECT(CONCATENATE("'",成績管理表!$D$9,$L$39,"'!",$P$39)),$V$40,FALSE)&amp;"","")</f>
        <v/>
      </c>
      <c r="W54" s="292" t="str">
        <f t="shared" ca="1" si="129"/>
        <v/>
      </c>
      <c r="X54" s="292" t="str">
        <f t="shared" ca="1" si="130"/>
        <v/>
      </c>
      <c r="Y54" s="292" t="str">
        <f t="shared" ca="1" si="131"/>
        <v/>
      </c>
      <c r="Z54" s="410" t="str">
        <f t="shared" ca="1" si="132"/>
        <v/>
      </c>
      <c r="AA54" s="410"/>
      <c r="AB54" s="411" t="str">
        <f t="shared" ca="1" si="133"/>
        <v/>
      </c>
      <c r="AC54" s="411"/>
      <c r="AD54" s="412"/>
      <c r="AE54" s="273" t="str">
        <f t="shared" ca="1" si="134"/>
        <v/>
      </c>
      <c r="AF54" s="29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93" t="b">
        <f t="shared" ca="1" si="135"/>
        <v>1</v>
      </c>
      <c r="AH54" s="131" t="b">
        <f t="shared" ca="1" si="136"/>
        <v>1</v>
      </c>
      <c r="AI54" s="132"/>
    </row>
    <row r="55" spans="2:35" ht="18.75" x14ac:dyDescent="0.4">
      <c r="B55" s="426"/>
      <c r="C55" s="427"/>
      <c r="D55" s="427"/>
      <c r="E55" s="428"/>
      <c r="F55" s="422" t="str">
        <f t="shared" ca="1" si="127"/>
        <v/>
      </c>
      <c r="G55" s="422"/>
      <c r="H55" s="42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423"/>
      <c r="J55" s="410" t="str">
        <f ca="1">IFERROR(VLOOKUP($B55,INDIRECT(CONCATENATE("'",成績管理表!$D$9,$L$39,"'!",$P$39)),$J$40,FALSE)&amp;"","")</f>
        <v/>
      </c>
      <c r="K55" s="410"/>
      <c r="L55" s="410" t="str">
        <f ca="1">IFERROR(VLOOKUP($B55,INDIRECT(CONCATENATE("'",成績管理表!$D$9,$L$39,"'!",$P$39)),$L$40,FALSE)&amp;"","")</f>
        <v/>
      </c>
      <c r="M55" s="410"/>
      <c r="N55" s="292" t="str">
        <f ca="1">IFERROR(VLOOKUP($B55,INDIRECT(CONCATENATE("'",成績管理表!$D$9,$L$39,"'!",$P$39)),$N$40,FALSE)&amp;"","")</f>
        <v/>
      </c>
      <c r="O55" s="292" t="str">
        <f ca="1">IFERROR(VLOOKUP($B55,INDIRECT(CONCATENATE("'",成績管理表!$D$9,$L$39,"'!",$P$39)),$O$40,FALSE)&amp;"","")</f>
        <v/>
      </c>
      <c r="P55" s="292" t="str">
        <f ca="1">IFERROR(VLOOKUP($B55,INDIRECT(CONCATENATE("'",成績管理表!$D$9,$L$39,"'!",$P$39)),$P$40,FALSE)&amp;"","")</f>
        <v/>
      </c>
      <c r="Q55" s="410" t="str">
        <f ca="1">IFERROR(VLOOKUP($B55,INDIRECT(CONCATENATE("'",成績管理表!$D$9,$L$39,"'!",$P$39)),$Q$40,FALSE)&amp;"","")</f>
        <v/>
      </c>
      <c r="R55" s="410"/>
      <c r="S55" s="129" t="str">
        <f ca="1">IFERROR(VLOOKUP($B55,INDIRECT(CONCATENATE("'",成績管理表!$D$9,$L$39,"'!",$P$39)),$S$40,FALSE),"")</f>
        <v/>
      </c>
      <c r="T55" s="110"/>
      <c r="U55" s="190" t="str">
        <f t="shared" si="128"/>
        <v/>
      </c>
      <c r="V55" s="130" t="str">
        <f ca="1">IFERROR(VLOOKUP($B55,INDIRECT(CONCATENATE("'",成績管理表!$D$9,$L$39,"'!",$P$39)),$V$40,FALSE)&amp;"","")</f>
        <v/>
      </c>
      <c r="W55" s="292" t="str">
        <f t="shared" ca="1" si="129"/>
        <v/>
      </c>
      <c r="X55" s="292" t="str">
        <f t="shared" ca="1" si="130"/>
        <v/>
      </c>
      <c r="Y55" s="292" t="str">
        <f t="shared" ca="1" si="131"/>
        <v/>
      </c>
      <c r="Z55" s="410" t="str">
        <f t="shared" ca="1" si="132"/>
        <v/>
      </c>
      <c r="AA55" s="410"/>
      <c r="AB55" s="411" t="str">
        <f t="shared" ca="1" si="133"/>
        <v/>
      </c>
      <c r="AC55" s="411"/>
      <c r="AD55" s="412"/>
      <c r="AE55" s="273" t="str">
        <f t="shared" ca="1" si="134"/>
        <v/>
      </c>
      <c r="AF55" s="29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93" t="b">
        <f t="shared" ca="1" si="135"/>
        <v>1</v>
      </c>
      <c r="AH55" s="131" t="b">
        <f t="shared" ca="1" si="136"/>
        <v>1</v>
      </c>
      <c r="AI55" s="132"/>
    </row>
    <row r="56" spans="2:35" ht="18.75" x14ac:dyDescent="0.4">
      <c r="B56" s="426"/>
      <c r="C56" s="427"/>
      <c r="D56" s="427"/>
      <c r="E56" s="428"/>
      <c r="F56" s="422" t="str">
        <f t="shared" ca="1" si="127"/>
        <v/>
      </c>
      <c r="G56" s="422"/>
      <c r="H56" s="42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423"/>
      <c r="J56" s="410" t="str">
        <f ca="1">IFERROR(VLOOKUP($B56,INDIRECT(CONCATENATE("'",成績管理表!$D$9,$L$39,"'!",$P$39)),$J$40,FALSE)&amp;"","")</f>
        <v/>
      </c>
      <c r="K56" s="410"/>
      <c r="L56" s="410" t="str">
        <f ca="1">IFERROR(VLOOKUP($B56,INDIRECT(CONCATENATE("'",成績管理表!$D$9,$L$39,"'!",$P$39)),$L$40,FALSE)&amp;"","")</f>
        <v/>
      </c>
      <c r="M56" s="410"/>
      <c r="N56" s="292" t="str">
        <f ca="1">IFERROR(VLOOKUP($B56,INDIRECT(CONCATENATE("'",成績管理表!$D$9,$L$39,"'!",$P$39)),$N$40,FALSE)&amp;"","")</f>
        <v/>
      </c>
      <c r="O56" s="292" t="str">
        <f ca="1">IFERROR(VLOOKUP($B56,INDIRECT(CONCATENATE("'",成績管理表!$D$9,$L$39,"'!",$P$39)),$O$40,FALSE)&amp;"","")</f>
        <v/>
      </c>
      <c r="P56" s="292" t="str">
        <f ca="1">IFERROR(VLOOKUP($B56,INDIRECT(CONCATENATE("'",成績管理表!$D$9,$L$39,"'!",$P$39)),$P$40,FALSE)&amp;"","")</f>
        <v/>
      </c>
      <c r="Q56" s="410" t="str">
        <f ca="1">IFERROR(VLOOKUP($B56,INDIRECT(CONCATENATE("'",成績管理表!$D$9,$L$39,"'!",$P$39)),$Q$40,FALSE)&amp;"","")</f>
        <v/>
      </c>
      <c r="R56" s="410"/>
      <c r="S56" s="129" t="str">
        <f ca="1">IFERROR(VLOOKUP($B56,INDIRECT(CONCATENATE("'",成績管理表!$D$9,$L$39,"'!",$P$39)),$S$40,FALSE),"")</f>
        <v/>
      </c>
      <c r="T56" s="110"/>
      <c r="U56" s="190" t="str">
        <f t="shared" si="128"/>
        <v/>
      </c>
      <c r="V56" s="130" t="str">
        <f ca="1">IFERROR(VLOOKUP($B56,INDIRECT(CONCATENATE("'",成績管理表!$D$9,$L$39,"'!",$P$39)),$V$40,FALSE)&amp;"","")</f>
        <v/>
      </c>
      <c r="W56" s="292" t="str">
        <f t="shared" ca="1" si="129"/>
        <v/>
      </c>
      <c r="X56" s="292" t="str">
        <f t="shared" ca="1" si="130"/>
        <v/>
      </c>
      <c r="Y56" s="292" t="str">
        <f t="shared" ca="1" si="131"/>
        <v/>
      </c>
      <c r="Z56" s="410" t="str">
        <f t="shared" ca="1" si="132"/>
        <v/>
      </c>
      <c r="AA56" s="410"/>
      <c r="AB56" s="411" t="str">
        <f t="shared" ca="1" si="133"/>
        <v/>
      </c>
      <c r="AC56" s="411"/>
      <c r="AD56" s="412"/>
      <c r="AE56" s="273" t="str">
        <f t="shared" ca="1" si="134"/>
        <v/>
      </c>
      <c r="AF56" s="29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93" t="b">
        <f t="shared" ca="1" si="135"/>
        <v>1</v>
      </c>
      <c r="AH56" s="131" t="b">
        <f t="shared" ca="1" si="136"/>
        <v>1</v>
      </c>
      <c r="AI56" s="132"/>
    </row>
    <row r="57" spans="2:35" ht="18.75" x14ac:dyDescent="0.4">
      <c r="B57" s="426"/>
      <c r="C57" s="427"/>
      <c r="D57" s="427"/>
      <c r="E57" s="428"/>
      <c r="F57" s="422" t="str">
        <f t="shared" ca="1" si="127"/>
        <v/>
      </c>
      <c r="G57" s="422"/>
      <c r="H57" s="42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423"/>
      <c r="J57" s="410" t="str">
        <f ca="1">IFERROR(VLOOKUP($B57,INDIRECT(CONCATENATE("'",成績管理表!$D$9,$L$39,"'!",$P$39)),$J$40,FALSE)&amp;"","")</f>
        <v/>
      </c>
      <c r="K57" s="410"/>
      <c r="L57" s="410" t="str">
        <f ca="1">IFERROR(VLOOKUP($B57,INDIRECT(CONCATENATE("'",成績管理表!$D$9,$L$39,"'!",$P$39)),$L$40,FALSE)&amp;"","")</f>
        <v/>
      </c>
      <c r="M57" s="410"/>
      <c r="N57" s="292" t="str">
        <f ca="1">IFERROR(VLOOKUP($B57,INDIRECT(CONCATENATE("'",成績管理表!$D$9,$L$39,"'!",$P$39)),$N$40,FALSE)&amp;"","")</f>
        <v/>
      </c>
      <c r="O57" s="292" t="str">
        <f ca="1">IFERROR(VLOOKUP($B57,INDIRECT(CONCATENATE("'",成績管理表!$D$9,$L$39,"'!",$P$39)),$O$40,FALSE)&amp;"","")</f>
        <v/>
      </c>
      <c r="P57" s="292" t="str">
        <f ca="1">IFERROR(VLOOKUP($B57,INDIRECT(CONCATENATE("'",成績管理表!$D$9,$L$39,"'!",$P$39)),$P$40,FALSE)&amp;"","")</f>
        <v/>
      </c>
      <c r="Q57" s="410" t="str">
        <f ca="1">IFERROR(VLOOKUP($B57,INDIRECT(CONCATENATE("'",成績管理表!$D$9,$L$39,"'!",$P$39)),$Q$40,FALSE)&amp;"","")</f>
        <v/>
      </c>
      <c r="R57" s="410"/>
      <c r="S57" s="129" t="str">
        <f ca="1">IFERROR(VLOOKUP($B57,INDIRECT(CONCATENATE("'",成績管理表!$D$9,$L$39,"'!",$P$39)),$S$40,FALSE),"")</f>
        <v/>
      </c>
      <c r="T57" s="110"/>
      <c r="U57" s="190" t="str">
        <f t="shared" si="128"/>
        <v/>
      </c>
      <c r="V57" s="130" t="str">
        <f ca="1">IFERROR(VLOOKUP($B57,INDIRECT(CONCATENATE("'",成績管理表!$D$9,$L$39,"'!",$P$39)),$V$40,FALSE)&amp;"","")</f>
        <v/>
      </c>
      <c r="W57" s="292" t="str">
        <f t="shared" ca="1" si="129"/>
        <v/>
      </c>
      <c r="X57" s="292" t="str">
        <f t="shared" ca="1" si="130"/>
        <v/>
      </c>
      <c r="Y57" s="292" t="str">
        <f t="shared" ca="1" si="131"/>
        <v/>
      </c>
      <c r="Z57" s="410" t="str">
        <f t="shared" ca="1" si="132"/>
        <v/>
      </c>
      <c r="AA57" s="410"/>
      <c r="AB57" s="411" t="str">
        <f t="shared" ca="1" si="133"/>
        <v/>
      </c>
      <c r="AC57" s="411"/>
      <c r="AD57" s="412"/>
      <c r="AE57" s="273" t="str">
        <f t="shared" ca="1" si="134"/>
        <v/>
      </c>
      <c r="AF57" s="29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93" t="b">
        <f t="shared" ca="1" si="135"/>
        <v>1</v>
      </c>
      <c r="AH57" s="131" t="b">
        <f t="shared" ca="1" si="136"/>
        <v>1</v>
      </c>
      <c r="AI57" s="132"/>
    </row>
    <row r="58" spans="2:35" ht="18.75" x14ac:dyDescent="0.4">
      <c r="B58" s="420"/>
      <c r="C58" s="421"/>
      <c r="D58" s="421"/>
      <c r="E58" s="421"/>
      <c r="F58" s="422" t="str">
        <f t="shared" ca="1" si="127"/>
        <v/>
      </c>
      <c r="G58" s="422"/>
      <c r="H58" s="42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423"/>
      <c r="J58" s="410" t="str">
        <f ca="1">IFERROR(VLOOKUP($B58,INDIRECT(CONCATENATE("'",成績管理表!$D$9,$L$39,"'!",$P$39)),$J$40,FALSE)&amp;"","")</f>
        <v/>
      </c>
      <c r="K58" s="410"/>
      <c r="L58" s="410" t="str">
        <f ca="1">IFERROR(VLOOKUP($B58,INDIRECT(CONCATENATE("'",成績管理表!$D$9,$L$39,"'!",$P$39)),$L$40,FALSE)&amp;"","")</f>
        <v/>
      </c>
      <c r="M58" s="410"/>
      <c r="N58" s="292" t="str">
        <f ca="1">IFERROR(VLOOKUP($B58,INDIRECT(CONCATENATE("'",成績管理表!$D$9,$L$39,"'!",$P$39)),$N$40,FALSE)&amp;"","")</f>
        <v/>
      </c>
      <c r="O58" s="292" t="str">
        <f ca="1">IFERROR(VLOOKUP($B58,INDIRECT(CONCATENATE("'",成績管理表!$D$9,$L$39,"'!",$P$39)),$O$40,FALSE)&amp;"","")</f>
        <v/>
      </c>
      <c r="P58" s="292" t="str">
        <f ca="1">IFERROR(VLOOKUP($B58,INDIRECT(CONCATENATE("'",成績管理表!$D$9,$L$39,"'!",$P$39)),$P$40,FALSE)&amp;"","")</f>
        <v/>
      </c>
      <c r="Q58" s="410" t="str">
        <f ca="1">IFERROR(VLOOKUP($B58,INDIRECT(CONCATENATE("'",成績管理表!$D$9,$L$39,"'!",$P$39)),$Q$40,FALSE)&amp;"","")</f>
        <v/>
      </c>
      <c r="R58" s="410"/>
      <c r="S58" s="129" t="str">
        <f ca="1">IFERROR(VLOOKUP($B58,INDIRECT(CONCATENATE("'",成績管理表!$D$9,$L$39,"'!",$P$39)),$S$40,FALSE),"")</f>
        <v/>
      </c>
      <c r="T58" s="110"/>
      <c r="U58" s="190" t="str">
        <f t="shared" si="128"/>
        <v/>
      </c>
      <c r="V58" s="130" t="str">
        <f ca="1">IFERROR(VLOOKUP($B58,INDIRECT(CONCATENATE("'",成績管理表!$D$9,$L$39,"'!",$P$39)),$V$40,FALSE)&amp;"","")</f>
        <v/>
      </c>
      <c r="W58" s="292" t="str">
        <f t="shared" ca="1" si="129"/>
        <v/>
      </c>
      <c r="X58" s="292" t="str">
        <f t="shared" ca="1" si="130"/>
        <v/>
      </c>
      <c r="Y58" s="292" t="str">
        <f t="shared" ca="1" si="131"/>
        <v/>
      </c>
      <c r="Z58" s="410" t="str">
        <f t="shared" ca="1" si="132"/>
        <v/>
      </c>
      <c r="AA58" s="410"/>
      <c r="AB58" s="411" t="str">
        <f t="shared" ca="1" si="133"/>
        <v/>
      </c>
      <c r="AC58" s="411"/>
      <c r="AD58" s="412"/>
      <c r="AE58" s="273" t="str">
        <f t="shared" ca="1" si="134"/>
        <v/>
      </c>
      <c r="AF58" s="29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93" t="b">
        <f t="shared" ca="1" si="135"/>
        <v>1</v>
      </c>
      <c r="AH58" s="131" t="b">
        <f t="shared" ca="1" si="136"/>
        <v>1</v>
      </c>
      <c r="AI58" s="132"/>
    </row>
    <row r="59" spans="2:35" ht="18.75" x14ac:dyDescent="0.4">
      <c r="B59" s="426"/>
      <c r="C59" s="427"/>
      <c r="D59" s="427"/>
      <c r="E59" s="428"/>
      <c r="F59" s="422" t="str">
        <f t="shared" ca="1" si="127"/>
        <v/>
      </c>
      <c r="G59" s="422"/>
      <c r="H59" s="42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423"/>
      <c r="J59" s="410" t="str">
        <f ca="1">IFERROR(VLOOKUP($B59,INDIRECT(CONCATENATE("'",成績管理表!$D$9,$L$39,"'!",$P$39)),$J$40,FALSE)&amp;"","")</f>
        <v/>
      </c>
      <c r="K59" s="410"/>
      <c r="L59" s="410" t="str">
        <f ca="1">IFERROR(VLOOKUP($B59,INDIRECT(CONCATENATE("'",成績管理表!$D$9,$L$39,"'!",$P$39)),$L$40,FALSE)&amp;"","")</f>
        <v/>
      </c>
      <c r="M59" s="410"/>
      <c r="N59" s="292" t="str">
        <f ca="1">IFERROR(VLOOKUP($B59,INDIRECT(CONCATENATE("'",成績管理表!$D$9,$L$39,"'!",$P$39)),$N$40,FALSE)&amp;"","")</f>
        <v/>
      </c>
      <c r="O59" s="292" t="str">
        <f ca="1">IFERROR(VLOOKUP($B59,INDIRECT(CONCATENATE("'",成績管理表!$D$9,$L$39,"'!",$P$39)),$O$40,FALSE)&amp;"","")</f>
        <v/>
      </c>
      <c r="P59" s="292" t="str">
        <f ca="1">IFERROR(VLOOKUP($B59,INDIRECT(CONCATENATE("'",成績管理表!$D$9,$L$39,"'!",$P$39)),$P$40,FALSE)&amp;"","")</f>
        <v/>
      </c>
      <c r="Q59" s="410" t="str">
        <f ca="1">IFERROR(VLOOKUP($B59,INDIRECT(CONCATENATE("'",成績管理表!$D$9,$L$39,"'!",$P$39)),$Q$40,FALSE)&amp;"","")</f>
        <v/>
      </c>
      <c r="R59" s="410"/>
      <c r="S59" s="129" t="str">
        <f ca="1">IFERROR(VLOOKUP($B59,INDIRECT(CONCATENATE("'",成績管理表!$D$9,$L$39,"'!",$P$39)),$S$40,FALSE),"")</f>
        <v/>
      </c>
      <c r="T59" s="110"/>
      <c r="U59" s="190" t="str">
        <f t="shared" si="128"/>
        <v/>
      </c>
      <c r="V59" s="130" t="str">
        <f ca="1">IFERROR(VLOOKUP($B59,INDIRECT(CONCATENATE("'",成績管理表!$D$9,$L$39,"'!",$P$39)),$V$40,FALSE)&amp;"","")</f>
        <v/>
      </c>
      <c r="W59" s="292" t="str">
        <f t="shared" ca="1" si="129"/>
        <v/>
      </c>
      <c r="X59" s="292" t="str">
        <f t="shared" ca="1" si="130"/>
        <v/>
      </c>
      <c r="Y59" s="292" t="str">
        <f t="shared" ca="1" si="131"/>
        <v/>
      </c>
      <c r="Z59" s="410" t="str">
        <f t="shared" ca="1" si="132"/>
        <v/>
      </c>
      <c r="AA59" s="410"/>
      <c r="AB59" s="411" t="str">
        <f t="shared" ca="1" si="133"/>
        <v/>
      </c>
      <c r="AC59" s="411"/>
      <c r="AD59" s="412"/>
      <c r="AE59" s="273" t="str">
        <f t="shared" ca="1" si="134"/>
        <v/>
      </c>
      <c r="AF59" s="29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93" t="b">
        <f t="shared" ca="1" si="135"/>
        <v>1</v>
      </c>
      <c r="AH59" s="131" t="b">
        <f t="shared" ca="1" si="136"/>
        <v>1</v>
      </c>
    </row>
    <row r="60" spans="2:35" ht="18.75" x14ac:dyDescent="0.4">
      <c r="B60" s="424"/>
      <c r="C60" s="425"/>
      <c r="D60" s="425"/>
      <c r="E60" s="425"/>
      <c r="F60" s="422" t="str">
        <f t="shared" ca="1" si="127"/>
        <v/>
      </c>
      <c r="G60" s="422"/>
      <c r="H60" s="42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423"/>
      <c r="J60" s="410" t="str">
        <f ca="1">IFERROR(VLOOKUP($B60,INDIRECT(CONCATENATE("'",成績管理表!$D$9,$L$39,"'!",$P$39)),$J$40,FALSE)&amp;"","")</f>
        <v/>
      </c>
      <c r="K60" s="410"/>
      <c r="L60" s="410" t="str">
        <f ca="1">IFERROR(VLOOKUP($B60,INDIRECT(CONCATENATE("'",成績管理表!$D$9,$L$39,"'!",$P$39)),$L$40,FALSE)&amp;"","")</f>
        <v/>
      </c>
      <c r="M60" s="410"/>
      <c r="N60" s="292" t="str">
        <f ca="1">IFERROR(VLOOKUP($B60,INDIRECT(CONCATENATE("'",成績管理表!$D$9,$L$39,"'!",$P$39)),$N$40,FALSE)&amp;"","")</f>
        <v/>
      </c>
      <c r="O60" s="292" t="str">
        <f ca="1">IFERROR(VLOOKUP($B60,INDIRECT(CONCATENATE("'",成績管理表!$D$9,$L$39,"'!",$P$39)),$O$40,FALSE)&amp;"","")</f>
        <v/>
      </c>
      <c r="P60" s="292" t="str">
        <f ca="1">IFERROR(VLOOKUP($B60,INDIRECT(CONCATENATE("'",成績管理表!$D$9,$L$39,"'!",$P$39)),$P$40,FALSE)&amp;"","")</f>
        <v/>
      </c>
      <c r="Q60" s="410" t="str">
        <f ca="1">IFERROR(VLOOKUP($B60,INDIRECT(CONCATENATE("'",成績管理表!$D$9,$L$39,"'!",$P$39)),$Q$40,FALSE)&amp;"","")</f>
        <v/>
      </c>
      <c r="R60" s="410"/>
      <c r="S60" s="129" t="str">
        <f ca="1">IFERROR(VLOOKUP($B60,INDIRECT(CONCATENATE("'",成績管理表!$D$9,$L$39,"'!",$P$39)),$S$40,FALSE),"")</f>
        <v/>
      </c>
      <c r="T60" s="110"/>
      <c r="U60" s="190" t="str">
        <f t="shared" si="128"/>
        <v/>
      </c>
      <c r="V60" s="130" t="str">
        <f ca="1">IFERROR(VLOOKUP($B60,INDIRECT(CONCATENATE("'",成績管理表!$D$9,$L$39,"'!",$P$39)),$V$40,FALSE)&amp;"","")</f>
        <v/>
      </c>
      <c r="W60" s="292" t="str">
        <f t="shared" ca="1" si="129"/>
        <v/>
      </c>
      <c r="X60" s="292" t="str">
        <f t="shared" ca="1" si="130"/>
        <v/>
      </c>
      <c r="Y60" s="292" t="str">
        <f t="shared" ca="1" si="131"/>
        <v/>
      </c>
      <c r="Z60" s="410" t="str">
        <f t="shared" ca="1" si="132"/>
        <v/>
      </c>
      <c r="AA60" s="410"/>
      <c r="AB60" s="411" t="str">
        <f t="shared" ca="1" si="133"/>
        <v/>
      </c>
      <c r="AC60" s="411"/>
      <c r="AD60" s="412"/>
      <c r="AE60" s="273" t="str">
        <f t="shared" ca="1" si="134"/>
        <v/>
      </c>
      <c r="AF60" s="29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93" t="b">
        <f t="shared" ca="1" si="135"/>
        <v>1</v>
      </c>
      <c r="AH60" s="131" t="b">
        <f t="shared" ca="1" si="136"/>
        <v>1</v>
      </c>
    </row>
    <row r="61" spans="2:35" ht="18.75" x14ac:dyDescent="0.4">
      <c r="B61" s="424"/>
      <c r="C61" s="425"/>
      <c r="D61" s="425"/>
      <c r="E61" s="425"/>
      <c r="F61" s="422" t="str">
        <f t="shared" ca="1" si="127"/>
        <v/>
      </c>
      <c r="G61" s="422"/>
      <c r="H61" s="42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423"/>
      <c r="J61" s="410" t="str">
        <f ca="1">IFERROR(VLOOKUP($B61,INDIRECT(CONCATENATE("'",成績管理表!$D$9,$L$39,"'!",$P$39)),$J$40,FALSE)&amp;"","")</f>
        <v/>
      </c>
      <c r="K61" s="410"/>
      <c r="L61" s="410" t="str">
        <f ca="1">IFERROR(VLOOKUP($B61,INDIRECT(CONCATENATE("'",成績管理表!$D$9,$L$39,"'!",$P$39)),$L$40,FALSE)&amp;"","")</f>
        <v/>
      </c>
      <c r="M61" s="410"/>
      <c r="N61" s="292" t="str">
        <f ca="1">IFERROR(VLOOKUP($B61,INDIRECT(CONCATENATE("'",成績管理表!$D$9,$L$39,"'!",$P$39)),$N$40,FALSE)&amp;"","")</f>
        <v/>
      </c>
      <c r="O61" s="292" t="str">
        <f ca="1">IFERROR(VLOOKUP($B61,INDIRECT(CONCATENATE("'",成績管理表!$D$9,$L$39,"'!",$P$39)),$O$40,FALSE)&amp;"","")</f>
        <v/>
      </c>
      <c r="P61" s="292" t="str">
        <f ca="1">IFERROR(VLOOKUP($B61,INDIRECT(CONCATENATE("'",成績管理表!$D$9,$L$39,"'!",$P$39)),$P$40,FALSE)&amp;"","")</f>
        <v/>
      </c>
      <c r="Q61" s="410" t="str">
        <f ca="1">IFERROR(VLOOKUP($B61,INDIRECT(CONCATENATE("'",成績管理表!$D$9,$L$39,"'!",$P$39)),$Q$40,FALSE)&amp;"","")</f>
        <v/>
      </c>
      <c r="R61" s="410"/>
      <c r="S61" s="129" t="str">
        <f ca="1">IFERROR(VLOOKUP($B61,INDIRECT(CONCATENATE("'",成績管理表!$D$9,$L$39,"'!",$P$39)),$S$40,FALSE),"")</f>
        <v/>
      </c>
      <c r="T61" s="110"/>
      <c r="U61" s="190" t="str">
        <f t="shared" si="128"/>
        <v/>
      </c>
      <c r="V61" s="130" t="str">
        <f ca="1">IFERROR(VLOOKUP($B61,INDIRECT(CONCATENATE("'",成績管理表!$D$9,$L$39,"'!",$P$39)),$V$40,FALSE)&amp;"","")</f>
        <v/>
      </c>
      <c r="W61" s="292" t="str">
        <f t="shared" ca="1" si="129"/>
        <v/>
      </c>
      <c r="X61" s="292" t="str">
        <f t="shared" ca="1" si="130"/>
        <v/>
      </c>
      <c r="Y61" s="292" t="str">
        <f t="shared" ca="1" si="131"/>
        <v/>
      </c>
      <c r="Z61" s="410" t="str">
        <f t="shared" ca="1" si="132"/>
        <v/>
      </c>
      <c r="AA61" s="410"/>
      <c r="AB61" s="411" t="str">
        <f t="shared" ca="1" si="133"/>
        <v/>
      </c>
      <c r="AC61" s="411"/>
      <c r="AD61" s="412"/>
      <c r="AE61" s="273" t="str">
        <f t="shared" ca="1" si="134"/>
        <v/>
      </c>
      <c r="AF61" s="29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93" t="b">
        <f t="shared" ca="1" si="135"/>
        <v>1</v>
      </c>
      <c r="AH61" s="131" t="b">
        <f t="shared" ca="1" si="136"/>
        <v>1</v>
      </c>
      <c r="AI61" s="291" t="s">
        <v>1000</v>
      </c>
    </row>
    <row r="62" spans="2:35" ht="18.75" x14ac:dyDescent="0.4">
      <c r="B62" s="420"/>
      <c r="C62" s="421"/>
      <c r="D62" s="421"/>
      <c r="E62" s="421"/>
      <c r="F62" s="422" t="str">
        <f t="shared" ca="1" si="127"/>
        <v/>
      </c>
      <c r="G62" s="422"/>
      <c r="H62" s="42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423"/>
      <c r="J62" s="410" t="str">
        <f ca="1">IFERROR(VLOOKUP($B62,INDIRECT(CONCATENATE("'",成績管理表!$D$9,$L$39,"'!",$P$39)),$J$40,FALSE)&amp;"","")</f>
        <v/>
      </c>
      <c r="K62" s="410"/>
      <c r="L62" s="410" t="str">
        <f ca="1">IFERROR(VLOOKUP($B62,INDIRECT(CONCATENATE("'",成績管理表!$D$9,$L$39,"'!",$P$39)),$L$40,FALSE)&amp;"","")</f>
        <v/>
      </c>
      <c r="M62" s="410"/>
      <c r="N62" s="292" t="str">
        <f ca="1">IFERROR(VLOOKUP($B62,INDIRECT(CONCATENATE("'",成績管理表!$D$9,$L$39,"'!",$P$39)),$N$40,FALSE)&amp;"","")</f>
        <v/>
      </c>
      <c r="O62" s="292" t="str">
        <f ca="1">IFERROR(VLOOKUP($B62,INDIRECT(CONCATENATE("'",成績管理表!$D$9,$L$39,"'!",$P$39)),$O$40,FALSE)&amp;"","")</f>
        <v/>
      </c>
      <c r="P62" s="292" t="str">
        <f ca="1">IFERROR(VLOOKUP($B62,INDIRECT(CONCATENATE("'",成績管理表!$D$9,$L$39,"'!",$P$39)),$P$40,FALSE)&amp;"","")</f>
        <v/>
      </c>
      <c r="Q62" s="410" t="str">
        <f ca="1">IFERROR(VLOOKUP($B62,INDIRECT(CONCATENATE("'",成績管理表!$D$9,$L$39,"'!",$P$39)),$Q$40,FALSE)&amp;"","")</f>
        <v/>
      </c>
      <c r="R62" s="410"/>
      <c r="S62" s="129" t="str">
        <f ca="1">IFERROR(VLOOKUP($B62,INDIRECT(CONCATENATE("'",成績管理表!$D$9,$L$39,"'!",$P$39)),$S$40,FALSE),"")</f>
        <v/>
      </c>
      <c r="T62" s="110"/>
      <c r="U62" s="190" t="str">
        <f t="shared" si="128"/>
        <v/>
      </c>
      <c r="V62" s="130" t="str">
        <f ca="1">IFERROR(VLOOKUP($B62,INDIRECT(CONCATENATE("'",成績管理表!$D$9,$L$39,"'!",$P$39)),$V$40,FALSE)&amp;"","")</f>
        <v/>
      </c>
      <c r="W62" s="292" t="str">
        <f t="shared" ca="1" si="129"/>
        <v/>
      </c>
      <c r="X62" s="292" t="str">
        <f t="shared" ca="1" si="130"/>
        <v/>
      </c>
      <c r="Y62" s="292" t="str">
        <f t="shared" ca="1" si="131"/>
        <v/>
      </c>
      <c r="Z62" s="410" t="str">
        <f t="shared" ca="1" si="132"/>
        <v/>
      </c>
      <c r="AA62" s="410"/>
      <c r="AB62" s="411" t="str">
        <f t="shared" ca="1" si="133"/>
        <v/>
      </c>
      <c r="AC62" s="411"/>
      <c r="AD62" s="412"/>
      <c r="AE62" s="273" t="str">
        <f t="shared" ca="1" si="134"/>
        <v/>
      </c>
      <c r="AF62" s="29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93" t="b">
        <f t="shared" ca="1" si="135"/>
        <v>1</v>
      </c>
      <c r="AH62" s="131" t="b">
        <f t="shared" ca="1" si="136"/>
        <v>1</v>
      </c>
      <c r="AI62" s="291" t="s">
        <v>1000</v>
      </c>
    </row>
    <row r="63" spans="2:35" ht="18.75" x14ac:dyDescent="0.4">
      <c r="B63" s="420"/>
      <c r="C63" s="421"/>
      <c r="D63" s="421"/>
      <c r="E63" s="421"/>
      <c r="F63" s="422" t="str">
        <f t="shared" ca="1" si="127"/>
        <v/>
      </c>
      <c r="G63" s="422"/>
      <c r="H63" s="42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423"/>
      <c r="J63" s="410" t="str">
        <f ca="1">IFERROR(VLOOKUP($B63,INDIRECT(CONCATENATE("'",成績管理表!$D$9,$L$39,"'!",$P$39)),$J$40,FALSE)&amp;"","")</f>
        <v/>
      </c>
      <c r="K63" s="410"/>
      <c r="L63" s="410" t="str">
        <f ca="1">IFERROR(VLOOKUP($B63,INDIRECT(CONCATENATE("'",成績管理表!$D$9,$L$39,"'!",$P$39)),$L$40,FALSE)&amp;"","")</f>
        <v/>
      </c>
      <c r="M63" s="410"/>
      <c r="N63" s="292" t="str">
        <f ca="1">IFERROR(VLOOKUP($B63,INDIRECT(CONCATENATE("'",成績管理表!$D$9,$L$39,"'!",$P$39)),$N$40,FALSE)&amp;"","")</f>
        <v/>
      </c>
      <c r="O63" s="292" t="str">
        <f ca="1">IFERROR(VLOOKUP($B63,INDIRECT(CONCATENATE("'",成績管理表!$D$9,$L$39,"'!",$P$39)),$O$40,FALSE)&amp;"","")</f>
        <v/>
      </c>
      <c r="P63" s="292" t="str">
        <f ca="1">IFERROR(VLOOKUP($B63,INDIRECT(CONCATENATE("'",成績管理表!$D$9,$L$39,"'!",$P$39)),$P$40,FALSE)&amp;"","")</f>
        <v/>
      </c>
      <c r="Q63" s="410" t="str">
        <f ca="1">IFERROR(VLOOKUP($B63,INDIRECT(CONCATENATE("'",成績管理表!$D$9,$L$39,"'!",$P$39)),$Q$40,FALSE)&amp;"","")</f>
        <v/>
      </c>
      <c r="R63" s="410"/>
      <c r="S63" s="129" t="str">
        <f ca="1">IFERROR(VLOOKUP($B63,INDIRECT(CONCATENATE("'",成績管理表!$D$9,$L$39,"'!",$P$39)),$S$40,FALSE),"")</f>
        <v/>
      </c>
      <c r="T63" s="110"/>
      <c r="U63" s="190" t="str">
        <f t="shared" si="128"/>
        <v/>
      </c>
      <c r="V63" s="130" t="str">
        <f ca="1">IFERROR(VLOOKUP($B63,INDIRECT(CONCATENATE("'",成績管理表!$D$9,$L$39,"'!",$P$39)),$V$40,FALSE)&amp;"","")</f>
        <v/>
      </c>
      <c r="W63" s="292" t="str">
        <f t="shared" ca="1" si="129"/>
        <v/>
      </c>
      <c r="X63" s="292" t="str">
        <f t="shared" ca="1" si="130"/>
        <v/>
      </c>
      <c r="Y63" s="292" t="str">
        <f t="shared" ca="1" si="131"/>
        <v/>
      </c>
      <c r="Z63" s="410" t="str">
        <f t="shared" ca="1" si="132"/>
        <v/>
      </c>
      <c r="AA63" s="410"/>
      <c r="AB63" s="411" t="str">
        <f t="shared" ca="1" si="133"/>
        <v/>
      </c>
      <c r="AC63" s="411"/>
      <c r="AD63" s="412"/>
      <c r="AE63" s="273" t="str">
        <f t="shared" ca="1" si="134"/>
        <v/>
      </c>
      <c r="AF63" s="29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93" t="b">
        <f t="shared" ca="1" si="135"/>
        <v>1</v>
      </c>
      <c r="AH63" s="131" t="b">
        <f t="shared" ca="1" si="136"/>
        <v>1</v>
      </c>
      <c r="AI63" s="291" t="s">
        <v>1000</v>
      </c>
    </row>
    <row r="64" spans="2:35" ht="18.75" x14ac:dyDescent="0.4">
      <c r="B64" s="420"/>
      <c r="C64" s="421"/>
      <c r="D64" s="421"/>
      <c r="E64" s="421"/>
      <c r="F64" s="422" t="str">
        <f t="shared" ca="1" si="127"/>
        <v/>
      </c>
      <c r="G64" s="422"/>
      <c r="H64" s="42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423"/>
      <c r="J64" s="410" t="str">
        <f ca="1">IFERROR(VLOOKUP($B64,INDIRECT(CONCATENATE("'",成績管理表!$D$9,$L$39,"'!",$P$39)),$J$40,FALSE)&amp;"","")</f>
        <v/>
      </c>
      <c r="K64" s="410"/>
      <c r="L64" s="410" t="str">
        <f ca="1">IFERROR(VLOOKUP($B64,INDIRECT(CONCATENATE("'",成績管理表!$D$9,$L$39,"'!",$P$39)),$L$40,FALSE)&amp;"","")</f>
        <v/>
      </c>
      <c r="M64" s="410"/>
      <c r="N64" s="292" t="str">
        <f ca="1">IFERROR(VLOOKUP($B64,INDIRECT(CONCATENATE("'",成績管理表!$D$9,$L$39,"'!",$P$39)),$N$40,FALSE)&amp;"","")</f>
        <v/>
      </c>
      <c r="O64" s="292" t="str">
        <f ca="1">IFERROR(VLOOKUP($B64,INDIRECT(CONCATENATE("'",成績管理表!$D$9,$L$39,"'!",$P$39)),$O$40,FALSE)&amp;"","")</f>
        <v/>
      </c>
      <c r="P64" s="292" t="str">
        <f ca="1">IFERROR(VLOOKUP($B64,INDIRECT(CONCATENATE("'",成績管理表!$D$9,$L$39,"'!",$P$39)),$P$40,FALSE)&amp;"","")</f>
        <v/>
      </c>
      <c r="Q64" s="410" t="str">
        <f ca="1">IFERROR(VLOOKUP($B64,INDIRECT(CONCATENATE("'",成績管理表!$D$9,$L$39,"'!",$P$39)),$Q$40,FALSE)&amp;"","")</f>
        <v/>
      </c>
      <c r="R64" s="410"/>
      <c r="S64" s="129" t="str">
        <f ca="1">IFERROR(VLOOKUP($B64,INDIRECT(CONCATENATE("'",成績管理表!$D$9,$L$39,"'!",$P$39)),$S$40,FALSE),"")</f>
        <v/>
      </c>
      <c r="T64" s="110"/>
      <c r="U64" s="190" t="str">
        <f t="shared" si="128"/>
        <v/>
      </c>
      <c r="V64" s="130" t="str">
        <f ca="1">IFERROR(VLOOKUP($B64,INDIRECT(CONCATENATE("'",成績管理表!$D$9,$L$39,"'!",$P$39)),$V$40,FALSE)&amp;"","")</f>
        <v/>
      </c>
      <c r="W64" s="292" t="str">
        <f t="shared" ca="1" si="129"/>
        <v/>
      </c>
      <c r="X64" s="292" t="str">
        <f t="shared" ca="1" si="130"/>
        <v/>
      </c>
      <c r="Y64" s="292" t="str">
        <f t="shared" ca="1" si="131"/>
        <v/>
      </c>
      <c r="Z64" s="410" t="str">
        <f t="shared" ca="1" si="132"/>
        <v/>
      </c>
      <c r="AA64" s="410"/>
      <c r="AB64" s="411" t="str">
        <f t="shared" ca="1" si="133"/>
        <v/>
      </c>
      <c r="AC64" s="411"/>
      <c r="AD64" s="412"/>
      <c r="AE64" s="273" t="str">
        <f t="shared" ca="1" si="134"/>
        <v/>
      </c>
      <c r="AF64" s="29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93" t="b">
        <f t="shared" ca="1" si="135"/>
        <v>1</v>
      </c>
      <c r="AH64" s="131" t="b">
        <f t="shared" ca="1" si="136"/>
        <v>1</v>
      </c>
      <c r="AI64" s="291" t="s">
        <v>1000</v>
      </c>
    </row>
    <row r="65" spans="2:35" ht="18.75" x14ac:dyDescent="0.4">
      <c r="B65" s="420"/>
      <c r="C65" s="421"/>
      <c r="D65" s="421"/>
      <c r="E65" s="421"/>
      <c r="F65" s="422" t="str">
        <f t="shared" ca="1" si="127"/>
        <v/>
      </c>
      <c r="G65" s="422"/>
      <c r="H65" s="42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423"/>
      <c r="J65" s="410" t="str">
        <f ca="1">IFERROR(VLOOKUP($B65,INDIRECT(CONCATENATE("'",成績管理表!$D$9,$L$39,"'!",$P$39)),$J$40,FALSE)&amp;"","")</f>
        <v/>
      </c>
      <c r="K65" s="410"/>
      <c r="L65" s="410" t="str">
        <f ca="1">IFERROR(VLOOKUP($B65,INDIRECT(CONCATENATE("'",成績管理表!$D$9,$L$39,"'!",$P$39)),$L$40,FALSE)&amp;"","")</f>
        <v/>
      </c>
      <c r="M65" s="410"/>
      <c r="N65" s="292" t="str">
        <f ca="1">IFERROR(VLOOKUP($B65,INDIRECT(CONCATENATE("'",成績管理表!$D$9,$L$39,"'!",$P$39)),$N$40,FALSE)&amp;"","")</f>
        <v/>
      </c>
      <c r="O65" s="292" t="str">
        <f ca="1">IFERROR(VLOOKUP($B65,INDIRECT(CONCATENATE("'",成績管理表!$D$9,$L$39,"'!",$P$39)),$O$40,FALSE)&amp;"","")</f>
        <v/>
      </c>
      <c r="P65" s="292" t="str">
        <f ca="1">IFERROR(VLOOKUP($B65,INDIRECT(CONCATENATE("'",成績管理表!$D$9,$L$39,"'!",$P$39)),$P$40,FALSE)&amp;"","")</f>
        <v/>
      </c>
      <c r="Q65" s="410" t="str">
        <f ca="1">IFERROR(VLOOKUP($B65,INDIRECT(CONCATENATE("'",成績管理表!$D$9,$L$39,"'!",$P$39)),$Q$40,FALSE)&amp;"","")</f>
        <v/>
      </c>
      <c r="R65" s="410"/>
      <c r="S65" s="129" t="str">
        <f ca="1">IFERROR(VLOOKUP($B65,INDIRECT(CONCATENATE("'",成績管理表!$D$9,$L$39,"'!",$P$39)),$S$40,FALSE),"")</f>
        <v/>
      </c>
      <c r="T65" s="110"/>
      <c r="U65" s="190" t="str">
        <f t="shared" si="128"/>
        <v/>
      </c>
      <c r="V65" s="130" t="str">
        <f ca="1">IFERROR(VLOOKUP($B65,INDIRECT(CONCATENATE("'",成績管理表!$D$9,$L$39,"'!",$P$39)),$V$40,FALSE)&amp;"","")</f>
        <v/>
      </c>
      <c r="W65" s="292" t="str">
        <f t="shared" ca="1" si="129"/>
        <v/>
      </c>
      <c r="X65" s="292" t="str">
        <f t="shared" ca="1" si="130"/>
        <v/>
      </c>
      <c r="Y65" s="292" t="str">
        <f t="shared" ca="1" si="131"/>
        <v/>
      </c>
      <c r="Z65" s="410" t="str">
        <f t="shared" ca="1" si="132"/>
        <v/>
      </c>
      <c r="AA65" s="410"/>
      <c r="AB65" s="411" t="str">
        <f t="shared" ca="1" si="133"/>
        <v/>
      </c>
      <c r="AC65" s="411"/>
      <c r="AD65" s="412"/>
      <c r="AE65" s="273" t="str">
        <f t="shared" ca="1" si="134"/>
        <v/>
      </c>
      <c r="AF65" s="29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93" t="b">
        <f t="shared" ca="1" si="135"/>
        <v>1</v>
      </c>
      <c r="AH65" s="131" t="b">
        <f t="shared" ca="1" si="136"/>
        <v>1</v>
      </c>
      <c r="AI65" s="291" t="s">
        <v>1000</v>
      </c>
    </row>
    <row r="66" spans="2:35" ht="18.75" x14ac:dyDescent="0.4">
      <c r="B66" s="420"/>
      <c r="C66" s="421"/>
      <c r="D66" s="421"/>
      <c r="E66" s="421"/>
      <c r="F66" s="422" t="str">
        <f t="shared" ca="1" si="127"/>
        <v/>
      </c>
      <c r="G66" s="422"/>
      <c r="H66" s="42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423"/>
      <c r="J66" s="410" t="str">
        <f ca="1">IFERROR(VLOOKUP($B66,INDIRECT(CONCATENATE("'",成績管理表!$D$9,$L$39,"'!",$P$39)),$J$40,FALSE)&amp;"","")</f>
        <v/>
      </c>
      <c r="K66" s="410"/>
      <c r="L66" s="410" t="str">
        <f ca="1">IFERROR(VLOOKUP($B66,INDIRECT(CONCATENATE("'",成績管理表!$D$9,$L$39,"'!",$P$39)),$L$40,FALSE)&amp;"","")</f>
        <v/>
      </c>
      <c r="M66" s="410"/>
      <c r="N66" s="292" t="str">
        <f ca="1">IFERROR(VLOOKUP($B66,INDIRECT(CONCATENATE("'",成績管理表!$D$9,$L$39,"'!",$P$39)),$N$40,FALSE)&amp;"","")</f>
        <v/>
      </c>
      <c r="O66" s="292" t="str">
        <f ca="1">IFERROR(VLOOKUP($B66,INDIRECT(CONCATENATE("'",成績管理表!$D$9,$L$39,"'!",$P$39)),$O$40,FALSE)&amp;"","")</f>
        <v/>
      </c>
      <c r="P66" s="292" t="str">
        <f ca="1">IFERROR(VLOOKUP($B66,INDIRECT(CONCATENATE("'",成績管理表!$D$9,$L$39,"'!",$P$39)),$P$40,FALSE)&amp;"","")</f>
        <v/>
      </c>
      <c r="Q66" s="410" t="str">
        <f ca="1">IFERROR(VLOOKUP($B66,INDIRECT(CONCATENATE("'",成績管理表!$D$9,$L$39,"'!",$P$39)),$Q$40,FALSE)&amp;"","")</f>
        <v/>
      </c>
      <c r="R66" s="410"/>
      <c r="S66" s="129" t="str">
        <f ca="1">IFERROR(VLOOKUP($B66,INDIRECT(CONCATENATE("'",成績管理表!$D$9,$L$39,"'!",$P$39)),$S$40,FALSE),"")</f>
        <v/>
      </c>
      <c r="T66" s="110"/>
      <c r="U66" s="190" t="str">
        <f t="shared" si="128"/>
        <v/>
      </c>
      <c r="V66" s="130" t="str">
        <f ca="1">IFERROR(VLOOKUP($B66,INDIRECT(CONCATENATE("'",成績管理表!$D$9,$L$39,"'!",$P$39)),$V$40,FALSE)&amp;"","")</f>
        <v/>
      </c>
      <c r="W66" s="292" t="str">
        <f t="shared" ca="1" si="129"/>
        <v/>
      </c>
      <c r="X66" s="292" t="str">
        <f t="shared" ca="1" si="130"/>
        <v/>
      </c>
      <c r="Y66" s="292" t="str">
        <f t="shared" ca="1" si="131"/>
        <v/>
      </c>
      <c r="Z66" s="410" t="str">
        <f t="shared" ca="1" si="132"/>
        <v/>
      </c>
      <c r="AA66" s="410"/>
      <c r="AB66" s="411" t="str">
        <f t="shared" ca="1" si="133"/>
        <v/>
      </c>
      <c r="AC66" s="411"/>
      <c r="AD66" s="412"/>
      <c r="AE66" s="273" t="str">
        <f t="shared" ca="1" si="134"/>
        <v/>
      </c>
      <c r="AF66" s="29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93" t="b">
        <f t="shared" ca="1" si="135"/>
        <v>1</v>
      </c>
      <c r="AH66" s="131" t="b">
        <f t="shared" ca="1" si="136"/>
        <v>1</v>
      </c>
      <c r="AI66" s="291" t="s">
        <v>1000</v>
      </c>
    </row>
    <row r="67" spans="2:35" ht="18.75" x14ac:dyDescent="0.4">
      <c r="B67" s="420"/>
      <c r="C67" s="421"/>
      <c r="D67" s="421"/>
      <c r="E67" s="421"/>
      <c r="F67" s="422" t="str">
        <f t="shared" ca="1" si="127"/>
        <v/>
      </c>
      <c r="G67" s="422"/>
      <c r="H67" s="42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423"/>
      <c r="J67" s="410" t="str">
        <f ca="1">IFERROR(VLOOKUP($B67,INDIRECT(CONCATENATE("'",成績管理表!$D$9,$L$39,"'!",$P$39)),$J$40,FALSE)&amp;"","")</f>
        <v/>
      </c>
      <c r="K67" s="410"/>
      <c r="L67" s="410" t="str">
        <f ca="1">IFERROR(VLOOKUP($B67,INDIRECT(CONCATENATE("'",成績管理表!$D$9,$L$39,"'!",$P$39)),$L$40,FALSE)&amp;"","")</f>
        <v/>
      </c>
      <c r="M67" s="410"/>
      <c r="N67" s="292" t="str">
        <f ca="1">IFERROR(VLOOKUP($B67,INDIRECT(CONCATENATE("'",成績管理表!$D$9,$L$39,"'!",$P$39)),$N$40,FALSE)&amp;"","")</f>
        <v/>
      </c>
      <c r="O67" s="292" t="str">
        <f ca="1">IFERROR(VLOOKUP($B67,INDIRECT(CONCATENATE("'",成績管理表!$D$9,$L$39,"'!",$P$39)),$O$40,FALSE)&amp;"","")</f>
        <v/>
      </c>
      <c r="P67" s="292" t="str">
        <f ca="1">IFERROR(VLOOKUP($B67,INDIRECT(CONCATENATE("'",成績管理表!$D$9,$L$39,"'!",$P$39)),$P$40,FALSE)&amp;"","")</f>
        <v/>
      </c>
      <c r="Q67" s="410" t="str">
        <f ca="1">IFERROR(VLOOKUP($B67,INDIRECT(CONCATENATE("'",成績管理表!$D$9,$L$39,"'!",$P$39)),$Q$40,FALSE)&amp;"","")</f>
        <v/>
      </c>
      <c r="R67" s="410"/>
      <c r="S67" s="129" t="str">
        <f ca="1">IFERROR(VLOOKUP($B67,INDIRECT(CONCATENATE("'",成績管理表!$D$9,$L$39,"'!",$P$39)),$S$40,FALSE),"")</f>
        <v/>
      </c>
      <c r="T67" s="110"/>
      <c r="U67" s="190" t="str">
        <f t="shared" si="128"/>
        <v/>
      </c>
      <c r="V67" s="130" t="str">
        <f ca="1">IFERROR(VLOOKUP($B67,INDIRECT(CONCATENATE("'",成績管理表!$D$9,$L$39,"'!",$P$39)),$V$40,FALSE)&amp;"","")</f>
        <v/>
      </c>
      <c r="W67" s="292" t="str">
        <f t="shared" ca="1" si="129"/>
        <v/>
      </c>
      <c r="X67" s="292" t="str">
        <f t="shared" ca="1" si="130"/>
        <v/>
      </c>
      <c r="Y67" s="292" t="str">
        <f t="shared" ca="1" si="131"/>
        <v/>
      </c>
      <c r="Z67" s="410" t="str">
        <f t="shared" ca="1" si="132"/>
        <v/>
      </c>
      <c r="AA67" s="410"/>
      <c r="AB67" s="411" t="str">
        <f t="shared" ca="1" si="133"/>
        <v/>
      </c>
      <c r="AC67" s="411"/>
      <c r="AD67" s="412"/>
      <c r="AE67" s="273" t="str">
        <f t="shared" ca="1" si="134"/>
        <v/>
      </c>
      <c r="AF67" s="29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93" t="b">
        <f t="shared" ca="1" si="135"/>
        <v>1</v>
      </c>
      <c r="AH67" s="131" t="b">
        <f t="shared" ca="1" si="136"/>
        <v>1</v>
      </c>
      <c r="AI67" s="291" t="s">
        <v>1000</v>
      </c>
    </row>
    <row r="68" spans="2:35" ht="18.75" x14ac:dyDescent="0.4">
      <c r="B68" s="420"/>
      <c r="C68" s="421"/>
      <c r="D68" s="421"/>
      <c r="E68" s="421"/>
      <c r="F68" s="422" t="str">
        <f t="shared" ca="1" si="127"/>
        <v/>
      </c>
      <c r="G68" s="422"/>
      <c r="H68" s="42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423"/>
      <c r="J68" s="410" t="str">
        <f ca="1">IFERROR(VLOOKUP($B68,INDIRECT(CONCATENATE("'",成績管理表!$D$9,$L$39,"'!",$P$39)),$J$40,FALSE)&amp;"","")</f>
        <v/>
      </c>
      <c r="K68" s="410"/>
      <c r="L68" s="410" t="str">
        <f ca="1">IFERROR(VLOOKUP($B68,INDIRECT(CONCATENATE("'",成績管理表!$D$9,$L$39,"'!",$P$39)),$L$40,FALSE)&amp;"","")</f>
        <v/>
      </c>
      <c r="M68" s="410"/>
      <c r="N68" s="292" t="str">
        <f ca="1">IFERROR(VLOOKUP($B68,INDIRECT(CONCATENATE("'",成績管理表!$D$9,$L$39,"'!",$P$39)),$N$40,FALSE)&amp;"","")</f>
        <v/>
      </c>
      <c r="O68" s="292" t="str">
        <f ca="1">IFERROR(VLOOKUP($B68,INDIRECT(CONCATENATE("'",成績管理表!$D$9,$L$39,"'!",$P$39)),$O$40,FALSE)&amp;"","")</f>
        <v/>
      </c>
      <c r="P68" s="292" t="str">
        <f ca="1">IFERROR(VLOOKUP($B68,INDIRECT(CONCATENATE("'",成績管理表!$D$9,$L$39,"'!",$P$39)),$P$40,FALSE)&amp;"","")</f>
        <v/>
      </c>
      <c r="Q68" s="410" t="str">
        <f ca="1">IFERROR(VLOOKUP($B68,INDIRECT(CONCATENATE("'",成績管理表!$D$9,$L$39,"'!",$P$39)),$Q$40,FALSE)&amp;"","")</f>
        <v/>
      </c>
      <c r="R68" s="410"/>
      <c r="S68" s="129" t="str">
        <f ca="1">IFERROR(VLOOKUP($B68,INDIRECT(CONCATENATE("'",成績管理表!$D$9,$L$39,"'!",$P$39)),$S$40,FALSE),"")</f>
        <v/>
      </c>
      <c r="T68" s="110"/>
      <c r="U68" s="190" t="str">
        <f t="shared" si="128"/>
        <v/>
      </c>
      <c r="V68" s="130" t="str">
        <f ca="1">IFERROR(VLOOKUP($B68,INDIRECT(CONCATENATE("'",成績管理表!$D$9,$L$39,"'!",$P$39)),$V$40,FALSE)&amp;"","")</f>
        <v/>
      </c>
      <c r="W68" s="292" t="str">
        <f t="shared" ca="1" si="129"/>
        <v/>
      </c>
      <c r="X68" s="292" t="str">
        <f t="shared" ca="1" si="130"/>
        <v/>
      </c>
      <c r="Y68" s="292" t="str">
        <f t="shared" ca="1" si="131"/>
        <v/>
      </c>
      <c r="Z68" s="410" t="str">
        <f t="shared" ca="1" si="132"/>
        <v/>
      </c>
      <c r="AA68" s="410"/>
      <c r="AB68" s="411" t="str">
        <f t="shared" ca="1" si="133"/>
        <v/>
      </c>
      <c r="AC68" s="411"/>
      <c r="AD68" s="412"/>
      <c r="AE68" s="273" t="str">
        <f t="shared" ca="1" si="134"/>
        <v/>
      </c>
      <c r="AF68" s="29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93" t="b">
        <f t="shared" ca="1" si="135"/>
        <v>1</v>
      </c>
      <c r="AH68" s="131" t="b">
        <f t="shared" ca="1" si="136"/>
        <v>1</v>
      </c>
      <c r="AI68" s="291" t="s">
        <v>1000</v>
      </c>
    </row>
    <row r="69" spans="2:35" ht="18.75" x14ac:dyDescent="0.4">
      <c r="B69" s="420"/>
      <c r="C69" s="421"/>
      <c r="D69" s="421"/>
      <c r="E69" s="421"/>
      <c r="F69" s="422" t="str">
        <f t="shared" ca="1" si="127"/>
        <v/>
      </c>
      <c r="G69" s="422"/>
      <c r="H69" s="42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423"/>
      <c r="J69" s="410" t="str">
        <f ca="1">IFERROR(VLOOKUP($B69,INDIRECT(CONCATENATE("'",成績管理表!$D$9,$L$39,"'!",$P$39)),$J$40,FALSE)&amp;"","")</f>
        <v/>
      </c>
      <c r="K69" s="410"/>
      <c r="L69" s="410" t="str">
        <f ca="1">IFERROR(VLOOKUP($B69,INDIRECT(CONCATENATE("'",成績管理表!$D$9,$L$39,"'!",$P$39)),$L$40,FALSE)&amp;"","")</f>
        <v/>
      </c>
      <c r="M69" s="410"/>
      <c r="N69" s="292" t="str">
        <f ca="1">IFERROR(VLOOKUP($B69,INDIRECT(CONCATENATE("'",成績管理表!$D$9,$L$39,"'!",$P$39)),$N$40,FALSE)&amp;"","")</f>
        <v/>
      </c>
      <c r="O69" s="292" t="str">
        <f ca="1">IFERROR(VLOOKUP($B69,INDIRECT(CONCATENATE("'",成績管理表!$D$9,$L$39,"'!",$P$39)),$O$40,FALSE)&amp;"","")</f>
        <v/>
      </c>
      <c r="P69" s="292" t="str">
        <f ca="1">IFERROR(VLOOKUP($B69,INDIRECT(CONCATENATE("'",成績管理表!$D$9,$L$39,"'!",$P$39)),$P$40,FALSE)&amp;"","")</f>
        <v/>
      </c>
      <c r="Q69" s="410" t="str">
        <f ca="1">IFERROR(VLOOKUP($B69,INDIRECT(CONCATENATE("'",成績管理表!$D$9,$L$39,"'!",$P$39)),$Q$40,FALSE)&amp;"","")</f>
        <v/>
      </c>
      <c r="R69" s="410"/>
      <c r="S69" s="129" t="str">
        <f ca="1">IFERROR(VLOOKUP($B69,INDIRECT(CONCATENATE("'",成績管理表!$D$9,$L$39,"'!",$P$39)),$S$40,FALSE),"")</f>
        <v/>
      </c>
      <c r="T69" s="110"/>
      <c r="U69" s="190" t="str">
        <f t="shared" si="128"/>
        <v/>
      </c>
      <c r="V69" s="130" t="str">
        <f ca="1">IFERROR(VLOOKUP($B69,INDIRECT(CONCATENATE("'",成績管理表!$D$9,$L$39,"'!",$P$39)),$V$40,FALSE)&amp;"","")</f>
        <v/>
      </c>
      <c r="W69" s="292" t="str">
        <f t="shared" ca="1" si="129"/>
        <v/>
      </c>
      <c r="X69" s="292" t="str">
        <f t="shared" ca="1" si="130"/>
        <v/>
      </c>
      <c r="Y69" s="292" t="str">
        <f t="shared" ca="1" si="131"/>
        <v/>
      </c>
      <c r="Z69" s="410" t="str">
        <f t="shared" ca="1" si="132"/>
        <v/>
      </c>
      <c r="AA69" s="410"/>
      <c r="AB69" s="411" t="str">
        <f t="shared" ca="1" si="133"/>
        <v/>
      </c>
      <c r="AC69" s="411"/>
      <c r="AD69" s="412"/>
      <c r="AE69" s="273" t="str">
        <f t="shared" ca="1" si="134"/>
        <v/>
      </c>
      <c r="AF69" s="29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93" t="b">
        <f t="shared" ca="1" si="135"/>
        <v>1</v>
      </c>
      <c r="AH69" s="131" t="b">
        <f t="shared" ca="1" si="136"/>
        <v>1</v>
      </c>
    </row>
    <row r="70" spans="2:35" ht="18.75" x14ac:dyDescent="0.4">
      <c r="B70" s="420"/>
      <c r="C70" s="421"/>
      <c r="D70" s="421"/>
      <c r="E70" s="421"/>
      <c r="F70" s="422" t="str">
        <f t="shared" ca="1" si="127"/>
        <v/>
      </c>
      <c r="G70" s="422"/>
      <c r="H70" s="42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423"/>
      <c r="J70" s="410" t="str">
        <f ca="1">IFERROR(VLOOKUP($B70,INDIRECT(CONCATENATE("'",成績管理表!$D$9,$L$39,"'!",$P$39)),$J$40,FALSE)&amp;"","")</f>
        <v/>
      </c>
      <c r="K70" s="410"/>
      <c r="L70" s="410" t="str">
        <f ca="1">IFERROR(VLOOKUP($B70,INDIRECT(CONCATENATE("'",成績管理表!$D$9,$L$39,"'!",$P$39)),$L$40,FALSE)&amp;"","")</f>
        <v/>
      </c>
      <c r="M70" s="410"/>
      <c r="N70" s="292" t="str">
        <f ca="1">IFERROR(VLOOKUP($B70,INDIRECT(CONCATENATE("'",成績管理表!$D$9,$L$39,"'!",$P$39)),$N$40,FALSE)&amp;"","")</f>
        <v/>
      </c>
      <c r="O70" s="292" t="str">
        <f ca="1">IFERROR(VLOOKUP($B70,INDIRECT(CONCATENATE("'",成績管理表!$D$9,$L$39,"'!",$P$39)),$O$40,FALSE)&amp;"","")</f>
        <v/>
      </c>
      <c r="P70" s="292" t="str">
        <f ca="1">IFERROR(VLOOKUP($B70,INDIRECT(CONCATENATE("'",成績管理表!$D$9,$L$39,"'!",$P$39)),$P$40,FALSE)&amp;"","")</f>
        <v/>
      </c>
      <c r="Q70" s="410" t="str">
        <f ca="1">IFERROR(VLOOKUP($B70,INDIRECT(CONCATENATE("'",成績管理表!$D$9,$L$39,"'!",$P$39)),$Q$40,FALSE)&amp;"","")</f>
        <v/>
      </c>
      <c r="R70" s="410"/>
      <c r="S70" s="129" t="str">
        <f ca="1">IFERROR(VLOOKUP($B70,INDIRECT(CONCATENATE("'",成績管理表!$D$9,$L$39,"'!",$P$39)),$S$40,FALSE),"")</f>
        <v/>
      </c>
      <c r="T70" s="110"/>
      <c r="U70" s="190" t="str">
        <f t="shared" si="128"/>
        <v/>
      </c>
      <c r="V70" s="130" t="str">
        <f ca="1">IFERROR(VLOOKUP($B70,INDIRECT(CONCATENATE("'",成績管理表!$D$9,$L$39,"'!",$P$39)),$V$40,FALSE)&amp;"","")</f>
        <v/>
      </c>
      <c r="W70" s="292" t="str">
        <f t="shared" ca="1" si="129"/>
        <v/>
      </c>
      <c r="X70" s="292" t="str">
        <f t="shared" ca="1" si="130"/>
        <v/>
      </c>
      <c r="Y70" s="292" t="str">
        <f t="shared" ca="1" si="131"/>
        <v/>
      </c>
      <c r="Z70" s="410" t="str">
        <f t="shared" ca="1" si="132"/>
        <v/>
      </c>
      <c r="AA70" s="410"/>
      <c r="AB70" s="411" t="str">
        <f t="shared" ca="1" si="133"/>
        <v/>
      </c>
      <c r="AC70" s="411"/>
      <c r="AD70" s="412"/>
      <c r="AE70" s="273" t="str">
        <f t="shared" ca="1" si="134"/>
        <v/>
      </c>
      <c r="AF70" s="29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93" t="b">
        <f t="shared" ca="1" si="135"/>
        <v>1</v>
      </c>
      <c r="AH70" s="131" t="b">
        <f t="shared" ca="1" si="136"/>
        <v>1</v>
      </c>
    </row>
    <row r="71" spans="2:35" ht="18.75" x14ac:dyDescent="0.4">
      <c r="B71" s="420"/>
      <c r="C71" s="421"/>
      <c r="D71" s="421"/>
      <c r="E71" s="421"/>
      <c r="F71" s="422" t="str">
        <f t="shared" ca="1" si="127"/>
        <v/>
      </c>
      <c r="G71" s="422"/>
      <c r="H71" s="42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423"/>
      <c r="J71" s="410" t="str">
        <f ca="1">IFERROR(VLOOKUP($B71,INDIRECT(CONCATENATE("'",成績管理表!$D$9,$L$39,"'!",$P$39)),$J$40,FALSE)&amp;"","")</f>
        <v/>
      </c>
      <c r="K71" s="410"/>
      <c r="L71" s="410" t="str">
        <f ca="1">IFERROR(VLOOKUP($B71,INDIRECT(CONCATENATE("'",成績管理表!$D$9,$L$39,"'!",$P$39)),$L$40,FALSE)&amp;"","")</f>
        <v/>
      </c>
      <c r="M71" s="410"/>
      <c r="N71" s="292" t="str">
        <f ca="1">IFERROR(VLOOKUP($B71,INDIRECT(CONCATENATE("'",成績管理表!$D$9,$L$39,"'!",$P$39)),$N$40,FALSE)&amp;"","")</f>
        <v/>
      </c>
      <c r="O71" s="292" t="str">
        <f ca="1">IFERROR(VLOOKUP($B71,INDIRECT(CONCATENATE("'",成績管理表!$D$9,$L$39,"'!",$P$39)),$O$40,FALSE)&amp;"","")</f>
        <v/>
      </c>
      <c r="P71" s="292" t="str">
        <f ca="1">IFERROR(VLOOKUP($B71,INDIRECT(CONCATENATE("'",成績管理表!$D$9,$L$39,"'!",$P$39)),$P$40,FALSE)&amp;"","")</f>
        <v/>
      </c>
      <c r="Q71" s="410" t="str">
        <f ca="1">IFERROR(VLOOKUP($B71,INDIRECT(CONCATENATE("'",成績管理表!$D$9,$L$39,"'!",$P$39)),$Q$40,FALSE)&amp;"","")</f>
        <v/>
      </c>
      <c r="R71" s="410"/>
      <c r="S71" s="129" t="str">
        <f ca="1">IFERROR(VLOOKUP($B71,INDIRECT(CONCATENATE("'",成績管理表!$D$9,$L$39,"'!",$P$39)),$S$40,FALSE),"")</f>
        <v/>
      </c>
      <c r="T71" s="110"/>
      <c r="U71" s="190" t="str">
        <f t="shared" si="128"/>
        <v/>
      </c>
      <c r="V71" s="130" t="str">
        <f ca="1">IFERROR(VLOOKUP($B71,INDIRECT(CONCATENATE("'",成績管理表!$D$9,$L$39,"'!",$P$39)),$V$40,FALSE)&amp;"","")</f>
        <v/>
      </c>
      <c r="W71" s="292" t="str">
        <f t="shared" ca="1" si="129"/>
        <v/>
      </c>
      <c r="X71" s="292" t="str">
        <f t="shared" ca="1" si="130"/>
        <v/>
      </c>
      <c r="Y71" s="292" t="str">
        <f t="shared" ca="1" si="131"/>
        <v/>
      </c>
      <c r="Z71" s="410" t="str">
        <f t="shared" ca="1" si="132"/>
        <v/>
      </c>
      <c r="AA71" s="410"/>
      <c r="AB71" s="411" t="str">
        <f t="shared" ca="1" si="133"/>
        <v/>
      </c>
      <c r="AC71" s="411"/>
      <c r="AD71" s="412"/>
      <c r="AE71" s="273" t="str">
        <f t="shared" ca="1" si="134"/>
        <v/>
      </c>
      <c r="AF71" s="29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93" t="b">
        <f t="shared" ca="1" si="135"/>
        <v>1</v>
      </c>
      <c r="AH71" s="131" t="b">
        <f t="shared" ca="1" si="136"/>
        <v>1</v>
      </c>
    </row>
    <row r="72" spans="2:35" ht="18.75" x14ac:dyDescent="0.4">
      <c r="B72" s="420"/>
      <c r="C72" s="421"/>
      <c r="D72" s="421"/>
      <c r="E72" s="421"/>
      <c r="F72" s="422" t="str">
        <f t="shared" ca="1" si="127"/>
        <v/>
      </c>
      <c r="G72" s="422"/>
      <c r="H72" s="42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423"/>
      <c r="J72" s="410" t="str">
        <f ca="1">IFERROR(VLOOKUP($B72,INDIRECT(CONCATENATE("'",成績管理表!$D$9,$L$39,"'!",$P$39)),$J$40,FALSE)&amp;"","")</f>
        <v/>
      </c>
      <c r="K72" s="410"/>
      <c r="L72" s="410" t="str">
        <f ca="1">IFERROR(VLOOKUP($B72,INDIRECT(CONCATENATE("'",成績管理表!$D$9,$L$39,"'!",$P$39)),$L$40,FALSE)&amp;"","")</f>
        <v/>
      </c>
      <c r="M72" s="410"/>
      <c r="N72" s="292" t="str">
        <f ca="1">IFERROR(VLOOKUP($B72,INDIRECT(CONCATENATE("'",成績管理表!$D$9,$L$39,"'!",$P$39)),$N$40,FALSE)&amp;"","")</f>
        <v/>
      </c>
      <c r="O72" s="292" t="str">
        <f ca="1">IFERROR(VLOOKUP($B72,INDIRECT(CONCATENATE("'",成績管理表!$D$9,$L$39,"'!",$P$39)),$O$40,FALSE)&amp;"","")</f>
        <v/>
      </c>
      <c r="P72" s="292" t="str">
        <f ca="1">IFERROR(VLOOKUP($B72,INDIRECT(CONCATENATE("'",成績管理表!$D$9,$L$39,"'!",$P$39)),$P$40,FALSE)&amp;"","")</f>
        <v/>
      </c>
      <c r="Q72" s="410" t="str">
        <f ca="1">IFERROR(VLOOKUP($B72,INDIRECT(CONCATENATE("'",成績管理表!$D$9,$L$39,"'!",$P$39)),$Q$40,FALSE)&amp;"","")</f>
        <v/>
      </c>
      <c r="R72" s="410"/>
      <c r="S72" s="129" t="str">
        <f ca="1">IFERROR(VLOOKUP($B72,INDIRECT(CONCATENATE("'",成績管理表!$D$9,$L$39,"'!",$P$39)),$S$40,FALSE),"")</f>
        <v/>
      </c>
      <c r="T72" s="110"/>
      <c r="U72" s="190" t="str">
        <f t="shared" si="128"/>
        <v/>
      </c>
      <c r="V72" s="130" t="str">
        <f ca="1">IFERROR(VLOOKUP($B72,INDIRECT(CONCATENATE("'",成績管理表!$D$9,$L$39,"'!",$P$39)),$V$40,FALSE)&amp;"","")</f>
        <v/>
      </c>
      <c r="W72" s="292" t="str">
        <f t="shared" ca="1" si="129"/>
        <v/>
      </c>
      <c r="X72" s="292" t="str">
        <f t="shared" ca="1" si="130"/>
        <v/>
      </c>
      <c r="Y72" s="292" t="str">
        <f t="shared" ca="1" si="131"/>
        <v/>
      </c>
      <c r="Z72" s="410" t="str">
        <f t="shared" ca="1" si="132"/>
        <v/>
      </c>
      <c r="AA72" s="410"/>
      <c r="AB72" s="411" t="str">
        <f t="shared" ca="1" si="133"/>
        <v/>
      </c>
      <c r="AC72" s="411"/>
      <c r="AD72" s="412"/>
      <c r="AE72" s="273" t="str">
        <f t="shared" ca="1" si="134"/>
        <v/>
      </c>
      <c r="AF72" s="29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93" t="b">
        <f t="shared" ca="1" si="135"/>
        <v>1</v>
      </c>
      <c r="AH72" s="131" t="b">
        <f t="shared" ca="1" si="136"/>
        <v>1</v>
      </c>
    </row>
    <row r="73" spans="2:35" ht="18.75" customHeight="1" thickBot="1" x14ac:dyDescent="0.45">
      <c r="B73" s="413"/>
      <c r="C73" s="414"/>
      <c r="D73" s="414"/>
      <c r="E73" s="414"/>
      <c r="F73" s="415" t="str">
        <f t="shared" ca="1" si="127"/>
        <v/>
      </c>
      <c r="G73" s="415"/>
      <c r="H73" s="416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416"/>
      <c r="J73" s="417" t="str">
        <f ca="1">IFERROR(VLOOKUP($B73,INDIRECT(CONCATENATE("'",成績管理表!$D$9,$L$39,"'!",$P$39)),$J$40,FALSE)&amp;"","")</f>
        <v/>
      </c>
      <c r="K73" s="417"/>
      <c r="L73" s="417" t="str">
        <f ca="1">IFERROR(VLOOKUP($B73,INDIRECT(CONCATENATE("'",成績管理表!$D$9,$L$39,"'!",$P$39)),$L$40,FALSE)&amp;"","")</f>
        <v/>
      </c>
      <c r="M73" s="417"/>
      <c r="N73" s="301" t="str">
        <f ca="1">IFERROR(VLOOKUP($B73,INDIRECT(CONCATENATE("'",成績管理表!$D$9,$L$39,"'!",$P$39)),$N$40,FALSE)&amp;"","")</f>
        <v/>
      </c>
      <c r="O73" s="301" t="str">
        <f ca="1">IFERROR(VLOOKUP($B73,INDIRECT(CONCATENATE("'",成績管理表!$D$9,$L$39,"'!",$P$39)),$O$40,FALSE)&amp;"","")</f>
        <v/>
      </c>
      <c r="P73" s="301" t="str">
        <f ca="1">IFERROR(VLOOKUP($B73,INDIRECT(CONCATENATE("'",成績管理表!$D$9,$L$39,"'!",$P$39)),$P$40,FALSE)&amp;"","")</f>
        <v/>
      </c>
      <c r="Q73" s="417" t="str">
        <f ca="1">IFERROR(VLOOKUP($B73,INDIRECT(CONCATENATE("'",成績管理表!$D$9,$L$39,"'!",$P$39)),$Q$40,FALSE)&amp;"","")</f>
        <v/>
      </c>
      <c r="R73" s="417"/>
      <c r="S73" s="133" t="str">
        <f ca="1">IFERROR(VLOOKUP($B73,INDIRECT(CONCATENATE("'",成績管理表!$D$9,$L$39,"'!",$P$39)),$S$40,FALSE),"")</f>
        <v/>
      </c>
      <c r="T73" s="111"/>
      <c r="U73" s="191" t="str">
        <f t="shared" si="128"/>
        <v/>
      </c>
      <c r="V73" s="134" t="str">
        <f ca="1">IFERROR(VLOOKUP($B73,INDIRECT(CONCATENATE("'",成績管理表!$D$9,$L$39,"'!",$P$39)),$V$40,FALSE)&amp;"","")</f>
        <v/>
      </c>
      <c r="W73" s="301" t="str">
        <f t="shared" ca="1" si="129"/>
        <v/>
      </c>
      <c r="X73" s="301" t="str">
        <f t="shared" ca="1" si="130"/>
        <v/>
      </c>
      <c r="Y73" s="301" t="str">
        <f t="shared" ca="1" si="131"/>
        <v/>
      </c>
      <c r="Z73" s="417" t="str">
        <f t="shared" ca="1" si="132"/>
        <v/>
      </c>
      <c r="AA73" s="417"/>
      <c r="AB73" s="418" t="str">
        <f t="shared" ca="1" si="133"/>
        <v/>
      </c>
      <c r="AC73" s="418"/>
      <c r="AD73" s="419"/>
      <c r="AE73" s="274" t="str">
        <f t="shared" ca="1" si="134"/>
        <v/>
      </c>
      <c r="AF73" s="300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00" t="b">
        <f t="shared" ca="1" si="135"/>
        <v>1</v>
      </c>
      <c r="AH73" s="131" t="b">
        <f t="shared" ca="1" si="136"/>
        <v>1</v>
      </c>
    </row>
    <row r="74" spans="2:35" ht="6.75" customHeight="1" x14ac:dyDescent="0.4">
      <c r="B74" s="291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291"/>
      <c r="AA74" s="291"/>
      <c r="AB74" s="291"/>
      <c r="AC74" s="291"/>
      <c r="AD74" s="291"/>
      <c r="AE74" s="291"/>
      <c r="AF74" s="291"/>
      <c r="AG74" s="291"/>
      <c r="AH74" s="291"/>
    </row>
  </sheetData>
  <sheetProtection algorithmName="SHA-512" hashValue="e4NhSLJcK3giOQFr3XawB7lMLSD+9EnE/IyeySPGIoc8Hk6GVPeEtqwPVX5M4qjEWWVhsZf4Nd7J2R96qIbnHQ==" saltValue="taLpGKEZFgflhmrvkQKw/w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T39:U39"/>
    <mergeCell ref="V39:W39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44" priority="4">
      <formula>$AG44=FALSE</formula>
    </cfRule>
  </conditionalFormatting>
  <conditionalFormatting sqref="D9:R9 D14:R14 D19:R19 D24:R24 D29:R29">
    <cfRule type="expression" dxfId="43" priority="3">
      <formula>F10="重複あり"</formula>
    </cfRule>
  </conditionalFormatting>
  <conditionalFormatting sqref="D6:R8 D11:R13 D16:R18 D21:R23 D26:R28">
    <cfRule type="expression" dxfId="42" priority="2">
      <formula>F10="重複あり"</formula>
    </cfRule>
  </conditionalFormatting>
  <conditionalFormatting sqref="X44:Y73">
    <cfRule type="expression" dxfId="41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27B3D431-0037-438B-9FBA-70C90460E699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2888ED47-54D2-4E15-AB93-D6D44F40161B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637F982D-0C5E-48C6-A2A2-C0337E294EE5}">
      <formula1>"秀,優,良,可,不可"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0424-4060-40AC-BFA1-15B9E5DD5228}">
  <sheetPr>
    <tabColor theme="9" tint="0.79998168889431442"/>
  </sheetPr>
  <dimension ref="A1:U56"/>
  <sheetViews>
    <sheetView zoomScale="114" zoomScaleNormal="145" workbookViewId="0">
      <selection activeCell="B3" sqref="B3"/>
    </sheetView>
  </sheetViews>
  <sheetFormatPr defaultColWidth="0" defaultRowHeight="18.75" zeroHeight="1" x14ac:dyDescent="0.4"/>
  <cols>
    <col min="1" max="1" width="0.75" style="68" customWidth="1"/>
    <col min="2" max="11" width="10" style="71" customWidth="1"/>
    <col min="12" max="12" width="10" style="87" customWidth="1"/>
    <col min="13" max="13" width="4.25" style="88" customWidth="1"/>
    <col min="14" max="14" width="10" style="88" customWidth="1"/>
    <col min="15" max="16" width="10.875" style="88" customWidth="1"/>
    <col min="17" max="17" width="0.875" style="68" customWidth="1"/>
    <col min="18" max="20" width="8.625" style="71" hidden="1" customWidth="1"/>
    <col min="21" max="21" width="0" style="71" hidden="1" customWidth="1"/>
    <col min="22" max="16384" width="8.625" style="71" hidden="1"/>
  </cols>
  <sheetData>
    <row r="1" spans="1:21" ht="5.0999999999999996" customHeight="1" x14ac:dyDescent="0.4">
      <c r="B1" s="68"/>
      <c r="C1" s="68"/>
      <c r="D1" s="68"/>
      <c r="E1" s="68"/>
      <c r="F1" s="68"/>
      <c r="G1" s="68"/>
      <c r="H1" s="68"/>
      <c r="I1" s="68"/>
      <c r="J1" s="68"/>
      <c r="K1" s="68"/>
      <c r="L1" s="69"/>
      <c r="M1" s="70"/>
      <c r="N1" s="70"/>
      <c r="O1" s="70"/>
      <c r="P1" s="70"/>
    </row>
    <row r="2" spans="1:21" s="75" customFormat="1" ht="30" x14ac:dyDescent="0.4">
      <c r="A2" s="72"/>
      <c r="B2" s="560" t="s">
        <v>2215</v>
      </c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73"/>
      <c r="R2" s="74"/>
      <c r="S2" s="74"/>
      <c r="T2" s="74"/>
      <c r="U2" s="74"/>
    </row>
    <row r="3" spans="1:21" s="75" customFormat="1" ht="18.600000000000001" customHeight="1" x14ac:dyDescent="0.4">
      <c r="A3" s="72"/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76"/>
      <c r="M3" s="572" t="s">
        <v>707</v>
      </c>
      <c r="N3" s="572"/>
      <c r="O3" s="571">
        <f ca="1">NOW()</f>
        <v>43958.619201041663</v>
      </c>
      <c r="P3" s="571"/>
      <c r="Q3" s="73"/>
      <c r="R3" s="74"/>
      <c r="S3" s="74"/>
      <c r="T3" s="74"/>
      <c r="U3" s="74"/>
    </row>
    <row r="4" spans="1:21" s="75" customFormat="1" ht="19.5" thickBot="1" x14ac:dyDescent="0.45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6"/>
      <c r="M4" s="77"/>
      <c r="N4" s="77"/>
      <c r="O4" s="77"/>
      <c r="P4" s="77"/>
      <c r="Q4" s="72"/>
    </row>
    <row r="5" spans="1:21" s="75" customFormat="1" hidden="1" x14ac:dyDescent="0.4">
      <c r="A5" s="72"/>
      <c r="B5" s="573" t="s">
        <v>2196</v>
      </c>
      <c r="C5" s="574"/>
      <c r="D5" s="236" t="s">
        <v>2197</v>
      </c>
      <c r="E5" s="237" t="s">
        <v>954</v>
      </c>
      <c r="F5" s="237" t="s">
        <v>15</v>
      </c>
      <c r="G5" s="237" t="s">
        <v>9</v>
      </c>
      <c r="H5" s="238" t="s">
        <v>16</v>
      </c>
      <c r="I5" s="236" t="s">
        <v>994</v>
      </c>
      <c r="J5" s="239" t="s">
        <v>995</v>
      </c>
      <c r="K5" s="118"/>
      <c r="L5" s="118"/>
      <c r="M5" s="118"/>
      <c r="N5" s="118"/>
      <c r="O5" s="118"/>
      <c r="P5" s="118"/>
      <c r="Q5" s="72"/>
    </row>
    <row r="6" spans="1:21" s="75" customFormat="1" ht="19.5" hidden="1" thickBot="1" x14ac:dyDescent="0.45">
      <c r="A6" s="72"/>
      <c r="B6" s="575"/>
      <c r="C6" s="576"/>
      <c r="D6" s="226" t="s">
        <v>2193</v>
      </c>
      <c r="E6" s="224" t="s">
        <v>2194</v>
      </c>
      <c r="F6" s="224" t="s">
        <v>2190</v>
      </c>
      <c r="G6" s="224" t="s">
        <v>2195</v>
      </c>
      <c r="H6" s="235" t="s">
        <v>2199</v>
      </c>
      <c r="I6" s="226" t="s">
        <v>2191</v>
      </c>
      <c r="J6" s="225" t="s">
        <v>2192</v>
      </c>
      <c r="K6" s="76"/>
      <c r="L6" s="118"/>
      <c r="M6" s="118"/>
      <c r="N6" s="118"/>
      <c r="O6" s="118"/>
      <c r="P6" s="118"/>
      <c r="Q6" s="72"/>
    </row>
    <row r="7" spans="1:21" ht="20.25" thickBot="1" x14ac:dyDescent="0.45">
      <c r="B7" s="535"/>
      <c r="C7" s="536"/>
      <c r="D7" s="536"/>
      <c r="E7" s="536"/>
      <c r="F7" s="537"/>
      <c r="G7" s="218" t="s">
        <v>1012</v>
      </c>
      <c r="H7" s="219" t="s">
        <v>1</v>
      </c>
      <c r="I7" s="219" t="s">
        <v>2</v>
      </c>
      <c r="J7" s="219" t="s">
        <v>3</v>
      </c>
      <c r="K7" s="220" t="s">
        <v>4</v>
      </c>
      <c r="L7" s="221" t="s">
        <v>685</v>
      </c>
      <c r="M7" s="538" t="s">
        <v>10</v>
      </c>
      <c r="N7" s="539"/>
      <c r="O7" s="222" t="s">
        <v>15</v>
      </c>
      <c r="P7" s="223" t="s">
        <v>6</v>
      </c>
    </row>
    <row r="8" spans="1:21" x14ac:dyDescent="0.4">
      <c r="B8" s="561" t="s">
        <v>19</v>
      </c>
      <c r="C8" s="562"/>
      <c r="D8" s="567" t="s">
        <v>681</v>
      </c>
      <c r="E8" s="568"/>
      <c r="F8" s="568"/>
      <c r="G8" s="78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LEFT($D8,3),
INDIRECT(G$7&amp;"!"&amp;INDIRECT(G$7&amp;"!"&amp;$G$6)&amp;INDIRECT(G$7&amp;"!"&amp;$I$6)&amp;":"&amp;INDIRECT(G$7&amp;"!"&amp;$G$6)&amp;INDIRECT(G$7&amp;"!"&amp;$J$6)),
"&lt;&gt;不認定"),
"シート×")</f>
        <v>0</v>
      </c>
      <c r="H8" s="79">
        <f t="shared" ref="H8:K11" ca="1" si="0">IFERROR(
SUMIFS(INDIRECT(H$7&amp;"!"&amp;INDIRECT(H$7&amp;"!"&amp;$F$6)&amp;INDIRECT(H$7&amp;"!"&amp;$I$6)&amp;":"&amp;INDIRECT(H$7&amp;"!"&amp;$F$6)&amp;INDIRECT(H$7&amp;"!"&amp;$J$6)),
INDIRECT(H$7&amp;"!"&amp;INDIRECT(H$7&amp;"!"&amp;$D$6)&amp;INDIRECT(H$7&amp;"!"&amp;$I$6)&amp;":"&amp;INDIRECT(H$7&amp;"!"&amp;$D$6)&amp;INDIRECT(H$7&amp;"!"&amp;$J$6)),
$B$8,
INDIRECT(H$7&amp;"!"&amp;INDIRECT(H$7&amp;"!"&amp;$E$6)&amp;INDIRECT(H$7&amp;"!"&amp;$I$6)&amp;":"&amp;INDIRECT(H$7&amp;"!"&amp;$E$6)&amp;INDIRECT(H$7&amp;"!"&amp;$J$6)),
LEFT($D8,3),
INDIRECT(H$7&amp;"!"&amp;INDIRECT(H$7&amp;"!"&amp;$G$6)&amp;INDIRECT(H$7&amp;"!"&amp;$I$6)&amp;":"&amp;INDIRECT(H$7&amp;"!"&amp;$G$6)&amp;INDIRECT(H$7&amp;"!"&amp;$J$6)),
"&lt;&gt;不可"),
"シート×")</f>
        <v>0</v>
      </c>
      <c r="I8" s="79">
        <f t="shared" ca="1" si="0"/>
        <v>0</v>
      </c>
      <c r="J8" s="79">
        <f t="shared" ca="1" si="0"/>
        <v>0</v>
      </c>
      <c r="K8" s="80">
        <f t="shared" ca="1" si="0"/>
        <v>0</v>
      </c>
      <c r="L8" s="62">
        <f ca="1">SUM(G8:K8)</f>
        <v>0</v>
      </c>
      <c r="M8" s="59">
        <f>IF(成績管理表!$D$15="PED","#",2)</f>
        <v>2</v>
      </c>
      <c r="N8" s="60" t="s">
        <v>12</v>
      </c>
      <c r="O8" s="65">
        <f ca="1">IFERROR(L8-M8,0)</f>
        <v>-2</v>
      </c>
      <c r="P8" s="61" t="str">
        <f ca="1">IF(O8&gt;=0,"〇","×")</f>
        <v>×</v>
      </c>
    </row>
    <row r="9" spans="1:21" x14ac:dyDescent="0.4">
      <c r="B9" s="563"/>
      <c r="C9" s="564"/>
      <c r="D9" s="540" t="s">
        <v>682</v>
      </c>
      <c r="E9" s="541"/>
      <c r="F9" s="541"/>
      <c r="G9" s="81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LEFT($D9,3),
INDIRECT(G$7&amp;"!"&amp;INDIRECT(G$7&amp;"!"&amp;$G$6)&amp;INDIRECT(G$7&amp;"!"&amp;$I$6)&amp;":"&amp;INDIRECT(G$7&amp;"!"&amp;$G$6)&amp;INDIRECT(G$7&amp;"!"&amp;$J$6)),
"&lt;&gt;不認定"),
"シート×")</f>
        <v>0</v>
      </c>
      <c r="H9" s="82">
        <f t="shared" ca="1" si="0"/>
        <v>0</v>
      </c>
      <c r="I9" s="82">
        <f t="shared" ca="1" si="0"/>
        <v>0</v>
      </c>
      <c r="J9" s="82">
        <f t="shared" ca="1" si="0"/>
        <v>0</v>
      </c>
      <c r="K9" s="83">
        <f t="shared" ca="1" si="0"/>
        <v>0</v>
      </c>
      <c r="L9" s="63">
        <f t="shared" ref="L9:L23" ca="1" si="1">SUM(G9:K9)</f>
        <v>0</v>
      </c>
      <c r="M9" s="57" t="str">
        <f>IF(成績管理表!$D$15="TED",0,IF(成績管理表!$D$15="PSD",2,IF(成績管理表!$D$15="理学",0,"#")))</f>
        <v>#</v>
      </c>
      <c r="N9" s="8" t="s">
        <v>12</v>
      </c>
      <c r="O9" s="66">
        <f t="shared" ref="O9:O23" ca="1" si="2">IFERROR(L9-M9,0)</f>
        <v>0</v>
      </c>
      <c r="P9" s="7" t="str">
        <f t="shared" ref="P9:P23" ca="1" si="3">IF(O9&gt;=0,"〇","×")</f>
        <v>〇</v>
      </c>
    </row>
    <row r="10" spans="1:21" x14ac:dyDescent="0.4">
      <c r="B10" s="563"/>
      <c r="C10" s="564"/>
      <c r="D10" s="540" t="s">
        <v>683</v>
      </c>
      <c r="E10" s="541"/>
      <c r="F10" s="541"/>
      <c r="G10" s="81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LEFT($D10,3),
INDIRECT(G$7&amp;"!"&amp;INDIRECT(G$7&amp;"!"&amp;$G$6)&amp;INDIRECT(G$7&amp;"!"&amp;$I$6)&amp;":"&amp;INDIRECT(G$7&amp;"!"&amp;$G$6)&amp;INDIRECT(G$7&amp;"!"&amp;$J$6)),
"&lt;&gt;不認定"),
"シート×")</f>
        <v>0</v>
      </c>
      <c r="H10" s="82">
        <f t="shared" ca="1" si="0"/>
        <v>0</v>
      </c>
      <c r="I10" s="82">
        <f t="shared" ca="1" si="0"/>
        <v>0</v>
      </c>
      <c r="J10" s="82">
        <f t="shared" ca="1" si="0"/>
        <v>0</v>
      </c>
      <c r="K10" s="83">
        <f t="shared" ca="1" si="0"/>
        <v>0</v>
      </c>
      <c r="L10" s="63">
        <f t="shared" ca="1" si="1"/>
        <v>0</v>
      </c>
      <c r="M10" s="57" t="str">
        <f>IF(成績管理表!$D$15="TED",2,IF(成績管理表!$D$15="PSD",0,IF(成績管理表!$D$15="理学",0,"#")))</f>
        <v>#</v>
      </c>
      <c r="N10" s="9" t="s">
        <v>13</v>
      </c>
      <c r="O10" s="66">
        <f t="shared" ca="1" si="2"/>
        <v>0</v>
      </c>
      <c r="P10" s="7" t="str">
        <f t="shared" ca="1" si="3"/>
        <v>〇</v>
      </c>
    </row>
    <row r="11" spans="1:21" x14ac:dyDescent="0.4">
      <c r="B11" s="563"/>
      <c r="C11" s="564"/>
      <c r="D11" s="540" t="s">
        <v>684</v>
      </c>
      <c r="E11" s="541"/>
      <c r="F11" s="541"/>
      <c r="G11" s="81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LEFT($D11,3),
INDIRECT(G$7&amp;"!"&amp;INDIRECT(G$7&amp;"!"&amp;$G$6)&amp;INDIRECT(G$7&amp;"!"&amp;$I$6)&amp;":"&amp;INDIRECT(G$7&amp;"!"&amp;$G$6)&amp;INDIRECT(G$7&amp;"!"&amp;$J$6)),
"&lt;&gt;不認定"),
"シート×")</f>
        <v>0</v>
      </c>
      <c r="H11" s="82">
        <f t="shared" ca="1" si="0"/>
        <v>0</v>
      </c>
      <c r="I11" s="82">
        <f t="shared" ca="1" si="0"/>
        <v>0</v>
      </c>
      <c r="J11" s="82">
        <f t="shared" ca="1" si="0"/>
        <v>0</v>
      </c>
      <c r="K11" s="83">
        <f t="shared" ca="1" si="0"/>
        <v>0</v>
      </c>
      <c r="L11" s="63">
        <f t="shared" ca="1" si="1"/>
        <v>0</v>
      </c>
      <c r="M11" s="57">
        <f>IF(成績管理表!$D$15="PED","#",0)</f>
        <v>0</v>
      </c>
      <c r="N11" s="8" t="s">
        <v>13</v>
      </c>
      <c r="O11" s="66">
        <f t="shared" ca="1" si="2"/>
        <v>0</v>
      </c>
      <c r="P11" s="7" t="str">
        <f t="shared" ca="1" si="3"/>
        <v>〇</v>
      </c>
    </row>
    <row r="12" spans="1:21" x14ac:dyDescent="0.4">
      <c r="B12" s="565"/>
      <c r="C12" s="566"/>
      <c r="D12" s="569" t="s">
        <v>709</v>
      </c>
      <c r="E12" s="570"/>
      <c r="F12" s="570"/>
      <c r="G12" s="228">
        <f ca="1">SUM(G8:G11)</f>
        <v>0</v>
      </c>
      <c r="H12" s="229">
        <f t="shared" ref="H12:K12" ca="1" si="4">SUM(H8:H11)</f>
        <v>0</v>
      </c>
      <c r="I12" s="229">
        <f t="shared" ca="1" si="4"/>
        <v>0</v>
      </c>
      <c r="J12" s="229">
        <f t="shared" ca="1" si="4"/>
        <v>0</v>
      </c>
      <c r="K12" s="233">
        <f t="shared" ca="1" si="4"/>
        <v>0</v>
      </c>
      <c r="L12" s="230">
        <f t="shared" ca="1" si="1"/>
        <v>0</v>
      </c>
      <c r="M12" s="57">
        <f>IF(成績管理表!$D$15="PED","#",6)</f>
        <v>6</v>
      </c>
      <c r="N12" s="9" t="s">
        <v>13</v>
      </c>
      <c r="O12" s="66">
        <f ca="1">IFERROR(L12-M12,0)</f>
        <v>-6</v>
      </c>
      <c r="P12" s="7" t="str">
        <f t="shared" ca="1" si="3"/>
        <v>×</v>
      </c>
    </row>
    <row r="13" spans="1:21" x14ac:dyDescent="0.4">
      <c r="B13" s="550" t="s">
        <v>57</v>
      </c>
      <c r="C13" s="551"/>
      <c r="D13" s="556" t="s">
        <v>681</v>
      </c>
      <c r="E13" s="557"/>
      <c r="F13" s="557"/>
      <c r="G13" s="81">
        <f t="shared" ref="G13:K15" ca="1" si="5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$B$13,
INDIRECT(G$7&amp;"!"&amp;INDIRECT(G$7&amp;"!"&amp;$E$6)&amp;INDIRECT(G$7&amp;"!"&amp;$I$6)&amp;":"&amp;INDIRECT(G$7&amp;"!"&amp;$E$6)&amp;INDIRECT(G$7&amp;"!"&amp;$J$6)),
LEFT($D13,3),
INDIRECT(G$7&amp;"!"&amp;INDIRECT(G$7&amp;"!"&amp;$G$6)&amp;INDIRECT(G$7&amp;"!"&amp;$I$6)&amp;":"&amp;INDIRECT(G$7&amp;"!"&amp;$G$6)&amp;INDIRECT(G$7&amp;"!"&amp;$J$6)),
"&lt;&gt;不認定"),
"シート×")</f>
        <v>0</v>
      </c>
      <c r="H13" s="82">
        <f t="shared" ca="1" si="5"/>
        <v>0</v>
      </c>
      <c r="I13" s="82">
        <f t="shared" ca="1" si="5"/>
        <v>0</v>
      </c>
      <c r="J13" s="82">
        <f t="shared" ca="1" si="5"/>
        <v>0</v>
      </c>
      <c r="K13" s="83">
        <f t="shared" ca="1" si="5"/>
        <v>0</v>
      </c>
      <c r="L13" s="63">
        <f t="shared" ca="1" si="1"/>
        <v>0</v>
      </c>
      <c r="M13" s="57">
        <f>IF(成績管理表!$D$15="PED","#",0)</f>
        <v>0</v>
      </c>
      <c r="N13" s="8" t="s">
        <v>14</v>
      </c>
      <c r="O13" s="66">
        <f t="shared" ca="1" si="2"/>
        <v>0</v>
      </c>
      <c r="P13" s="7" t="str">
        <f t="shared" ca="1" si="3"/>
        <v>〇</v>
      </c>
    </row>
    <row r="14" spans="1:21" x14ac:dyDescent="0.4">
      <c r="B14" s="552"/>
      <c r="C14" s="553"/>
      <c r="D14" s="556" t="s">
        <v>682</v>
      </c>
      <c r="E14" s="557"/>
      <c r="F14" s="557"/>
      <c r="G14" s="81">
        <f t="shared" ca="1" si="5"/>
        <v>0</v>
      </c>
      <c r="H14" s="82">
        <f t="shared" ca="1" si="5"/>
        <v>0</v>
      </c>
      <c r="I14" s="82">
        <f t="shared" ca="1" si="5"/>
        <v>0</v>
      </c>
      <c r="J14" s="82">
        <f t="shared" ca="1" si="5"/>
        <v>0</v>
      </c>
      <c r="K14" s="83">
        <f t="shared" ca="1" si="5"/>
        <v>0</v>
      </c>
      <c r="L14" s="63">
        <f t="shared" ca="1" si="1"/>
        <v>0</v>
      </c>
      <c r="M14" s="57" t="str">
        <f>IF(成績管理表!$D$15="TED",0,IF(成績管理表!$D$15="PSD",2,IF(成績管理表!$D$15="理学",0,"#")))</f>
        <v>#</v>
      </c>
      <c r="N14" s="9" t="s">
        <v>13</v>
      </c>
      <c r="O14" s="66">
        <f t="shared" ca="1" si="2"/>
        <v>0</v>
      </c>
      <c r="P14" s="7" t="str">
        <f t="shared" ca="1" si="3"/>
        <v>〇</v>
      </c>
    </row>
    <row r="15" spans="1:21" x14ac:dyDescent="0.4">
      <c r="B15" s="552"/>
      <c r="C15" s="553"/>
      <c r="D15" s="556" t="s">
        <v>683</v>
      </c>
      <c r="E15" s="557"/>
      <c r="F15" s="557"/>
      <c r="G15" s="81">
        <f t="shared" ca="1" si="5"/>
        <v>0</v>
      </c>
      <c r="H15" s="82">
        <f t="shared" ca="1" si="5"/>
        <v>0</v>
      </c>
      <c r="I15" s="82">
        <f t="shared" ca="1" si="5"/>
        <v>0</v>
      </c>
      <c r="J15" s="82">
        <f t="shared" ca="1" si="5"/>
        <v>0</v>
      </c>
      <c r="K15" s="83">
        <f t="shared" ca="1" si="5"/>
        <v>0</v>
      </c>
      <c r="L15" s="63">
        <f t="shared" ca="1" si="1"/>
        <v>0</v>
      </c>
      <c r="M15" s="57" t="str">
        <f>IF(成績管理表!$D$15="TED",2,IF(成績管理表!$D$15="PSD",0,IF(成績管理表!$D$15="理学",0,"#")))</f>
        <v>#</v>
      </c>
      <c r="N15" s="8" t="s">
        <v>12</v>
      </c>
      <c r="O15" s="66">
        <f t="shared" ca="1" si="2"/>
        <v>0</v>
      </c>
      <c r="P15" s="7" t="str">
        <f t="shared" ca="1" si="3"/>
        <v>〇</v>
      </c>
    </row>
    <row r="16" spans="1:21" x14ac:dyDescent="0.4">
      <c r="B16" s="554"/>
      <c r="C16" s="555"/>
      <c r="D16" s="558" t="s">
        <v>710</v>
      </c>
      <c r="E16" s="559"/>
      <c r="F16" s="559"/>
      <c r="G16" s="228">
        <f ca="1">SUM(G13:G15)</f>
        <v>0</v>
      </c>
      <c r="H16" s="229">
        <f t="shared" ref="H16:K16" ca="1" si="6">SUM(H13:H15)</f>
        <v>0</v>
      </c>
      <c r="I16" s="229">
        <f t="shared" ca="1" si="6"/>
        <v>0</v>
      </c>
      <c r="J16" s="229">
        <f t="shared" ca="1" si="6"/>
        <v>0</v>
      </c>
      <c r="K16" s="233">
        <f t="shared" ca="1" si="6"/>
        <v>0</v>
      </c>
      <c r="L16" s="230">
        <f t="shared" ca="1" si="1"/>
        <v>0</v>
      </c>
      <c r="M16" s="57">
        <f>IF(成績管理表!$D$15="PED","#",4)</f>
        <v>4</v>
      </c>
      <c r="N16" s="8" t="s">
        <v>12</v>
      </c>
      <c r="O16" s="66">
        <f t="shared" ca="1" si="2"/>
        <v>-4</v>
      </c>
      <c r="P16" s="7" t="str">
        <f t="shared" ca="1" si="3"/>
        <v>×</v>
      </c>
    </row>
    <row r="17" spans="2:16" x14ac:dyDescent="0.4">
      <c r="B17" s="544" t="s">
        <v>708</v>
      </c>
      <c r="C17" s="545"/>
      <c r="D17" s="540" t="s">
        <v>681</v>
      </c>
      <c r="E17" s="541"/>
      <c r="F17" s="541"/>
      <c r="G17" s="81">
        <f t="shared" ref="G17:K21" ca="1" si="7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$B$17,
INDIRECT(G$7&amp;"!"&amp;INDIRECT(G$7&amp;"!"&amp;$E$6)&amp;INDIRECT(G$7&amp;"!"&amp;$I$6)&amp;":"&amp;INDIRECT(G$7&amp;"!"&amp;$E$6)&amp;INDIRECT(G$7&amp;"!"&amp;$J$6)),
LEFT($D17,3),
INDIRECT(G$7&amp;"!"&amp;INDIRECT(G$7&amp;"!"&amp;$G$6)&amp;INDIRECT(G$7&amp;"!"&amp;$I$6)&amp;":"&amp;INDIRECT(G$7&amp;"!"&amp;$G$6)&amp;INDIRECT(G$7&amp;"!"&amp;$J$6)),
"&lt;&gt;不認定"),
"シート×")</f>
        <v>0</v>
      </c>
      <c r="H17" s="82">
        <f t="shared" ca="1" si="7"/>
        <v>0</v>
      </c>
      <c r="I17" s="82">
        <f t="shared" ca="1" si="7"/>
        <v>0</v>
      </c>
      <c r="J17" s="82">
        <f t="shared" ca="1" si="7"/>
        <v>0</v>
      </c>
      <c r="K17" s="83">
        <f t="shared" ca="1" si="7"/>
        <v>0</v>
      </c>
      <c r="L17" s="63">
        <f t="shared" ca="1" si="1"/>
        <v>0</v>
      </c>
      <c r="M17" s="57" t="str">
        <f>IF(成績管理表!$D$15="PED","#",IF(成績管理表!$D$14="応用物理",0,IF(成績管理表!$D$14="情報システム",6,IF(成績管理表!$D$14="電気電子ネットワーク",0,"#"))))</f>
        <v>#</v>
      </c>
      <c r="N17" s="6" t="s">
        <v>12</v>
      </c>
      <c r="O17" s="66">
        <f t="shared" ca="1" si="2"/>
        <v>0</v>
      </c>
      <c r="P17" s="7" t="str">
        <f ca="1">IF(O17&gt;=0,"〇","×")</f>
        <v>〇</v>
      </c>
    </row>
    <row r="18" spans="2:16" x14ac:dyDescent="0.4">
      <c r="B18" s="546"/>
      <c r="C18" s="547"/>
      <c r="D18" s="540" t="s">
        <v>682</v>
      </c>
      <c r="E18" s="541"/>
      <c r="F18" s="541"/>
      <c r="G18" s="81">
        <f t="shared" ca="1" si="7"/>
        <v>0</v>
      </c>
      <c r="H18" s="82">
        <f t="shared" ca="1" si="7"/>
        <v>0</v>
      </c>
      <c r="I18" s="82">
        <f t="shared" ca="1" si="7"/>
        <v>0</v>
      </c>
      <c r="J18" s="82">
        <f t="shared" ca="1" si="7"/>
        <v>0</v>
      </c>
      <c r="K18" s="83">
        <f t="shared" ca="1" si="7"/>
        <v>0</v>
      </c>
      <c r="L18" s="63">
        <f t="shared" ca="1" si="1"/>
        <v>0</v>
      </c>
      <c r="M18" s="57">
        <f>IF(成績管理表!$D$15="PED","#",0)</f>
        <v>0</v>
      </c>
      <c r="N18" s="8" t="s">
        <v>12</v>
      </c>
      <c r="O18" s="66">
        <f t="shared" ca="1" si="2"/>
        <v>0</v>
      </c>
      <c r="P18" s="7" t="str">
        <f t="shared" ref="P18:P20" ca="1" si="8">IF(O18&gt;=0,"〇","×")</f>
        <v>〇</v>
      </c>
    </row>
    <row r="19" spans="2:16" x14ac:dyDescent="0.4">
      <c r="B19" s="546"/>
      <c r="C19" s="547"/>
      <c r="D19" s="540" t="s">
        <v>683</v>
      </c>
      <c r="E19" s="541"/>
      <c r="F19" s="541"/>
      <c r="G19" s="81">
        <f t="shared" ca="1" si="7"/>
        <v>0</v>
      </c>
      <c r="H19" s="82">
        <f t="shared" ca="1" si="7"/>
        <v>0</v>
      </c>
      <c r="I19" s="82">
        <f t="shared" ca="1" si="7"/>
        <v>0</v>
      </c>
      <c r="J19" s="82">
        <f t="shared" ca="1" si="7"/>
        <v>0</v>
      </c>
      <c r="K19" s="83">
        <f t="shared" ca="1" si="7"/>
        <v>0</v>
      </c>
      <c r="L19" s="63">
        <f t="shared" ca="1" si="1"/>
        <v>0</v>
      </c>
      <c r="M19" s="57" t="str">
        <f>IF(成績管理表!$D$15="PED","#",IF(成績管理表!$D$14="応用物理",6,IF(成績管理表!$D$14="情報システム",0,IF(成績管理表!$D$14="電気電子ネットワーク",6,"#"))))</f>
        <v>#</v>
      </c>
      <c r="N19" s="9" t="s">
        <v>13</v>
      </c>
      <c r="O19" s="66">
        <f t="shared" ca="1" si="2"/>
        <v>0</v>
      </c>
      <c r="P19" s="7" t="str">
        <f t="shared" ca="1" si="8"/>
        <v>〇</v>
      </c>
    </row>
    <row r="20" spans="2:16" x14ac:dyDescent="0.4">
      <c r="B20" s="546"/>
      <c r="C20" s="547"/>
      <c r="D20" s="540" t="s">
        <v>684</v>
      </c>
      <c r="E20" s="541"/>
      <c r="F20" s="541"/>
      <c r="G20" s="81">
        <f t="shared" ca="1" si="7"/>
        <v>0</v>
      </c>
      <c r="H20" s="82">
        <f t="shared" ca="1" si="7"/>
        <v>0</v>
      </c>
      <c r="I20" s="82">
        <f t="shared" ca="1" si="7"/>
        <v>0</v>
      </c>
      <c r="J20" s="82">
        <f t="shared" ca="1" si="7"/>
        <v>0</v>
      </c>
      <c r="K20" s="83">
        <f t="shared" ca="1" si="7"/>
        <v>0</v>
      </c>
      <c r="L20" s="63">
        <f t="shared" ca="1" si="1"/>
        <v>0</v>
      </c>
      <c r="M20" s="57">
        <f>IF(成績管理表!$D$15="PED","#",0)</f>
        <v>0</v>
      </c>
      <c r="N20" s="8" t="s">
        <v>13</v>
      </c>
      <c r="O20" s="66">
        <f t="shared" ca="1" si="2"/>
        <v>0</v>
      </c>
      <c r="P20" s="7" t="str">
        <f t="shared" ca="1" si="8"/>
        <v>〇</v>
      </c>
    </row>
    <row r="21" spans="2:16" x14ac:dyDescent="0.4">
      <c r="B21" s="546"/>
      <c r="C21" s="547"/>
      <c r="D21" s="540" t="s">
        <v>1010</v>
      </c>
      <c r="E21" s="541"/>
      <c r="F21" s="541"/>
      <c r="G21" s="81">
        <f t="shared" ca="1" si="7"/>
        <v>0</v>
      </c>
      <c r="H21" s="82">
        <f t="shared" ca="1" si="7"/>
        <v>0</v>
      </c>
      <c r="I21" s="82">
        <f t="shared" ca="1" si="7"/>
        <v>0</v>
      </c>
      <c r="J21" s="82">
        <f t="shared" ca="1" si="7"/>
        <v>0</v>
      </c>
      <c r="K21" s="83">
        <f t="shared" ca="1" si="7"/>
        <v>0</v>
      </c>
      <c r="L21" s="63">
        <f t="shared" ref="L21" ca="1" si="9">SUM(G21:K21)</f>
        <v>0</v>
      </c>
      <c r="M21" s="57">
        <f>IF(成績管理表!$D$15="PED","#",0)</f>
        <v>0</v>
      </c>
      <c r="N21" s="8" t="s">
        <v>13</v>
      </c>
      <c r="O21" s="66">
        <f ca="1">IFERROR(L21-M21,0)</f>
        <v>0</v>
      </c>
      <c r="P21" s="7" t="str">
        <f t="shared" ref="P21" ca="1" si="10">IF(O21&gt;=0,"〇","×")</f>
        <v>〇</v>
      </c>
    </row>
    <row r="22" spans="2:16" x14ac:dyDescent="0.4">
      <c r="B22" s="548"/>
      <c r="C22" s="549"/>
      <c r="D22" s="542" t="s">
        <v>711</v>
      </c>
      <c r="E22" s="543"/>
      <c r="F22" s="543"/>
      <c r="G22" s="231">
        <f ca="1">SUM(G17:G20)</f>
        <v>0</v>
      </c>
      <c r="H22" s="232">
        <f t="shared" ref="H22:K22" ca="1" si="11">SUM(H17:H20)</f>
        <v>0</v>
      </c>
      <c r="I22" s="232">
        <f t="shared" ca="1" si="11"/>
        <v>0</v>
      </c>
      <c r="J22" s="232">
        <f t="shared" ca="1" si="11"/>
        <v>0</v>
      </c>
      <c r="K22" s="234">
        <f t="shared" ca="1" si="11"/>
        <v>0</v>
      </c>
      <c r="L22" s="230">
        <f t="shared" ca="1" si="1"/>
        <v>0</v>
      </c>
      <c r="M22" s="57">
        <f>IF(成績管理表!$D$15="PED","#",10)</f>
        <v>10</v>
      </c>
      <c r="N22" s="8" t="s">
        <v>12</v>
      </c>
      <c r="O22" s="66">
        <f t="shared" ca="1" si="2"/>
        <v>-10</v>
      </c>
      <c r="P22" s="7" t="str">
        <f t="shared" ca="1" si="3"/>
        <v>×</v>
      </c>
    </row>
    <row r="23" spans="2:16" ht="19.5" thickBot="1" x14ac:dyDescent="0.45">
      <c r="B23" s="533" t="s">
        <v>5</v>
      </c>
      <c r="C23" s="534"/>
      <c r="D23" s="534"/>
      <c r="E23" s="534"/>
      <c r="F23" s="534"/>
      <c r="G23" s="84">
        <f ca="1">SUM(G12,G16,G22)</f>
        <v>0</v>
      </c>
      <c r="H23" s="85">
        <f t="shared" ref="H23:K23" ca="1" si="12">SUM(H12,H16,H22)</f>
        <v>0</v>
      </c>
      <c r="I23" s="85">
        <f t="shared" ca="1" si="12"/>
        <v>0</v>
      </c>
      <c r="J23" s="85">
        <f t="shared" ca="1" si="12"/>
        <v>0</v>
      </c>
      <c r="K23" s="86">
        <f t="shared" ca="1" si="12"/>
        <v>0</v>
      </c>
      <c r="L23" s="64">
        <f t="shared" ca="1" si="1"/>
        <v>0</v>
      </c>
      <c r="M23" s="58">
        <f>IF(成績管理表!$D$15="PED","#",30)</f>
        <v>30</v>
      </c>
      <c r="N23" s="10" t="s">
        <v>12</v>
      </c>
      <c r="O23" s="67">
        <f t="shared" ca="1" si="2"/>
        <v>-30</v>
      </c>
      <c r="P23" s="11" t="str">
        <f t="shared" ca="1" si="3"/>
        <v>×</v>
      </c>
    </row>
    <row r="24" spans="2:16" ht="5.0999999999999996" customHeight="1" x14ac:dyDescent="0.4">
      <c r="B24" s="68"/>
      <c r="C24" s="68"/>
      <c r="D24" s="69"/>
      <c r="E24" s="69"/>
      <c r="F24" s="69"/>
      <c r="G24" s="69"/>
      <c r="H24" s="68"/>
      <c r="I24" s="68"/>
      <c r="J24" s="68"/>
      <c r="K24" s="68"/>
      <c r="L24" s="69"/>
      <c r="M24" s="70"/>
      <c r="N24" s="70"/>
      <c r="O24" s="70"/>
      <c r="P24" s="70"/>
    </row>
    <row r="25" spans="2:16" x14ac:dyDescent="0.4">
      <c r="B25" s="68"/>
      <c r="C25" s="68"/>
      <c r="D25" s="68"/>
      <c r="E25" s="68"/>
      <c r="F25" s="68"/>
      <c r="G25" s="68"/>
      <c r="H25" s="68"/>
      <c r="I25" s="69"/>
      <c r="J25" s="70"/>
      <c r="K25" s="70"/>
      <c r="L25" s="68"/>
      <c r="M25" s="68"/>
      <c r="N25" s="68"/>
      <c r="O25" s="68"/>
      <c r="P25" s="68"/>
    </row>
    <row r="26" spans="2:16" x14ac:dyDescent="0.4">
      <c r="B26" s="68"/>
      <c r="C26" s="68"/>
      <c r="D26" s="68"/>
      <c r="E26" s="68"/>
      <c r="F26" s="68"/>
      <c r="G26" s="68"/>
      <c r="H26" s="68"/>
      <c r="I26" s="69"/>
      <c r="J26" s="70"/>
      <c r="K26" s="70"/>
      <c r="L26" s="68"/>
      <c r="M26" s="68"/>
      <c r="N26" s="68"/>
      <c r="O26" s="68"/>
      <c r="P26" s="68"/>
    </row>
    <row r="27" spans="2:16" x14ac:dyDescent="0.4"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9"/>
      <c r="M27" s="70"/>
      <c r="N27" s="70"/>
      <c r="O27" s="70"/>
      <c r="P27" s="70"/>
    </row>
    <row r="28" spans="2:16" x14ac:dyDescent="0.4">
      <c r="B28" s="68"/>
      <c r="C28" s="68"/>
      <c r="D28" s="68"/>
      <c r="E28" s="68"/>
      <c r="F28" s="70"/>
      <c r="G28" s="70"/>
      <c r="H28" s="70"/>
      <c r="I28" s="68"/>
      <c r="J28" s="68"/>
      <c r="K28" s="68"/>
      <c r="L28" s="68"/>
      <c r="M28" s="68"/>
      <c r="N28" s="68"/>
      <c r="O28" s="68"/>
      <c r="P28" s="68"/>
    </row>
    <row r="29" spans="2:16" x14ac:dyDescent="0.4">
      <c r="B29" s="68"/>
      <c r="C29" s="68"/>
      <c r="D29" s="68"/>
      <c r="E29" s="68"/>
      <c r="F29" s="70"/>
      <c r="G29" s="70"/>
      <c r="H29" s="70"/>
      <c r="I29" s="68"/>
      <c r="J29" s="68"/>
      <c r="K29" s="68"/>
      <c r="L29" s="68"/>
      <c r="M29" s="68"/>
      <c r="N29" s="68"/>
      <c r="O29" s="68"/>
      <c r="P29" s="68"/>
    </row>
    <row r="30" spans="2:16" x14ac:dyDescent="0.4">
      <c r="B30" s="68"/>
      <c r="C30" s="68"/>
      <c r="D30" s="68"/>
      <c r="E30" s="68"/>
      <c r="F30" s="70"/>
      <c r="G30" s="70"/>
      <c r="H30" s="70"/>
      <c r="I30" s="68"/>
      <c r="J30" s="68"/>
      <c r="K30" s="68"/>
      <c r="L30" s="68"/>
      <c r="M30" s="68"/>
      <c r="N30" s="68"/>
      <c r="O30" s="68"/>
      <c r="P30" s="68"/>
    </row>
    <row r="31" spans="2:16" x14ac:dyDescent="0.4">
      <c r="B31" s="68"/>
      <c r="C31" s="68"/>
      <c r="D31" s="68"/>
      <c r="E31" s="68"/>
      <c r="F31" s="70"/>
      <c r="G31" s="70"/>
      <c r="H31" s="70"/>
      <c r="I31" s="68"/>
      <c r="J31" s="68"/>
      <c r="K31" s="68"/>
      <c r="L31" s="68"/>
      <c r="M31" s="68"/>
      <c r="N31" s="68"/>
      <c r="O31" s="68"/>
      <c r="P31" s="68"/>
    </row>
    <row r="32" spans="2:16" x14ac:dyDescent="0.4">
      <c r="B32" s="68"/>
      <c r="C32" s="68"/>
      <c r="D32" s="68"/>
      <c r="E32" s="68"/>
      <c r="F32" s="70"/>
      <c r="G32" s="70"/>
      <c r="H32" s="70"/>
      <c r="I32" s="68"/>
      <c r="J32" s="68"/>
      <c r="K32" s="68"/>
      <c r="L32" s="68"/>
      <c r="M32" s="68"/>
      <c r="N32" s="68"/>
      <c r="O32" s="68"/>
      <c r="P32" s="68"/>
    </row>
    <row r="33" spans="2:16" x14ac:dyDescent="0.4">
      <c r="B33" s="68"/>
      <c r="C33" s="68"/>
      <c r="D33" s="68"/>
      <c r="E33" s="68"/>
      <c r="F33" s="70"/>
      <c r="G33" s="70"/>
      <c r="H33" s="70"/>
      <c r="I33" s="68"/>
      <c r="J33" s="68"/>
      <c r="K33" s="68"/>
      <c r="L33" s="68"/>
      <c r="M33" s="68"/>
      <c r="N33" s="68"/>
      <c r="O33" s="68"/>
      <c r="P33" s="68"/>
    </row>
    <row r="34" spans="2:16" x14ac:dyDescent="0.4">
      <c r="B34" s="68"/>
      <c r="C34" s="68"/>
      <c r="D34" s="68"/>
      <c r="E34" s="68"/>
      <c r="F34" s="70"/>
      <c r="G34" s="70"/>
      <c r="H34" s="70"/>
      <c r="I34" s="68"/>
      <c r="J34" s="68"/>
      <c r="K34" s="68"/>
      <c r="L34" s="68"/>
      <c r="M34" s="68"/>
      <c r="N34" s="68"/>
      <c r="O34" s="68"/>
      <c r="P34" s="68"/>
    </row>
    <row r="35" spans="2:16" x14ac:dyDescent="0.4">
      <c r="B35" s="68"/>
      <c r="C35" s="68"/>
      <c r="D35" s="68"/>
      <c r="E35" s="68"/>
      <c r="F35" s="70"/>
      <c r="G35" s="70"/>
      <c r="H35" s="70"/>
      <c r="I35" s="68"/>
      <c r="J35" s="68"/>
      <c r="K35" s="68"/>
      <c r="L35" s="68"/>
      <c r="M35" s="68"/>
      <c r="N35" s="68"/>
      <c r="O35" s="68"/>
      <c r="P35" s="68"/>
    </row>
    <row r="36" spans="2:16" x14ac:dyDescent="0.4">
      <c r="B36" s="68"/>
      <c r="C36" s="68"/>
      <c r="D36" s="68"/>
      <c r="E36" s="68"/>
      <c r="F36" s="70"/>
      <c r="G36" s="70"/>
      <c r="H36" s="70"/>
      <c r="I36" s="68"/>
      <c r="J36" s="68"/>
      <c r="K36" s="68"/>
      <c r="L36" s="68"/>
      <c r="M36" s="68"/>
      <c r="N36" s="68"/>
      <c r="O36" s="68"/>
      <c r="P36" s="68"/>
    </row>
    <row r="37" spans="2:16" x14ac:dyDescent="0.4">
      <c r="B37" s="68"/>
      <c r="C37" s="68"/>
      <c r="D37" s="68"/>
      <c r="E37" s="68"/>
      <c r="F37" s="70"/>
      <c r="G37" s="70"/>
      <c r="H37" s="70"/>
      <c r="I37" s="68"/>
      <c r="J37" s="68"/>
      <c r="K37" s="68"/>
      <c r="L37" s="68"/>
      <c r="M37" s="68"/>
      <c r="N37" s="68"/>
      <c r="O37" s="68"/>
      <c r="P37" s="68"/>
    </row>
    <row r="38" spans="2:16" x14ac:dyDescent="0.4">
      <c r="B38" s="68"/>
      <c r="C38" s="68"/>
      <c r="D38" s="68"/>
      <c r="E38" s="68"/>
      <c r="F38" s="70"/>
      <c r="G38" s="70"/>
      <c r="H38" s="70"/>
      <c r="I38" s="68"/>
      <c r="J38" s="68"/>
      <c r="K38" s="68"/>
      <c r="L38" s="68"/>
      <c r="M38" s="68"/>
      <c r="N38" s="68"/>
      <c r="O38" s="68"/>
      <c r="P38" s="68"/>
    </row>
    <row r="39" spans="2:16" x14ac:dyDescent="0.4">
      <c r="B39" s="68"/>
      <c r="C39" s="68"/>
      <c r="D39" s="68"/>
      <c r="E39" s="68"/>
      <c r="F39" s="70"/>
      <c r="G39" s="70"/>
      <c r="H39" s="70"/>
      <c r="I39" s="68"/>
      <c r="J39" s="68"/>
      <c r="K39" s="68"/>
      <c r="L39" s="68"/>
      <c r="M39" s="68"/>
      <c r="N39" s="68"/>
      <c r="O39" s="68"/>
      <c r="P39" s="68"/>
    </row>
    <row r="40" spans="2:16" x14ac:dyDescent="0.4">
      <c r="B40" s="68"/>
      <c r="C40" s="68"/>
      <c r="D40" s="68"/>
      <c r="E40" s="68"/>
      <c r="F40" s="70"/>
      <c r="G40" s="70"/>
      <c r="H40" s="70"/>
      <c r="I40" s="68"/>
      <c r="J40" s="68"/>
      <c r="K40" s="68"/>
      <c r="L40" s="68"/>
      <c r="M40" s="68"/>
      <c r="N40" s="68"/>
      <c r="O40" s="68"/>
      <c r="P40" s="68"/>
    </row>
    <row r="41" spans="2:16" x14ac:dyDescent="0.4">
      <c r="B41" s="68"/>
      <c r="C41" s="68"/>
      <c r="D41" s="68"/>
      <c r="E41" s="68"/>
      <c r="F41" s="70"/>
      <c r="G41" s="70"/>
      <c r="H41" s="70"/>
      <c r="I41" s="68"/>
      <c r="J41" s="68"/>
      <c r="K41" s="68"/>
      <c r="L41" s="68"/>
      <c r="M41" s="68"/>
      <c r="N41" s="68"/>
      <c r="O41" s="68"/>
      <c r="P41" s="68"/>
    </row>
    <row r="42" spans="2:16" x14ac:dyDescent="0.4">
      <c r="B42" s="68"/>
      <c r="C42" s="68"/>
      <c r="D42" s="68"/>
      <c r="E42" s="68"/>
      <c r="F42" s="70"/>
      <c r="G42" s="70"/>
      <c r="H42" s="70"/>
      <c r="I42" s="68"/>
      <c r="J42" s="68"/>
      <c r="K42" s="68"/>
      <c r="L42" s="68"/>
      <c r="M42" s="68"/>
      <c r="N42" s="68"/>
      <c r="O42" s="68"/>
      <c r="P42" s="68"/>
    </row>
    <row r="43" spans="2:16" x14ac:dyDescent="0.4">
      <c r="B43" s="68"/>
      <c r="C43" s="68"/>
      <c r="D43" s="68"/>
      <c r="E43" s="68"/>
      <c r="F43" s="70"/>
      <c r="G43" s="70"/>
      <c r="H43" s="70"/>
      <c r="I43" s="68"/>
      <c r="J43" s="68"/>
      <c r="K43" s="68"/>
      <c r="L43" s="68"/>
      <c r="M43" s="68"/>
      <c r="N43" s="68"/>
      <c r="O43" s="68"/>
      <c r="P43" s="68"/>
    </row>
    <row r="44" spans="2:16" x14ac:dyDescent="0.4">
      <c r="B44" s="68"/>
      <c r="C44" s="68"/>
      <c r="D44" s="68"/>
      <c r="E44" s="68"/>
      <c r="F44" s="70"/>
      <c r="G44" s="70"/>
      <c r="H44" s="70"/>
      <c r="I44" s="68"/>
      <c r="J44" s="68"/>
      <c r="K44" s="68"/>
      <c r="L44" s="68"/>
      <c r="M44" s="68"/>
      <c r="N44" s="68"/>
      <c r="O44" s="68"/>
      <c r="P44" s="68"/>
    </row>
    <row r="45" spans="2:16" x14ac:dyDescent="0.4"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9"/>
      <c r="M45" s="70"/>
      <c r="N45" s="70"/>
      <c r="O45" s="70"/>
      <c r="P45" s="70"/>
    </row>
    <row r="46" spans="2:16" x14ac:dyDescent="0.4"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9"/>
      <c r="M46" s="70"/>
      <c r="N46" s="70"/>
      <c r="O46" s="70"/>
      <c r="P46" s="70"/>
    </row>
    <row r="47" spans="2:16" s="68" customFormat="1" x14ac:dyDescent="0.4">
      <c r="L47" s="69"/>
      <c r="M47" s="70"/>
      <c r="N47" s="70"/>
      <c r="O47" s="70"/>
      <c r="P47" s="70"/>
    </row>
    <row r="48" spans="2:16" s="68" customFormat="1" ht="4.5" customHeight="1" x14ac:dyDescent="0.4">
      <c r="L48" s="69"/>
      <c r="M48" s="70"/>
      <c r="N48" s="70"/>
      <c r="O48" s="70"/>
      <c r="P48" s="70"/>
    </row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</sheetData>
  <sheetProtection algorithmName="SHA-512" hashValue="6lMRNGRI0ZZ/tN5b/kTdAtMiQhnov5uG37jUtWR/2Y/Tw628mObGGGZLRjKikLwvFPfVr5QrJ97TtZ6SjX6VTQ==" saltValue="xzghRSb7QusIOKMZFW6sMg==" spinCount="100000" sheet="1" objects="1" scenarios="1" selectLockedCells="1" selectUnlockedCells="1"/>
  <mergeCells count="25">
    <mergeCell ref="B2:P2"/>
    <mergeCell ref="B8:C12"/>
    <mergeCell ref="D8:F8"/>
    <mergeCell ref="D9:F9"/>
    <mergeCell ref="D10:F10"/>
    <mergeCell ref="D11:F11"/>
    <mergeCell ref="D12:F12"/>
    <mergeCell ref="O3:P3"/>
    <mergeCell ref="M3:N3"/>
    <mergeCell ref="B5:C6"/>
    <mergeCell ref="B23:F23"/>
    <mergeCell ref="B7:F7"/>
    <mergeCell ref="M7:N7"/>
    <mergeCell ref="D17:F17"/>
    <mergeCell ref="D18:F18"/>
    <mergeCell ref="D19:F19"/>
    <mergeCell ref="D20:F20"/>
    <mergeCell ref="D22:F22"/>
    <mergeCell ref="B17:C22"/>
    <mergeCell ref="B13:C16"/>
    <mergeCell ref="D13:F13"/>
    <mergeCell ref="D14:F14"/>
    <mergeCell ref="D15:F15"/>
    <mergeCell ref="D16:F16"/>
    <mergeCell ref="D21:F21"/>
  </mergeCells>
  <phoneticPr fontId="5"/>
  <conditionalFormatting sqref="O8:O23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{EB38CA66-226B-49BB-83BB-16F076716425}</x14:id>
        </ext>
      </extLst>
    </cfRule>
  </conditionalFormatting>
  <conditionalFormatting sqref="O8:O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{B8C032EC-F57F-4537-B3E9-59D8F025C8C2}</x14:id>
        </ext>
      </extLst>
    </cfRule>
  </conditionalFormatting>
  <pageMargins left="0.7" right="0.7" top="0.75" bottom="0.75" header="0.3" footer="0.3"/>
  <pageSetup paperSize="9" orientation="portrait" horizontalDpi="4294967293" r:id="rId1"/>
  <ignoredErrors>
    <ignoredError sqref="M9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8CA66-226B-49BB-83BB-16F0767164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O8:O23</xm:sqref>
        </x14:conditionalFormatting>
        <x14:conditionalFormatting xmlns:xm="http://schemas.microsoft.com/office/excel/2006/main">
          <x14:cfRule type="dataBar" id="{B8C032EC-F57F-4537-B3E9-59D8F025C8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O8:O23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9" tint="0.79998168889431442"/>
  </sheetPr>
  <dimension ref="A1:Y66"/>
  <sheetViews>
    <sheetView topLeftCell="A3" zoomScale="111" workbookViewId="0">
      <selection sqref="A1:XFD1048576"/>
    </sheetView>
  </sheetViews>
  <sheetFormatPr defaultColWidth="0" defaultRowHeight="18.75" zeroHeight="1" x14ac:dyDescent="0.4"/>
  <cols>
    <col min="1" max="1" width="0.875" style="68" customWidth="1"/>
    <col min="2" max="9" width="10" style="71" customWidth="1"/>
    <col min="10" max="15" width="10" style="68" customWidth="1"/>
    <col min="16" max="16" width="0.875" style="69" customWidth="1"/>
    <col min="17" max="18" width="10" style="70" hidden="1" customWidth="1"/>
    <col min="19" max="20" width="10.875" style="70" hidden="1" customWidth="1"/>
    <col min="21" max="16384" width="8.625" style="68" hidden="1"/>
  </cols>
  <sheetData>
    <row r="1" spans="1:25" ht="5.0999999999999996" customHeight="1" x14ac:dyDescent="0.4">
      <c r="B1" s="68"/>
      <c r="C1" s="68"/>
      <c r="D1" s="68"/>
      <c r="E1" s="68"/>
      <c r="F1" s="68"/>
      <c r="G1" s="68"/>
      <c r="H1" s="68"/>
      <c r="I1" s="68"/>
    </row>
    <row r="2" spans="1:25" s="72" customFormat="1" ht="30" x14ac:dyDescent="0.4">
      <c r="B2" s="644" t="s">
        <v>7</v>
      </c>
      <c r="C2" s="644"/>
      <c r="D2" s="644"/>
      <c r="E2" s="644"/>
      <c r="F2" s="644"/>
      <c r="G2" s="644"/>
      <c r="H2" s="644"/>
      <c r="I2" s="644"/>
      <c r="J2" s="644"/>
      <c r="K2" s="644"/>
      <c r="L2" s="644"/>
      <c r="M2" s="644"/>
      <c r="N2" s="644"/>
      <c r="O2" s="644"/>
      <c r="P2" s="73"/>
      <c r="Q2" s="73"/>
      <c r="R2" s="73"/>
      <c r="S2" s="73"/>
      <c r="T2" s="73"/>
      <c r="U2" s="73"/>
      <c r="V2" s="73"/>
      <c r="W2" s="73"/>
      <c r="X2" s="73"/>
      <c r="Y2" s="73"/>
    </row>
    <row r="3" spans="1:25" s="72" customFormat="1" ht="18.600000000000001" customHeight="1" x14ac:dyDescent="0.4">
      <c r="B3" s="135"/>
      <c r="C3" s="135"/>
      <c r="D3" s="135"/>
      <c r="E3" s="135"/>
      <c r="F3" s="135"/>
      <c r="G3" s="135"/>
      <c r="H3" s="135"/>
      <c r="I3" s="135"/>
      <c r="J3" s="135"/>
      <c r="K3" s="135"/>
      <c r="M3" s="211" t="s">
        <v>707</v>
      </c>
      <c r="N3" s="480">
        <f ca="1">NOW()</f>
        <v>43958.619201041663</v>
      </c>
      <c r="O3" s="480"/>
      <c r="P3" s="136"/>
      <c r="Q3" s="136"/>
      <c r="R3" s="136"/>
      <c r="S3" s="136"/>
      <c r="T3" s="136"/>
      <c r="U3" s="136"/>
      <c r="V3" s="136"/>
      <c r="W3" s="136"/>
      <c r="X3" s="136"/>
      <c r="Y3" s="136"/>
    </row>
    <row r="4" spans="1:25" s="72" customFormat="1" ht="19.5" thickBot="1" x14ac:dyDescent="0.45">
      <c r="P4" s="76"/>
      <c r="Q4" s="77"/>
      <c r="R4" s="77"/>
      <c r="S4" s="77"/>
      <c r="T4" s="77"/>
    </row>
    <row r="5" spans="1:25" s="75" customFormat="1" hidden="1" x14ac:dyDescent="0.4">
      <c r="A5" s="72"/>
      <c r="B5" s="577" t="s">
        <v>2198</v>
      </c>
      <c r="C5" s="574"/>
      <c r="D5" s="236" t="s">
        <v>2197</v>
      </c>
      <c r="E5" s="237" t="s">
        <v>954</v>
      </c>
      <c r="F5" s="237" t="s">
        <v>15</v>
      </c>
      <c r="G5" s="237" t="s">
        <v>9</v>
      </c>
      <c r="H5" s="238" t="s">
        <v>16</v>
      </c>
      <c r="I5" s="236" t="s">
        <v>994</v>
      </c>
      <c r="J5" s="239" t="s">
        <v>995</v>
      </c>
      <c r="K5" s="118"/>
      <c r="L5" s="118"/>
      <c r="M5" s="118"/>
      <c r="N5" s="118"/>
      <c r="O5" s="118"/>
      <c r="P5" s="118"/>
      <c r="Q5" s="72"/>
    </row>
    <row r="6" spans="1:25" s="75" customFormat="1" ht="19.5" hidden="1" thickBot="1" x14ac:dyDescent="0.45">
      <c r="A6" s="72"/>
      <c r="B6" s="575"/>
      <c r="C6" s="576"/>
      <c r="D6" s="226" t="str">
        <f>総合単位表!D6</f>
        <v>$G$42</v>
      </c>
      <c r="E6" s="224" t="str">
        <f>総合単位表!E6</f>
        <v>$H$42</v>
      </c>
      <c r="F6" s="224" t="str">
        <f>総合単位表!F6</f>
        <v>$M$42</v>
      </c>
      <c r="G6" s="224" t="str">
        <f>総合単位表!G6</f>
        <v>$N$42</v>
      </c>
      <c r="H6" s="227" t="str">
        <f>総合単位表!H6</f>
        <v>$O$42</v>
      </c>
      <c r="I6" s="226" t="str">
        <f>総合単位表!I6</f>
        <v>$AF$39</v>
      </c>
      <c r="J6" s="225" t="str">
        <f>総合単位表!J6</f>
        <v>$AF$40</v>
      </c>
      <c r="K6" s="76"/>
      <c r="L6" s="118"/>
      <c r="M6" s="118"/>
      <c r="N6" s="118"/>
      <c r="O6" s="118"/>
      <c r="P6" s="118"/>
      <c r="Q6" s="72"/>
    </row>
    <row r="7" spans="1:25" s="71" customFormat="1" ht="19.5" x14ac:dyDescent="0.4">
      <c r="A7" s="68"/>
      <c r="B7" s="651"/>
      <c r="C7" s="652"/>
      <c r="D7" s="652"/>
      <c r="E7" s="652"/>
      <c r="F7" s="653"/>
      <c r="G7" s="137" t="s">
        <v>1012</v>
      </c>
      <c r="H7" s="657" t="s">
        <v>1</v>
      </c>
      <c r="I7" s="658"/>
      <c r="J7" s="657" t="s">
        <v>2</v>
      </c>
      <c r="K7" s="658"/>
      <c r="L7" s="657" t="s">
        <v>3</v>
      </c>
      <c r="M7" s="658"/>
      <c r="N7" s="657" t="s">
        <v>4</v>
      </c>
      <c r="O7" s="658"/>
      <c r="P7" s="138"/>
      <c r="Q7" s="88"/>
      <c r="R7" s="88"/>
      <c r="S7" s="88"/>
      <c r="T7" s="88"/>
    </row>
    <row r="8" spans="1:25" s="71" customFormat="1" ht="19.5" thickBot="1" x14ac:dyDescent="0.45">
      <c r="A8" s="68"/>
      <c r="B8" s="654"/>
      <c r="C8" s="655"/>
      <c r="D8" s="655"/>
      <c r="E8" s="655"/>
      <c r="F8" s="656"/>
      <c r="G8" s="139" t="s">
        <v>18</v>
      </c>
      <c r="H8" s="140" t="s">
        <v>18</v>
      </c>
      <c r="I8" s="141" t="s">
        <v>16</v>
      </c>
      <c r="J8" s="140" t="s">
        <v>18</v>
      </c>
      <c r="K8" s="141" t="s">
        <v>16</v>
      </c>
      <c r="L8" s="140" t="s">
        <v>18</v>
      </c>
      <c r="M8" s="141" t="s">
        <v>16</v>
      </c>
      <c r="N8" s="140" t="s">
        <v>18</v>
      </c>
      <c r="O8" s="141" t="s">
        <v>16</v>
      </c>
      <c r="P8" s="142"/>
      <c r="Q8" s="88"/>
      <c r="R8" s="88"/>
      <c r="S8" s="88"/>
      <c r="T8" s="88"/>
    </row>
    <row r="9" spans="1:25" x14ac:dyDescent="0.4">
      <c r="B9" s="563" t="s">
        <v>19</v>
      </c>
      <c r="C9" s="564"/>
      <c r="D9" s="585" t="s">
        <v>681</v>
      </c>
      <c r="E9" s="586"/>
      <c r="F9" s="586"/>
      <c r="G9" s="143">
        <f ca="1">総合単位表!G8</f>
        <v>0</v>
      </c>
      <c r="H9" s="240">
        <f ca="1">総合単位表!H8</f>
        <v>0</v>
      </c>
      <c r="I9" s="61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$B$9,
INDIRECT(H$7&amp;"!"&amp;INDIRECT(H$7&amp;"!"&amp;$E$6)&amp;INDIRECT(H$7&amp;"!"&amp;$I$6)&amp;":"&amp;INDIRECT(H$7&amp;"!"&amp;$E$6)&amp;INDIRECT(H$7&amp;"!"&amp;$J$6)),
LEFT($D9,3)),
"シート×")</f>
        <v>0</v>
      </c>
      <c r="J9" s="78">
        <f ca="1">総合単位表!I8</f>
        <v>0</v>
      </c>
      <c r="K9" s="61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$B$9,
INDIRECT(J$7&amp;"!"&amp;INDIRECT(J$7&amp;"!"&amp;$E$6)&amp;INDIRECT(J$7&amp;"!"&amp;$I$6)&amp;":"&amp;INDIRECT(J$7&amp;"!"&amp;$E$6)&amp;INDIRECT(J$7&amp;"!"&amp;$J$6)),
LEFT($D9,3)),
"シート×")</f>
        <v>0</v>
      </c>
      <c r="L9" s="78">
        <f ca="1">総合単位表!J8</f>
        <v>0</v>
      </c>
      <c r="M9" s="61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LEFT($D9,3)),
"シート×")</f>
        <v>0</v>
      </c>
      <c r="N9" s="78">
        <f ca="1">総合単位表!K8</f>
        <v>0</v>
      </c>
      <c r="O9" s="61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LEFT($D9,3)),
"シート×")</f>
        <v>0</v>
      </c>
      <c r="P9" s="144"/>
    </row>
    <row r="10" spans="1:25" x14ac:dyDescent="0.4">
      <c r="B10" s="563"/>
      <c r="C10" s="564"/>
      <c r="D10" s="587" t="s">
        <v>682</v>
      </c>
      <c r="E10" s="588"/>
      <c r="F10" s="588"/>
      <c r="G10" s="145">
        <f ca="1">総合単位表!G9</f>
        <v>0</v>
      </c>
      <c r="H10" s="241">
        <f ca="1">総合単位表!H9</f>
        <v>0</v>
      </c>
      <c r="I10" s="146">
        <f t="shared" ref="I10:K12" ca="1" si="0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$B$9,
INDIRECT(H$7&amp;"!"&amp;INDIRECT(H$7&amp;"!"&amp;$E$6)&amp;INDIRECT(H$7&amp;"!"&amp;$I$6)&amp;":"&amp;INDIRECT(H$7&amp;"!"&amp;$E$6)&amp;INDIRECT(H$7&amp;"!"&amp;$J$6)),
LEFT($D10,3)),
"シート×")</f>
        <v>0</v>
      </c>
      <c r="J10" s="81">
        <f ca="1">総合単位表!I9</f>
        <v>0</v>
      </c>
      <c r="K10" s="146">
        <f t="shared" ca="1" si="0"/>
        <v>0</v>
      </c>
      <c r="L10" s="81">
        <f ca="1">総合単位表!J9</f>
        <v>0</v>
      </c>
      <c r="M10" s="146">
        <f t="shared" ref="M10" ca="1" si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LEFT($D10,3)),
"シート×")</f>
        <v>0</v>
      </c>
      <c r="N10" s="81">
        <f ca="1">総合単位表!K9</f>
        <v>0</v>
      </c>
      <c r="O10" s="146">
        <f t="shared" ref="O10" ca="1" si="2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LEFT($D10,3)),
"シート×")</f>
        <v>0</v>
      </c>
      <c r="P10" s="147"/>
    </row>
    <row r="11" spans="1:25" x14ac:dyDescent="0.4">
      <c r="B11" s="563"/>
      <c r="C11" s="564"/>
      <c r="D11" s="587" t="s">
        <v>683</v>
      </c>
      <c r="E11" s="588"/>
      <c r="F11" s="588"/>
      <c r="G11" s="145">
        <f ca="1">総合単位表!G10</f>
        <v>0</v>
      </c>
      <c r="H11" s="241">
        <f ca="1">総合単位表!H10</f>
        <v>0</v>
      </c>
      <c r="I11" s="146">
        <f t="shared" ca="1" si="0"/>
        <v>0</v>
      </c>
      <c r="J11" s="81">
        <f ca="1">総合単位表!I10</f>
        <v>0</v>
      </c>
      <c r="K11" s="146">
        <f t="shared" ca="1" si="0"/>
        <v>0</v>
      </c>
      <c r="L11" s="81">
        <f ca="1">総合単位表!J10</f>
        <v>0</v>
      </c>
      <c r="M11" s="146">
        <f t="shared" ref="M11" ca="1" si="3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LEFT($D11,3)),
"シート×")</f>
        <v>0</v>
      </c>
      <c r="N11" s="81">
        <f ca="1">総合単位表!K10</f>
        <v>0</v>
      </c>
      <c r="O11" s="146">
        <f t="shared" ref="O11" ca="1" si="4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LEFT($D11,3)),
"シート×")</f>
        <v>0</v>
      </c>
      <c r="P11" s="144"/>
    </row>
    <row r="12" spans="1:25" x14ac:dyDescent="0.4">
      <c r="B12" s="563"/>
      <c r="C12" s="564"/>
      <c r="D12" s="587" t="s">
        <v>684</v>
      </c>
      <c r="E12" s="588"/>
      <c r="F12" s="588"/>
      <c r="G12" s="145">
        <f ca="1">総合単位表!G11</f>
        <v>0</v>
      </c>
      <c r="H12" s="241">
        <f ca="1">総合単位表!H11</f>
        <v>0</v>
      </c>
      <c r="I12" s="146">
        <f t="shared" ca="1" si="0"/>
        <v>0</v>
      </c>
      <c r="J12" s="81">
        <f ca="1">総合単位表!I11</f>
        <v>0</v>
      </c>
      <c r="K12" s="146">
        <f t="shared" ca="1" si="0"/>
        <v>0</v>
      </c>
      <c r="L12" s="81">
        <f ca="1">総合単位表!J11</f>
        <v>0</v>
      </c>
      <c r="M12" s="146">
        <f t="shared" ref="M12" ca="1" si="5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LEFT($D12,3)),
"シート×")</f>
        <v>0</v>
      </c>
      <c r="N12" s="81">
        <f ca="1">総合単位表!K11</f>
        <v>0</v>
      </c>
      <c r="O12" s="146">
        <f t="shared" ref="O12" ca="1" si="6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LEFT($D12,3)),
"シート×")</f>
        <v>0</v>
      </c>
      <c r="P12" s="147"/>
    </row>
    <row r="13" spans="1:25" x14ac:dyDescent="0.4">
      <c r="B13" s="563"/>
      <c r="C13" s="564"/>
      <c r="D13" s="645" t="s">
        <v>712</v>
      </c>
      <c r="E13" s="646"/>
      <c r="F13" s="646"/>
      <c r="G13" s="148"/>
      <c r="H13" s="242"/>
      <c r="I13" s="149" t="str">
        <f ca="1">IF(H14=0,"ー",I14/H14)</f>
        <v>ー</v>
      </c>
      <c r="J13" s="248"/>
      <c r="K13" s="149" t="str">
        <f ca="1">IF(J14=0,"ー",K14/J14)</f>
        <v>ー</v>
      </c>
      <c r="L13" s="248"/>
      <c r="M13" s="149" t="str">
        <f ca="1">IF(L14=0,"ー",M14/L14)</f>
        <v>ー</v>
      </c>
      <c r="N13" s="248"/>
      <c r="O13" s="149" t="str">
        <f ca="1">IF(N14=0,"ー",O14/N14)</f>
        <v>ー</v>
      </c>
      <c r="P13" s="150"/>
    </row>
    <row r="14" spans="1:25" x14ac:dyDescent="0.4">
      <c r="B14" s="565"/>
      <c r="C14" s="566"/>
      <c r="D14" s="569" t="s">
        <v>713</v>
      </c>
      <c r="E14" s="570"/>
      <c r="F14" s="570"/>
      <c r="G14" s="151">
        <f t="shared" ref="G14:N14" ca="1" si="7">SUM(G9:G12)</f>
        <v>0</v>
      </c>
      <c r="H14" s="243">
        <f t="shared" ca="1" si="7"/>
        <v>0</v>
      </c>
      <c r="I14" s="153">
        <f t="shared" ca="1" si="7"/>
        <v>0</v>
      </c>
      <c r="J14" s="152">
        <f t="shared" ca="1" si="7"/>
        <v>0</v>
      </c>
      <c r="K14" s="153">
        <f t="shared" ref="K14" ca="1" si="8">SUM(K9:K12)</f>
        <v>0</v>
      </c>
      <c r="L14" s="152">
        <f t="shared" ca="1" si="7"/>
        <v>0</v>
      </c>
      <c r="M14" s="153">
        <f t="shared" ref="M14" ca="1" si="9">SUM(M9:M12)</f>
        <v>0</v>
      </c>
      <c r="N14" s="152">
        <f t="shared" ca="1" si="7"/>
        <v>0</v>
      </c>
      <c r="O14" s="153">
        <f t="shared" ref="O14" ca="1" si="10">SUM(O9:O12)</f>
        <v>0</v>
      </c>
      <c r="P14" s="154"/>
    </row>
    <row r="15" spans="1:25" x14ac:dyDescent="0.4">
      <c r="B15" s="550" t="s">
        <v>57</v>
      </c>
      <c r="C15" s="551"/>
      <c r="D15" s="647" t="s">
        <v>681</v>
      </c>
      <c r="E15" s="648"/>
      <c r="F15" s="648"/>
      <c r="G15" s="155">
        <f ca="1">総合単位表!G13</f>
        <v>0</v>
      </c>
      <c r="H15" s="244">
        <f ca="1">総合単位表!H13</f>
        <v>0</v>
      </c>
      <c r="I15" s="146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$B$15,
INDIRECT(H$7&amp;"!"&amp;INDIRECT(H$7&amp;"!"&amp;$E$6)&amp;INDIRECT(H$7&amp;"!"&amp;$I$6)&amp;":"&amp;INDIRECT(H$7&amp;"!"&amp;$E$6)&amp;INDIRECT(H$7&amp;"!"&amp;$J$6)),
LEFT($D15,3)),
"シート×")</f>
        <v>0</v>
      </c>
      <c r="J15" s="156">
        <f ca="1">総合単位表!I13</f>
        <v>0</v>
      </c>
      <c r="K15" s="146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$B$15,
INDIRECT(J$7&amp;"!"&amp;INDIRECT(J$7&amp;"!"&amp;$E$6)&amp;INDIRECT(J$7&amp;"!"&amp;$I$6)&amp;":"&amp;INDIRECT(J$7&amp;"!"&amp;$E$6)&amp;INDIRECT(J$7&amp;"!"&amp;$J$6)),
LEFT($D15,3)),
"シート×")</f>
        <v>0</v>
      </c>
      <c r="L15" s="156">
        <f ca="1">総合単位表!J13</f>
        <v>0</v>
      </c>
      <c r="M15" s="146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LEFT($D15,3)),
"シート×")</f>
        <v>0</v>
      </c>
      <c r="N15" s="156">
        <f ca="1">総合単位表!K13</f>
        <v>0</v>
      </c>
      <c r="O15" s="146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LEFT($D15,3)),
"シート×")</f>
        <v>0</v>
      </c>
      <c r="P15" s="147"/>
    </row>
    <row r="16" spans="1:25" x14ac:dyDescent="0.4">
      <c r="B16" s="552"/>
      <c r="C16" s="553"/>
      <c r="D16" s="647" t="s">
        <v>682</v>
      </c>
      <c r="E16" s="648"/>
      <c r="F16" s="648"/>
      <c r="G16" s="155">
        <f ca="1">総合単位表!G14</f>
        <v>0</v>
      </c>
      <c r="H16" s="244">
        <f ca="1">総合単位表!H14</f>
        <v>0</v>
      </c>
      <c r="I16" s="146">
        <f t="shared" ref="I16:K17" ca="1" si="1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$B$15,
INDIRECT(H$7&amp;"!"&amp;INDIRECT(H$7&amp;"!"&amp;$E$6)&amp;INDIRECT(H$7&amp;"!"&amp;$I$6)&amp;":"&amp;INDIRECT(H$7&amp;"!"&amp;$E$6)&amp;INDIRECT(H$7&amp;"!"&amp;$J$6)),
LEFT($D16,3)),
"シート×")</f>
        <v>0</v>
      </c>
      <c r="J16" s="156">
        <f ca="1">総合単位表!I14</f>
        <v>0</v>
      </c>
      <c r="K16" s="146">
        <f t="shared" ca="1" si="11"/>
        <v>0</v>
      </c>
      <c r="L16" s="156">
        <f ca="1">総合単位表!J14</f>
        <v>0</v>
      </c>
      <c r="M16" s="146">
        <f t="shared" ref="M16" ca="1" si="12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LEFT($D16,3)),
"シート×")</f>
        <v>0</v>
      </c>
      <c r="N16" s="156">
        <f ca="1">総合単位表!K14</f>
        <v>0</v>
      </c>
      <c r="O16" s="146">
        <f t="shared" ref="O16" ca="1" si="13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LEFT($D16,3)),
"シート×")</f>
        <v>0</v>
      </c>
      <c r="P16" s="147"/>
    </row>
    <row r="17" spans="2:16" x14ac:dyDescent="0.4">
      <c r="B17" s="552"/>
      <c r="C17" s="553"/>
      <c r="D17" s="647" t="s">
        <v>683</v>
      </c>
      <c r="E17" s="648"/>
      <c r="F17" s="648"/>
      <c r="G17" s="155">
        <f ca="1">総合単位表!G15</f>
        <v>0</v>
      </c>
      <c r="H17" s="244">
        <f ca="1">総合単位表!H15</f>
        <v>0</v>
      </c>
      <c r="I17" s="146">
        <f t="shared" ca="1" si="11"/>
        <v>0</v>
      </c>
      <c r="J17" s="156">
        <f ca="1">総合単位表!I15</f>
        <v>0</v>
      </c>
      <c r="K17" s="146">
        <f t="shared" ca="1" si="11"/>
        <v>0</v>
      </c>
      <c r="L17" s="156">
        <f ca="1">総合単位表!J15</f>
        <v>0</v>
      </c>
      <c r="M17" s="146">
        <f t="shared" ref="M17" ca="1" si="14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LEFT($D17,3)),
"シート×")</f>
        <v>0</v>
      </c>
      <c r="N17" s="156">
        <f ca="1">総合単位表!K15</f>
        <v>0</v>
      </c>
      <c r="O17" s="146">
        <f t="shared" ref="O17" ca="1" si="15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LEFT($D17,3)),
"シート×")</f>
        <v>0</v>
      </c>
      <c r="P17" s="144"/>
    </row>
    <row r="18" spans="2:16" x14ac:dyDescent="0.4">
      <c r="B18" s="552"/>
      <c r="C18" s="553"/>
      <c r="D18" s="649" t="s">
        <v>686</v>
      </c>
      <c r="E18" s="650"/>
      <c r="F18" s="650"/>
      <c r="G18" s="157"/>
      <c r="H18" s="245"/>
      <c r="I18" s="158" t="str">
        <f ca="1">IF(H19=0,"ー",I19/H19)</f>
        <v>ー</v>
      </c>
      <c r="J18" s="249"/>
      <c r="K18" s="158" t="str">
        <f ca="1">IF(J19=0,"ー",K19/J19)</f>
        <v>ー</v>
      </c>
      <c r="L18" s="249"/>
      <c r="M18" s="158" t="str">
        <f ca="1">IF(L19=0,"ー",M19/L19)</f>
        <v>ー</v>
      </c>
      <c r="N18" s="249"/>
      <c r="O18" s="158" t="str">
        <f ca="1">IF(N19=0,"ー",O19/N19)</f>
        <v>ー</v>
      </c>
      <c r="P18" s="159"/>
    </row>
    <row r="19" spans="2:16" x14ac:dyDescent="0.4">
      <c r="B19" s="554"/>
      <c r="C19" s="555"/>
      <c r="D19" s="558" t="s">
        <v>714</v>
      </c>
      <c r="E19" s="559"/>
      <c r="F19" s="559"/>
      <c r="G19" s="151">
        <f t="shared" ref="G19:N19" ca="1" si="16">SUM(G15:G17)</f>
        <v>0</v>
      </c>
      <c r="H19" s="243">
        <f t="shared" ca="1" si="16"/>
        <v>0</v>
      </c>
      <c r="I19" s="153">
        <f t="shared" ca="1" si="16"/>
        <v>0</v>
      </c>
      <c r="J19" s="152">
        <f t="shared" ca="1" si="16"/>
        <v>0</v>
      </c>
      <c r="K19" s="153">
        <f t="shared" ref="K19" ca="1" si="17">SUM(K15:K17)</f>
        <v>0</v>
      </c>
      <c r="L19" s="152">
        <f t="shared" ca="1" si="16"/>
        <v>0</v>
      </c>
      <c r="M19" s="153">
        <f t="shared" ref="M19" ca="1" si="18">SUM(M15:M17)</f>
        <v>0</v>
      </c>
      <c r="N19" s="152">
        <f t="shared" ca="1" si="16"/>
        <v>0</v>
      </c>
      <c r="O19" s="153">
        <f t="shared" ref="O19" ca="1" si="19">SUM(O15:O17)</f>
        <v>0</v>
      </c>
      <c r="P19" s="160"/>
    </row>
    <row r="20" spans="2:16" x14ac:dyDescent="0.4">
      <c r="B20" s="544" t="s">
        <v>0</v>
      </c>
      <c r="C20" s="545"/>
      <c r="D20" s="585" t="s">
        <v>681</v>
      </c>
      <c r="E20" s="586"/>
      <c r="F20" s="586"/>
      <c r="G20" s="155">
        <f ca="1">総合単位表!G17</f>
        <v>0</v>
      </c>
      <c r="H20" s="244">
        <f ca="1">総合単位表!H17</f>
        <v>0</v>
      </c>
      <c r="I20" s="146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$B$20,
INDIRECT(H$7&amp;"!"&amp;INDIRECT(H$7&amp;"!"&amp;$E$6)&amp;INDIRECT(H$7&amp;"!"&amp;$I$6)&amp;":"&amp;INDIRECT(H$7&amp;"!"&amp;$E$6)&amp;INDIRECT(H$7&amp;"!"&amp;$J$6)),
LEFT($D20,3)),
"シート×")</f>
        <v>0</v>
      </c>
      <c r="J20" s="156">
        <f ca="1">総合単位表!I17</f>
        <v>0</v>
      </c>
      <c r="K20" s="146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$B$20,
INDIRECT(J$7&amp;"!"&amp;INDIRECT(J$7&amp;"!"&amp;$E$6)&amp;INDIRECT(J$7&amp;"!"&amp;$I$6)&amp;":"&amp;INDIRECT(J$7&amp;"!"&amp;$E$6)&amp;INDIRECT(J$7&amp;"!"&amp;$J$6)),
LEFT($D20,3)),
"シート×")</f>
        <v>0</v>
      </c>
      <c r="L20" s="156">
        <f ca="1">総合単位表!J17</f>
        <v>0</v>
      </c>
      <c r="M20" s="146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LEFT($D20,3)),
"シート×")</f>
        <v>0</v>
      </c>
      <c r="N20" s="156">
        <f ca="1">総合単位表!K17</f>
        <v>0</v>
      </c>
      <c r="O20" s="146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LEFT($D20,3)),
"シート×")</f>
        <v>0</v>
      </c>
      <c r="P20" s="144"/>
    </row>
    <row r="21" spans="2:16" x14ac:dyDescent="0.4">
      <c r="B21" s="546"/>
      <c r="C21" s="547"/>
      <c r="D21" s="587" t="s">
        <v>682</v>
      </c>
      <c r="E21" s="588"/>
      <c r="F21" s="588"/>
      <c r="G21" s="155">
        <f ca="1">総合単位表!G18</f>
        <v>0</v>
      </c>
      <c r="H21" s="244">
        <f ca="1">総合単位表!H18</f>
        <v>0</v>
      </c>
      <c r="I21" s="146">
        <f t="shared" ref="I21:K24" ca="1" si="20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$B$20,
INDIRECT(H$7&amp;"!"&amp;INDIRECT(H$7&amp;"!"&amp;$E$6)&amp;INDIRECT(H$7&amp;"!"&amp;$I$6)&amp;":"&amp;INDIRECT(H$7&amp;"!"&amp;$E$6)&amp;INDIRECT(H$7&amp;"!"&amp;$J$6)),
LEFT($D21,3)),
"シート×")</f>
        <v>0</v>
      </c>
      <c r="J21" s="156">
        <f ca="1">総合単位表!I18</f>
        <v>0</v>
      </c>
      <c r="K21" s="146">
        <f t="shared" ca="1" si="20"/>
        <v>0</v>
      </c>
      <c r="L21" s="156">
        <f ca="1">総合単位表!J18</f>
        <v>0</v>
      </c>
      <c r="M21" s="146">
        <f t="shared" ref="M21" ca="1" si="2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LEFT($D21,3)),
"シート×")</f>
        <v>0</v>
      </c>
      <c r="N21" s="156">
        <f ca="1">総合単位表!K18</f>
        <v>0</v>
      </c>
      <c r="O21" s="146">
        <f t="shared" ref="O21" ca="1" si="22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LEFT($D21,3)),
"シート×")</f>
        <v>0</v>
      </c>
      <c r="P21" s="147"/>
    </row>
    <row r="22" spans="2:16" x14ac:dyDescent="0.4">
      <c r="B22" s="546"/>
      <c r="C22" s="547"/>
      <c r="D22" s="587" t="s">
        <v>683</v>
      </c>
      <c r="E22" s="588"/>
      <c r="F22" s="588"/>
      <c r="G22" s="155">
        <f ca="1">総合単位表!G19</f>
        <v>0</v>
      </c>
      <c r="H22" s="244">
        <f ca="1">総合単位表!H19</f>
        <v>0</v>
      </c>
      <c r="I22" s="146">
        <f t="shared" ca="1" si="20"/>
        <v>0</v>
      </c>
      <c r="J22" s="156">
        <f ca="1">総合単位表!I19</f>
        <v>0</v>
      </c>
      <c r="K22" s="146">
        <f t="shared" ca="1" si="20"/>
        <v>0</v>
      </c>
      <c r="L22" s="156">
        <f ca="1">総合単位表!J19</f>
        <v>0</v>
      </c>
      <c r="M22" s="146">
        <f t="shared" ref="M22" ca="1" si="23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LEFT($D22,3)),
"シート×")</f>
        <v>0</v>
      </c>
      <c r="N22" s="156">
        <f ca="1">総合単位表!K19</f>
        <v>0</v>
      </c>
      <c r="O22" s="146">
        <f t="shared" ref="O22" ca="1" si="24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LEFT($D22,3)),
"シート×")</f>
        <v>0</v>
      </c>
      <c r="P22" s="144"/>
    </row>
    <row r="23" spans="2:16" x14ac:dyDescent="0.4">
      <c r="B23" s="546"/>
      <c r="C23" s="547"/>
      <c r="D23" s="587" t="s">
        <v>684</v>
      </c>
      <c r="E23" s="588"/>
      <c r="F23" s="588"/>
      <c r="G23" s="155">
        <f ca="1">総合単位表!G20</f>
        <v>0</v>
      </c>
      <c r="H23" s="244">
        <f ca="1">総合単位表!H20</f>
        <v>0</v>
      </c>
      <c r="I23" s="146">
        <f t="shared" ca="1" si="20"/>
        <v>0</v>
      </c>
      <c r="J23" s="156">
        <f ca="1">総合単位表!I20</f>
        <v>0</v>
      </c>
      <c r="K23" s="146">
        <f t="shared" ca="1" si="20"/>
        <v>0</v>
      </c>
      <c r="L23" s="156">
        <f ca="1">総合単位表!J20</f>
        <v>0</v>
      </c>
      <c r="M23" s="146">
        <f t="shared" ref="M23" ca="1" si="25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LEFT($D23,3)),
"シート×")</f>
        <v>0</v>
      </c>
      <c r="N23" s="156">
        <f ca="1">総合単位表!K20</f>
        <v>0</v>
      </c>
      <c r="O23" s="146">
        <f t="shared" ref="O23" ca="1" si="26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LEFT($D23,3)),
"シート×")</f>
        <v>0</v>
      </c>
      <c r="P23" s="147"/>
    </row>
    <row r="24" spans="2:16" x14ac:dyDescent="0.4">
      <c r="B24" s="546"/>
      <c r="C24" s="547"/>
      <c r="D24" s="587" t="s">
        <v>1010</v>
      </c>
      <c r="E24" s="588"/>
      <c r="F24" s="659"/>
      <c r="G24" s="155">
        <f ca="1">総合単位表!G21</f>
        <v>0</v>
      </c>
      <c r="H24" s="244">
        <f ca="1">総合単位表!H21</f>
        <v>0</v>
      </c>
      <c r="I24" s="146">
        <f t="shared" ca="1" si="20"/>
        <v>0</v>
      </c>
      <c r="J24" s="156">
        <f ca="1">総合単位表!I21</f>
        <v>0</v>
      </c>
      <c r="K24" s="146">
        <f t="shared" ca="1" si="20"/>
        <v>0</v>
      </c>
      <c r="L24" s="156">
        <f ca="1">総合単位表!J21</f>
        <v>0</v>
      </c>
      <c r="M24" s="146">
        <f t="shared" ref="M24" ca="1" si="27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LEFT($D24,3)),
"シート×")</f>
        <v>0</v>
      </c>
      <c r="N24" s="156">
        <f ca="1">総合単位表!K21</f>
        <v>0</v>
      </c>
      <c r="O24" s="146">
        <f t="shared" ref="O24" ca="1" si="28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LEFT($D24,3)),
"シート×")</f>
        <v>0</v>
      </c>
      <c r="P24" s="147"/>
    </row>
    <row r="25" spans="2:16" x14ac:dyDescent="0.4">
      <c r="B25" s="546"/>
      <c r="C25" s="547"/>
      <c r="D25" s="589" t="s">
        <v>715</v>
      </c>
      <c r="E25" s="590"/>
      <c r="F25" s="590"/>
      <c r="G25" s="161"/>
      <c r="H25" s="162"/>
      <c r="I25" s="246" t="str">
        <f ca="1">IF(H26=0,"ー",I26/H26)</f>
        <v>ー</v>
      </c>
      <c r="J25" s="247"/>
      <c r="K25" s="246" t="str">
        <f ca="1">IF(J26=0,"ー",K26/J26)</f>
        <v>ー</v>
      </c>
      <c r="L25" s="247"/>
      <c r="M25" s="246" t="str">
        <f ca="1">IF(L26=0,"ー",M26/L26)</f>
        <v>ー</v>
      </c>
      <c r="N25" s="247"/>
      <c r="O25" s="246" t="str">
        <f ca="1">IF(N26=0,"ー",O26/N26)</f>
        <v>ー</v>
      </c>
      <c r="P25" s="159"/>
    </row>
    <row r="26" spans="2:16" x14ac:dyDescent="0.4">
      <c r="B26" s="548"/>
      <c r="C26" s="549"/>
      <c r="D26" s="542" t="s">
        <v>716</v>
      </c>
      <c r="E26" s="543"/>
      <c r="F26" s="543"/>
      <c r="G26" s="151">
        <f t="shared" ref="G26:O26" ca="1" si="29">SUM(G20:G24)</f>
        <v>0</v>
      </c>
      <c r="H26" s="152">
        <f t="shared" ca="1" si="29"/>
        <v>0</v>
      </c>
      <c r="I26" s="153">
        <f t="shared" ca="1" si="29"/>
        <v>0</v>
      </c>
      <c r="J26" s="152">
        <f t="shared" ca="1" si="29"/>
        <v>0</v>
      </c>
      <c r="K26" s="153">
        <f t="shared" ca="1" si="29"/>
        <v>0</v>
      </c>
      <c r="L26" s="152">
        <f t="shared" ca="1" si="29"/>
        <v>0</v>
      </c>
      <c r="M26" s="153">
        <f t="shared" ca="1" si="29"/>
        <v>0</v>
      </c>
      <c r="N26" s="152">
        <f t="shared" ca="1" si="29"/>
        <v>0</v>
      </c>
      <c r="O26" s="153">
        <f t="shared" ca="1" si="29"/>
        <v>0</v>
      </c>
      <c r="P26" s="150"/>
    </row>
    <row r="27" spans="2:16" x14ac:dyDescent="0.4">
      <c r="B27" s="578" t="s">
        <v>8</v>
      </c>
      <c r="C27" s="579"/>
      <c r="D27" s="579"/>
      <c r="E27" s="579"/>
      <c r="F27" s="579"/>
      <c r="G27" s="161"/>
      <c r="H27" s="162"/>
      <c r="I27" s="163" t="str">
        <f ca="1">IF(H28=0,"ー",I28/H28)</f>
        <v>ー</v>
      </c>
      <c r="J27" s="162"/>
      <c r="K27" s="163" t="str">
        <f ca="1">IF(J28=0,"ー",K28/J28)</f>
        <v>ー</v>
      </c>
      <c r="L27" s="162"/>
      <c r="M27" s="163" t="str">
        <f ca="1">IF(L28=0,"ー",M28/L28)</f>
        <v>ー</v>
      </c>
      <c r="N27" s="162"/>
      <c r="O27" s="163" t="str">
        <f ca="1">IF(N28=0,"ー",O28/N28)</f>
        <v>ー</v>
      </c>
      <c r="P27" s="164"/>
    </row>
    <row r="28" spans="2:16" ht="19.5" thickBot="1" x14ac:dyDescent="0.45">
      <c r="B28" s="533" t="s">
        <v>17</v>
      </c>
      <c r="C28" s="534"/>
      <c r="D28" s="534"/>
      <c r="E28" s="534"/>
      <c r="F28" s="534"/>
      <c r="G28" s="165">
        <f ca="1">G14+G19+G26</f>
        <v>0</v>
      </c>
      <c r="H28" s="166">
        <f ca="1">H14+H19+H26</f>
        <v>0</v>
      </c>
      <c r="I28" s="167">
        <f t="shared" ref="I28" ca="1" si="30">I14+I19+I26</f>
        <v>0</v>
      </c>
      <c r="J28" s="166">
        <f ca="1">J14+J19+J26</f>
        <v>0</v>
      </c>
      <c r="K28" s="167">
        <f t="shared" ref="K28" ca="1" si="31">K14+K19+K26</f>
        <v>0</v>
      </c>
      <c r="L28" s="166">
        <f ca="1">L14+L19+L26</f>
        <v>0</v>
      </c>
      <c r="M28" s="167">
        <f t="shared" ref="M28" ca="1" si="32">M14+M19+M26</f>
        <v>0</v>
      </c>
      <c r="N28" s="166">
        <f ca="1">N14+N19+N26</f>
        <v>0</v>
      </c>
      <c r="O28" s="167">
        <f t="shared" ref="O28" ca="1" si="33">O14+O19+O26</f>
        <v>0</v>
      </c>
      <c r="P28" s="160"/>
    </row>
    <row r="29" spans="2:16" ht="18" customHeight="1" thickBot="1" x14ac:dyDescent="0.45">
      <c r="B29" s="68"/>
      <c r="C29" s="68"/>
      <c r="D29" s="69"/>
      <c r="E29" s="69"/>
      <c r="F29" s="69"/>
      <c r="G29" s="69"/>
      <c r="H29" s="68"/>
      <c r="I29" s="68"/>
    </row>
    <row r="30" spans="2:16" s="70" customFormat="1" ht="18" customHeight="1" thickBot="1" x14ac:dyDescent="0.45">
      <c r="C30" s="593" t="s">
        <v>685</v>
      </c>
      <c r="D30" s="594"/>
      <c r="E30" s="594"/>
      <c r="F30" s="594"/>
      <c r="G30" s="594"/>
      <c r="H30" s="595"/>
      <c r="K30" s="580" t="s">
        <v>706</v>
      </c>
      <c r="L30" s="581"/>
      <c r="M30" s="581"/>
      <c r="N30" s="582"/>
    </row>
    <row r="31" spans="2:16" s="70" customFormat="1" ht="19.5" thickBot="1" x14ac:dyDescent="0.45">
      <c r="C31" s="580"/>
      <c r="D31" s="582"/>
      <c r="E31" s="580" t="s">
        <v>8</v>
      </c>
      <c r="F31" s="582"/>
      <c r="G31" s="591" t="s">
        <v>687</v>
      </c>
      <c r="H31" s="592"/>
      <c r="K31" s="212" t="s">
        <v>690</v>
      </c>
      <c r="L31" s="213" t="s">
        <v>16</v>
      </c>
      <c r="M31" s="213" t="s">
        <v>697</v>
      </c>
      <c r="N31" s="214" t="s">
        <v>698</v>
      </c>
    </row>
    <row r="32" spans="2:16" s="70" customFormat="1" ht="18.75" customHeight="1" x14ac:dyDescent="0.4">
      <c r="C32" s="620" t="s">
        <v>19</v>
      </c>
      <c r="D32" s="621"/>
      <c r="E32" s="612" t="str">
        <f ca="1">IFERROR(SUM(I14,K14,M14,O14)/SUM(H14,J14,L14,N14),"ー")</f>
        <v>ー</v>
      </c>
      <c r="F32" s="613"/>
      <c r="G32" s="596">
        <f ca="1">IFERROR(E32*SUM(G14,H14,J14,L14,N14),0)</f>
        <v>0</v>
      </c>
      <c r="H32" s="597"/>
      <c r="K32" s="168" t="s">
        <v>691</v>
      </c>
      <c r="L32" s="169">
        <v>4.5</v>
      </c>
      <c r="M32" s="169" t="s">
        <v>699</v>
      </c>
      <c r="N32" s="583" t="s">
        <v>704</v>
      </c>
    </row>
    <row r="33" spans="3:20" s="70" customFormat="1" ht="19.5" customHeight="1" thickBot="1" x14ac:dyDescent="0.45">
      <c r="C33" s="622"/>
      <c r="D33" s="623"/>
      <c r="E33" s="614"/>
      <c r="F33" s="615"/>
      <c r="G33" s="598"/>
      <c r="H33" s="599"/>
      <c r="K33" s="170" t="s">
        <v>692</v>
      </c>
      <c r="L33" s="171">
        <v>4</v>
      </c>
      <c r="M33" s="171" t="s">
        <v>700</v>
      </c>
      <c r="N33" s="583"/>
    </row>
    <row r="34" spans="3:20" s="70" customFormat="1" ht="18.75" customHeight="1" x14ac:dyDescent="0.4">
      <c r="C34" s="624" t="s">
        <v>688</v>
      </c>
      <c r="D34" s="625"/>
      <c r="E34" s="616" t="str">
        <f ca="1">IFERROR(SUM(I19,K19,M19,O19)/SUM(H19,J19,L19,N19),"ー")</f>
        <v>ー</v>
      </c>
      <c r="F34" s="617"/>
      <c r="G34" s="600">
        <f ca="1">IFERROR(E34*SUM(G19,H19,J19,L19,N19),0)</f>
        <v>0</v>
      </c>
      <c r="H34" s="601"/>
      <c r="K34" s="172" t="s">
        <v>693</v>
      </c>
      <c r="L34" s="171">
        <v>3</v>
      </c>
      <c r="M34" s="173" t="s">
        <v>701</v>
      </c>
      <c r="N34" s="583"/>
    </row>
    <row r="35" spans="3:20" s="70" customFormat="1" ht="19.5" customHeight="1" thickBot="1" x14ac:dyDescent="0.45">
      <c r="C35" s="626"/>
      <c r="D35" s="627"/>
      <c r="E35" s="618"/>
      <c r="F35" s="619"/>
      <c r="G35" s="602"/>
      <c r="H35" s="603"/>
      <c r="K35" s="174" t="s">
        <v>694</v>
      </c>
      <c r="L35" s="175">
        <v>2</v>
      </c>
      <c r="M35" s="176" t="s">
        <v>702</v>
      </c>
      <c r="N35" s="584"/>
    </row>
    <row r="36" spans="3:20" s="70" customFormat="1" ht="19.5" customHeight="1" thickBot="1" x14ac:dyDescent="0.45">
      <c r="C36" s="604" t="s">
        <v>0</v>
      </c>
      <c r="D36" s="605"/>
      <c r="E36" s="628" t="str">
        <f ca="1">IFERROR(SUM(I26,K26,M26,O26)/SUM(H26,J26,L26,N26),"ー")</f>
        <v>ー</v>
      </c>
      <c r="F36" s="629"/>
      <c r="G36" s="636">
        <f ca="1">IFERROR(E36*SUM(G26,H26,J26,L26,N26),0)</f>
        <v>0</v>
      </c>
      <c r="H36" s="637"/>
      <c r="K36" s="177" t="s">
        <v>695</v>
      </c>
      <c r="L36" s="178">
        <v>0</v>
      </c>
      <c r="M36" s="179" t="s">
        <v>703</v>
      </c>
      <c r="N36" s="180" t="s">
        <v>705</v>
      </c>
      <c r="P36" s="181"/>
    </row>
    <row r="37" spans="3:20" s="70" customFormat="1" ht="19.5" customHeight="1" thickBot="1" x14ac:dyDescent="0.45">
      <c r="C37" s="606"/>
      <c r="D37" s="607"/>
      <c r="E37" s="630"/>
      <c r="F37" s="631"/>
      <c r="G37" s="638"/>
      <c r="H37" s="639"/>
      <c r="P37" s="181"/>
    </row>
    <row r="38" spans="3:20" s="70" customFormat="1" ht="18.75" customHeight="1" x14ac:dyDescent="0.4">
      <c r="C38" s="608" t="s">
        <v>5</v>
      </c>
      <c r="D38" s="609"/>
      <c r="E38" s="632" t="str">
        <f ca="1">IFERROR(SUM(I28,K28,M28,O28)/SUM(H28,J28,L28,N28),"ー")</f>
        <v>ー</v>
      </c>
      <c r="F38" s="633"/>
      <c r="G38" s="640">
        <f ca="1">IFERROR(E38*SUM(G28,H28,J28,L28,N28),0)</f>
        <v>0</v>
      </c>
      <c r="H38" s="641"/>
      <c r="K38" s="182" t="s">
        <v>689</v>
      </c>
      <c r="P38" s="181"/>
    </row>
    <row r="39" spans="3:20" s="70" customFormat="1" ht="19.5" customHeight="1" thickBot="1" x14ac:dyDescent="0.45">
      <c r="C39" s="610"/>
      <c r="D39" s="611"/>
      <c r="E39" s="634"/>
      <c r="F39" s="635"/>
      <c r="G39" s="642"/>
      <c r="H39" s="643"/>
      <c r="K39" s="182" t="s">
        <v>696</v>
      </c>
      <c r="P39" s="181"/>
    </row>
    <row r="40" spans="3:20" s="70" customFormat="1" ht="5.0999999999999996" customHeight="1" x14ac:dyDescent="0.4">
      <c r="J40" s="182"/>
      <c r="P40" s="181"/>
    </row>
    <row r="41" spans="3:20" hidden="1" x14ac:dyDescent="0.4">
      <c r="J41" s="69"/>
      <c r="K41" s="70"/>
      <c r="L41" s="70"/>
      <c r="M41" s="70"/>
      <c r="N41" s="70"/>
      <c r="P41" s="68"/>
      <c r="Q41" s="68"/>
      <c r="R41" s="68"/>
      <c r="S41" s="68"/>
      <c r="T41" s="68"/>
    </row>
    <row r="42" spans="3:20" hidden="1" x14ac:dyDescent="0.4">
      <c r="J42" s="69"/>
      <c r="K42" s="70"/>
      <c r="L42" s="70"/>
      <c r="M42" s="70"/>
      <c r="N42" s="70"/>
      <c r="P42" s="68"/>
      <c r="Q42" s="68"/>
      <c r="R42" s="68"/>
      <c r="S42" s="68"/>
      <c r="T42" s="68"/>
    </row>
    <row r="43" spans="3:20" hidden="1" x14ac:dyDescent="0.4"/>
    <row r="44" spans="3:20" hidden="1" x14ac:dyDescent="0.4"/>
    <row r="45" spans="3:20" hidden="1" x14ac:dyDescent="0.4"/>
    <row r="46" spans="3:20" hidden="1" x14ac:dyDescent="0.4"/>
    <row r="47" spans="3:20" hidden="1" x14ac:dyDescent="0.4"/>
    <row r="48" spans="3:20" hidden="1" x14ac:dyDescent="0.4"/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  <row r="57" hidden="1" x14ac:dyDescent="0.4"/>
    <row r="58" hidden="1" x14ac:dyDescent="0.4"/>
    <row r="59" hidden="1" x14ac:dyDescent="0.4"/>
    <row r="60" hidden="1" x14ac:dyDescent="0.4"/>
    <row r="61" hidden="1" x14ac:dyDescent="0.4"/>
    <row r="62" hidden="1" x14ac:dyDescent="0.4"/>
    <row r="63" hidden="1" x14ac:dyDescent="0.4"/>
    <row r="64" hidden="1" x14ac:dyDescent="0.4"/>
    <row r="65" hidden="1" x14ac:dyDescent="0.4"/>
    <row r="66" hidden="1" x14ac:dyDescent="0.4"/>
  </sheetData>
  <sheetProtection algorithmName="SHA-512" hashValue="kk3uRoUUMI6N6+7zLms+i/JuAn2UwCWjeGfG5tcm4qkBnaKs9vmFZp6WfSKs+3QBNE8gsWADpKNldGIK/Hm37w==" saltValue="QCQg7sO1zaOQoyYjHEBQQQ==" spinCount="100000" sheet="1" objects="1" scenarios="1" selectLockedCells="1" selectUnlockedCells="1"/>
  <mergeCells count="49">
    <mergeCell ref="L7:M7"/>
    <mergeCell ref="N7:O7"/>
    <mergeCell ref="D26:F26"/>
    <mergeCell ref="D11:F11"/>
    <mergeCell ref="D12:F12"/>
    <mergeCell ref="D24:F24"/>
    <mergeCell ref="B9:C14"/>
    <mergeCell ref="B15:C19"/>
    <mergeCell ref="B2:O2"/>
    <mergeCell ref="D9:F9"/>
    <mergeCell ref="D10:F10"/>
    <mergeCell ref="D13:F13"/>
    <mergeCell ref="D14:F14"/>
    <mergeCell ref="D15:F15"/>
    <mergeCell ref="D16:F16"/>
    <mergeCell ref="D17:F17"/>
    <mergeCell ref="D18:F18"/>
    <mergeCell ref="D19:F19"/>
    <mergeCell ref="N3:O3"/>
    <mergeCell ref="B7:F8"/>
    <mergeCell ref="H7:I7"/>
    <mergeCell ref="J7:K7"/>
    <mergeCell ref="G34:H35"/>
    <mergeCell ref="C36:D37"/>
    <mergeCell ref="C38:D39"/>
    <mergeCell ref="E32:F33"/>
    <mergeCell ref="E34:F35"/>
    <mergeCell ref="C32:D33"/>
    <mergeCell ref="C34:D35"/>
    <mergeCell ref="E36:F37"/>
    <mergeCell ref="E38:F39"/>
    <mergeCell ref="G36:H37"/>
    <mergeCell ref="G38:H39"/>
    <mergeCell ref="B5:C6"/>
    <mergeCell ref="B27:F27"/>
    <mergeCell ref="B28:F28"/>
    <mergeCell ref="K30:N30"/>
    <mergeCell ref="N32:N35"/>
    <mergeCell ref="D20:F20"/>
    <mergeCell ref="D21:F21"/>
    <mergeCell ref="D22:F22"/>
    <mergeCell ref="D23:F23"/>
    <mergeCell ref="B20:C26"/>
    <mergeCell ref="C31:D31"/>
    <mergeCell ref="D25:F25"/>
    <mergeCell ref="E31:F31"/>
    <mergeCell ref="G31:H31"/>
    <mergeCell ref="C30:H30"/>
    <mergeCell ref="G32:H33"/>
  </mergeCells>
  <phoneticPr fontId="5"/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7CE6-7F6A-4DDD-946F-0C03CCB7FACD}">
  <sheetPr>
    <tabColor theme="5" tint="0.79998168889431442"/>
  </sheetPr>
  <dimension ref="A1:P374"/>
  <sheetViews>
    <sheetView zoomScale="137" zoomScaleNormal="265" workbookViewId="0">
      <pane ySplit="10" topLeftCell="A11" activePane="bottomLeft" state="frozen"/>
      <selection activeCell="N325" sqref="N325:N374"/>
      <selection pane="bottomLeft" activeCell="N325" sqref="N325:N374"/>
    </sheetView>
  </sheetViews>
  <sheetFormatPr defaultColWidth="0" defaultRowHeight="18.75" x14ac:dyDescent="0.4"/>
  <cols>
    <col min="1" max="1" width="0.875" style="55" customWidth="1"/>
    <col min="2" max="15" width="13.375" style="55" customWidth="1"/>
    <col min="16" max="16" width="0.875" style="55" customWidth="1"/>
    <col min="17" max="16384" width="8.625" style="55" hidden="1"/>
  </cols>
  <sheetData>
    <row r="1" spans="2:15" ht="5.0999999999999996" customHeight="1" x14ac:dyDescent="0.4"/>
    <row r="2" spans="2:15" ht="24" x14ac:dyDescent="0.4">
      <c r="B2" s="302" t="str">
        <f ca="1">LEFT(RIGHT(CELL("filename",A1),LEN(CELL("filename",A1))-FIND("]",CELL("filename",A1))),4)&amp;"年度"&amp;RIGHT(RIGHT(CELL("filename",A1),LEN(CELL("filename",A1))-FIND("]",CELL("filename",A1))),4)</f>
        <v>2020年度科目一覧</v>
      </c>
      <c r="C2" s="303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</row>
    <row r="3" spans="2:15" s="56" customFormat="1" hidden="1" x14ac:dyDescent="0.4">
      <c r="B3" s="25" t="s">
        <v>950</v>
      </c>
      <c r="C3" s="51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7"/>
    </row>
    <row r="4" spans="2:15" s="56" customFormat="1" hidden="1" x14ac:dyDescent="0.4">
      <c r="B4" s="28" t="s">
        <v>951</v>
      </c>
      <c r="C4" s="304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29"/>
    </row>
    <row r="5" spans="2:15" s="56" customFormat="1" ht="22.5" hidden="1" customHeight="1" x14ac:dyDescent="0.4">
      <c r="B5" s="28" t="s">
        <v>952</v>
      </c>
      <c r="C5" s="304"/>
      <c r="D5" s="305"/>
      <c r="E5" s="305"/>
      <c r="F5" s="305"/>
      <c r="G5" s="305"/>
      <c r="H5" s="305"/>
      <c r="I5" s="305"/>
      <c r="J5" s="305"/>
      <c r="K5" s="305"/>
      <c r="L5" s="305"/>
      <c r="M5" s="305"/>
      <c r="N5" s="305"/>
      <c r="O5" s="29"/>
    </row>
    <row r="6" spans="2:15" s="56" customFormat="1" ht="22.5" hidden="1" customHeight="1" x14ac:dyDescent="0.4">
      <c r="B6" s="28" t="s">
        <v>955</v>
      </c>
      <c r="C6" s="304"/>
      <c r="D6" s="305"/>
      <c r="E6" s="305"/>
      <c r="F6" s="305"/>
      <c r="G6" s="305"/>
      <c r="H6" s="305"/>
      <c r="I6" s="305"/>
      <c r="J6" s="305"/>
      <c r="K6" s="305"/>
      <c r="L6" s="305"/>
      <c r="M6" s="305"/>
      <c r="N6" s="305"/>
      <c r="O6" s="29"/>
    </row>
    <row r="7" spans="2:15" s="56" customFormat="1" ht="17.45" hidden="1" customHeight="1" thickBot="1" x14ac:dyDescent="0.45">
      <c r="B7" s="306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53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1"/>
    </row>
    <row r="8" spans="2:15" ht="17.45" customHeight="1" x14ac:dyDescent="0.4"/>
    <row r="9" spans="2:15" ht="17.45" customHeight="1" x14ac:dyDescent="0.4">
      <c r="B9" s="55">
        <v>1</v>
      </c>
      <c r="C9" s="55">
        <v>2</v>
      </c>
      <c r="D9" s="55">
        <v>3</v>
      </c>
      <c r="E9" s="55">
        <v>4</v>
      </c>
      <c r="F9" s="55">
        <v>5</v>
      </c>
      <c r="G9" s="55">
        <v>6</v>
      </c>
      <c r="H9" s="55">
        <v>7</v>
      </c>
      <c r="I9" s="55">
        <v>8</v>
      </c>
      <c r="J9" s="55">
        <v>9</v>
      </c>
      <c r="K9" s="55">
        <v>10</v>
      </c>
      <c r="L9" s="55">
        <v>11</v>
      </c>
      <c r="M9" s="55">
        <v>12</v>
      </c>
      <c r="N9" s="55">
        <v>13</v>
      </c>
      <c r="O9" s="55">
        <v>14</v>
      </c>
    </row>
    <row r="10" spans="2:15" x14ac:dyDescent="0.4">
      <c r="B10" s="265" t="s">
        <v>502</v>
      </c>
      <c r="C10" s="266" t="s">
        <v>942</v>
      </c>
      <c r="D10" s="266" t="s">
        <v>943</v>
      </c>
      <c r="E10" s="267" t="s">
        <v>501</v>
      </c>
      <c r="F10" s="267" t="s">
        <v>503</v>
      </c>
      <c r="G10" s="267" t="s">
        <v>1001</v>
      </c>
      <c r="H10" s="267" t="s">
        <v>504</v>
      </c>
      <c r="I10" s="267" t="s">
        <v>505</v>
      </c>
      <c r="J10" s="267" t="s">
        <v>506</v>
      </c>
      <c r="K10" s="267" t="s">
        <v>507</v>
      </c>
      <c r="L10" s="267" t="s">
        <v>508</v>
      </c>
      <c r="M10" s="267" t="s">
        <v>509</v>
      </c>
      <c r="N10" s="267" t="s">
        <v>510</v>
      </c>
      <c r="O10" s="268" t="s">
        <v>511</v>
      </c>
    </row>
    <row r="11" spans="2:15" x14ac:dyDescent="0.4">
      <c r="B11" s="257" t="s">
        <v>59</v>
      </c>
      <c r="C11" s="14" t="s">
        <v>1203</v>
      </c>
      <c r="D11" s="187" t="s">
        <v>512</v>
      </c>
      <c r="E11" s="14" t="s">
        <v>513</v>
      </c>
      <c r="F11" s="14" t="s">
        <v>1024</v>
      </c>
      <c r="G11" s="15">
        <v>2</v>
      </c>
      <c r="H11" s="14" t="s">
        <v>515</v>
      </c>
      <c r="I11" s="14" t="s">
        <v>516</v>
      </c>
      <c r="J11" s="16"/>
      <c r="K11" s="14" t="s">
        <v>517</v>
      </c>
      <c r="L11" s="14" t="s">
        <v>518</v>
      </c>
      <c r="M11" s="14" t="s">
        <v>519</v>
      </c>
      <c r="N11" s="14" t="s">
        <v>520</v>
      </c>
      <c r="O11" s="260"/>
    </row>
    <row r="12" spans="2:15" ht="18" customHeight="1" x14ac:dyDescent="0.4">
      <c r="B12" s="257" t="s">
        <v>60</v>
      </c>
      <c r="C12" s="14" t="s">
        <v>1203</v>
      </c>
      <c r="D12" s="187" t="s">
        <v>512</v>
      </c>
      <c r="E12" s="16" t="s">
        <v>1025</v>
      </c>
      <c r="F12" s="14" t="s">
        <v>1026</v>
      </c>
      <c r="G12" s="15">
        <v>2</v>
      </c>
      <c r="H12" s="14" t="s">
        <v>515</v>
      </c>
      <c r="I12" s="14" t="s">
        <v>516</v>
      </c>
      <c r="J12" s="16"/>
      <c r="K12" s="14" t="s">
        <v>522</v>
      </c>
      <c r="L12" s="14" t="s">
        <v>523</v>
      </c>
      <c r="M12" s="14" t="s">
        <v>519</v>
      </c>
      <c r="N12" s="188" t="s">
        <v>1011</v>
      </c>
      <c r="O12" s="260" t="s">
        <v>1027</v>
      </c>
    </row>
    <row r="13" spans="2:15" ht="18" customHeight="1" x14ac:dyDescent="0.4">
      <c r="B13" s="257" t="s">
        <v>66</v>
      </c>
      <c r="C13" s="14" t="s">
        <v>1203</v>
      </c>
      <c r="D13" s="187" t="s">
        <v>512</v>
      </c>
      <c r="E13" s="14" t="s">
        <v>535</v>
      </c>
      <c r="F13" s="14" t="s">
        <v>1028</v>
      </c>
      <c r="G13" s="15">
        <v>2</v>
      </c>
      <c r="H13" s="14" t="s">
        <v>515</v>
      </c>
      <c r="I13" s="14" t="s">
        <v>516</v>
      </c>
      <c r="J13" s="16"/>
      <c r="K13" s="14" t="s">
        <v>517</v>
      </c>
      <c r="L13" s="14" t="s">
        <v>537</v>
      </c>
      <c r="M13" s="14" t="s">
        <v>519</v>
      </c>
      <c r="N13" s="14" t="s">
        <v>531</v>
      </c>
      <c r="O13" s="260"/>
    </row>
    <row r="14" spans="2:15" x14ac:dyDescent="0.4">
      <c r="B14" s="257" t="s">
        <v>67</v>
      </c>
      <c r="C14" s="14" t="s">
        <v>1203</v>
      </c>
      <c r="D14" s="187" t="s">
        <v>512</v>
      </c>
      <c r="E14" s="14" t="s">
        <v>538</v>
      </c>
      <c r="F14" s="14" t="s">
        <v>68</v>
      </c>
      <c r="G14" s="15">
        <v>2</v>
      </c>
      <c r="H14" s="14" t="s">
        <v>515</v>
      </c>
      <c r="I14" s="14" t="s">
        <v>516</v>
      </c>
      <c r="J14" s="16"/>
      <c r="K14" s="14" t="s">
        <v>522</v>
      </c>
      <c r="L14" s="14" t="s">
        <v>539</v>
      </c>
      <c r="M14" s="14" t="s">
        <v>519</v>
      </c>
      <c r="N14" s="188" t="s">
        <v>1011</v>
      </c>
      <c r="O14" s="261" t="s">
        <v>540</v>
      </c>
    </row>
    <row r="15" spans="2:15" x14ac:dyDescent="0.4">
      <c r="B15" s="257" t="s">
        <v>69</v>
      </c>
      <c r="C15" s="14" t="s">
        <v>1203</v>
      </c>
      <c r="D15" s="187" t="s">
        <v>512</v>
      </c>
      <c r="E15" s="14" t="s">
        <v>541</v>
      </c>
      <c r="F15" s="14" t="s">
        <v>68</v>
      </c>
      <c r="G15" s="15">
        <v>2</v>
      </c>
      <c r="H15" s="14" t="s">
        <v>515</v>
      </c>
      <c r="I15" s="14" t="s">
        <v>516</v>
      </c>
      <c r="J15" s="16"/>
      <c r="K15" s="14" t="s">
        <v>522</v>
      </c>
      <c r="L15" s="14" t="s">
        <v>539</v>
      </c>
      <c r="M15" s="14" t="s">
        <v>519</v>
      </c>
      <c r="N15" s="14" t="s">
        <v>531</v>
      </c>
      <c r="O15" s="260"/>
    </row>
    <row r="16" spans="2:15" x14ac:dyDescent="0.4">
      <c r="B16" s="257" t="s">
        <v>72</v>
      </c>
      <c r="C16" s="14" t="s">
        <v>1203</v>
      </c>
      <c r="D16" s="187" t="s">
        <v>512</v>
      </c>
      <c r="E16" s="14" t="s">
        <v>545</v>
      </c>
      <c r="F16" s="14" t="s">
        <v>546</v>
      </c>
      <c r="G16" s="15">
        <v>2</v>
      </c>
      <c r="H16" s="14" t="s">
        <v>515</v>
      </c>
      <c r="I16" s="14" t="s">
        <v>516</v>
      </c>
      <c r="J16" s="16"/>
      <c r="K16" s="14" t="s">
        <v>522</v>
      </c>
      <c r="L16" s="14" t="s">
        <v>539</v>
      </c>
      <c r="M16" s="14" t="s">
        <v>519</v>
      </c>
      <c r="N16" s="188" t="s">
        <v>1011</v>
      </c>
      <c r="O16" s="260"/>
    </row>
    <row r="17" spans="2:15" x14ac:dyDescent="0.4">
      <c r="B17" s="257" t="s">
        <v>73</v>
      </c>
      <c r="C17" s="14" t="s">
        <v>1203</v>
      </c>
      <c r="D17" s="187" t="s">
        <v>512</v>
      </c>
      <c r="E17" s="14" t="s">
        <v>547</v>
      </c>
      <c r="F17" s="14" t="s">
        <v>74</v>
      </c>
      <c r="G17" s="15">
        <v>2</v>
      </c>
      <c r="H17" s="14" t="s">
        <v>515</v>
      </c>
      <c r="I17" s="14" t="s">
        <v>516</v>
      </c>
      <c r="J17" s="16"/>
      <c r="K17" s="14" t="s">
        <v>517</v>
      </c>
      <c r="L17" s="14" t="s">
        <v>539</v>
      </c>
      <c r="M17" s="14" t="s">
        <v>519</v>
      </c>
      <c r="N17" s="14" t="s">
        <v>520</v>
      </c>
      <c r="O17" s="261" t="s">
        <v>540</v>
      </c>
    </row>
    <row r="18" spans="2:15" x14ac:dyDescent="0.4">
      <c r="B18" s="257" t="s">
        <v>75</v>
      </c>
      <c r="C18" s="14" t="s">
        <v>1203</v>
      </c>
      <c r="D18" s="187" t="s">
        <v>512</v>
      </c>
      <c r="E18" s="14" t="s">
        <v>548</v>
      </c>
      <c r="F18" s="14" t="s">
        <v>76</v>
      </c>
      <c r="G18" s="15">
        <v>2</v>
      </c>
      <c r="H18" s="14" t="s">
        <v>515</v>
      </c>
      <c r="I18" s="14" t="s">
        <v>516</v>
      </c>
      <c r="J18" s="16"/>
      <c r="K18" s="14" t="s">
        <v>517</v>
      </c>
      <c r="L18" s="14" t="s">
        <v>539</v>
      </c>
      <c r="M18" s="14" t="s">
        <v>519</v>
      </c>
      <c r="N18" s="14" t="s">
        <v>520</v>
      </c>
      <c r="O18" s="261" t="s">
        <v>540</v>
      </c>
    </row>
    <row r="19" spans="2:15" x14ac:dyDescent="0.4">
      <c r="B19" s="257" t="s">
        <v>77</v>
      </c>
      <c r="C19" s="14" t="s">
        <v>1203</v>
      </c>
      <c r="D19" s="187" t="s">
        <v>512</v>
      </c>
      <c r="E19" s="14" t="s">
        <v>549</v>
      </c>
      <c r="F19" s="14" t="s">
        <v>1029</v>
      </c>
      <c r="G19" s="15">
        <v>2</v>
      </c>
      <c r="H19" s="14" t="s">
        <v>515</v>
      </c>
      <c r="I19" s="14" t="s">
        <v>516</v>
      </c>
      <c r="J19" s="16"/>
      <c r="K19" s="14" t="s">
        <v>517</v>
      </c>
      <c r="L19" s="14" t="s">
        <v>539</v>
      </c>
      <c r="M19" s="14" t="s">
        <v>519</v>
      </c>
      <c r="N19" s="188" t="s">
        <v>1268</v>
      </c>
      <c r="O19" s="260"/>
    </row>
    <row r="20" spans="2:15" x14ac:dyDescent="0.4">
      <c r="B20" s="257" t="s">
        <v>78</v>
      </c>
      <c r="C20" s="14" t="s">
        <v>1203</v>
      </c>
      <c r="D20" s="187" t="s">
        <v>512</v>
      </c>
      <c r="E20" s="14" t="s">
        <v>552</v>
      </c>
      <c r="F20" s="14" t="s">
        <v>1029</v>
      </c>
      <c r="G20" s="15">
        <v>2</v>
      </c>
      <c r="H20" s="14" t="s">
        <v>515</v>
      </c>
      <c r="I20" s="14" t="s">
        <v>516</v>
      </c>
      <c r="J20" s="16"/>
      <c r="K20" s="14" t="s">
        <v>517</v>
      </c>
      <c r="L20" s="14" t="s">
        <v>539</v>
      </c>
      <c r="M20" s="14" t="s">
        <v>519</v>
      </c>
      <c r="N20" s="14" t="s">
        <v>2173</v>
      </c>
      <c r="O20" s="260"/>
    </row>
    <row r="21" spans="2:15" x14ac:dyDescent="0.4">
      <c r="B21" s="257" t="s">
        <v>79</v>
      </c>
      <c r="C21" s="14" t="s">
        <v>1203</v>
      </c>
      <c r="D21" s="187" t="s">
        <v>512</v>
      </c>
      <c r="E21" s="14" t="s">
        <v>554</v>
      </c>
      <c r="F21" s="14" t="s">
        <v>555</v>
      </c>
      <c r="G21" s="15">
        <v>2</v>
      </c>
      <c r="H21" s="14" t="s">
        <v>515</v>
      </c>
      <c r="I21" s="14" t="s">
        <v>161</v>
      </c>
      <c r="J21" s="16"/>
      <c r="K21" s="14" t="s">
        <v>517</v>
      </c>
      <c r="L21" s="14" t="s">
        <v>539</v>
      </c>
      <c r="M21" s="14" t="s">
        <v>519</v>
      </c>
      <c r="N21" s="188" t="s">
        <v>2171</v>
      </c>
      <c r="O21" s="260"/>
    </row>
    <row r="22" spans="2:15" ht="18" customHeight="1" x14ac:dyDescent="0.4">
      <c r="B22" s="257" t="s">
        <v>80</v>
      </c>
      <c r="C22" s="14" t="s">
        <v>1203</v>
      </c>
      <c r="D22" s="187" t="s">
        <v>512</v>
      </c>
      <c r="E22" s="14" t="s">
        <v>556</v>
      </c>
      <c r="F22" s="14" t="s">
        <v>81</v>
      </c>
      <c r="G22" s="15">
        <v>2</v>
      </c>
      <c r="H22" s="14" t="s">
        <v>515</v>
      </c>
      <c r="I22" s="14" t="s">
        <v>161</v>
      </c>
      <c r="J22" s="16"/>
      <c r="K22" s="14" t="s">
        <v>517</v>
      </c>
      <c r="L22" s="14" t="s">
        <v>539</v>
      </c>
      <c r="M22" s="14" t="s">
        <v>519</v>
      </c>
      <c r="N22" s="188" t="s">
        <v>1011</v>
      </c>
      <c r="O22" s="260"/>
    </row>
    <row r="23" spans="2:15" ht="18" customHeight="1" x14ac:dyDescent="0.4">
      <c r="B23" s="257" t="s">
        <v>82</v>
      </c>
      <c r="C23" s="14" t="s">
        <v>1203</v>
      </c>
      <c r="D23" s="187" t="s">
        <v>512</v>
      </c>
      <c r="E23" s="16" t="s">
        <v>557</v>
      </c>
      <c r="F23" s="14" t="s">
        <v>390</v>
      </c>
      <c r="G23" s="15">
        <v>2</v>
      </c>
      <c r="H23" s="14" t="s">
        <v>558</v>
      </c>
      <c r="I23" s="14" t="s">
        <v>516</v>
      </c>
      <c r="J23" s="16"/>
      <c r="K23" s="14" t="s">
        <v>517</v>
      </c>
      <c r="L23" s="14" t="s">
        <v>559</v>
      </c>
      <c r="M23" s="14" t="s">
        <v>519</v>
      </c>
      <c r="N23" s="14" t="s">
        <v>524</v>
      </c>
      <c r="O23" s="260"/>
    </row>
    <row r="24" spans="2:15" x14ac:dyDescent="0.4">
      <c r="B24" s="257" t="s">
        <v>84</v>
      </c>
      <c r="C24" s="14" t="s">
        <v>1203</v>
      </c>
      <c r="D24" s="17" t="s">
        <v>560</v>
      </c>
      <c r="E24" s="14" t="s">
        <v>561</v>
      </c>
      <c r="F24" s="14" t="s">
        <v>85</v>
      </c>
      <c r="G24" s="15">
        <v>2</v>
      </c>
      <c r="H24" s="14" t="s">
        <v>515</v>
      </c>
      <c r="I24" s="15">
        <v>1</v>
      </c>
      <c r="J24" s="16"/>
      <c r="K24" s="14" t="s">
        <v>522</v>
      </c>
      <c r="L24" s="14" t="s">
        <v>562</v>
      </c>
      <c r="M24" s="14" t="s">
        <v>519</v>
      </c>
      <c r="N24" s="14" t="s">
        <v>520</v>
      </c>
      <c r="O24" s="260"/>
    </row>
    <row r="25" spans="2:15" x14ac:dyDescent="0.4">
      <c r="B25" s="257" t="s">
        <v>86</v>
      </c>
      <c r="C25" s="14" t="s">
        <v>1203</v>
      </c>
      <c r="D25" s="14" t="s">
        <v>563</v>
      </c>
      <c r="E25" s="14" t="s">
        <v>564</v>
      </c>
      <c r="F25" s="14" t="s">
        <v>87</v>
      </c>
      <c r="G25" s="15">
        <v>2</v>
      </c>
      <c r="H25" s="14" t="s">
        <v>515</v>
      </c>
      <c r="I25" s="14" t="s">
        <v>516</v>
      </c>
      <c r="J25" s="16"/>
      <c r="K25" s="14" t="s">
        <v>522</v>
      </c>
      <c r="L25" s="14" t="s">
        <v>562</v>
      </c>
      <c r="M25" s="14" t="s">
        <v>519</v>
      </c>
      <c r="N25" s="14" t="s">
        <v>531</v>
      </c>
      <c r="O25" s="260"/>
    </row>
    <row r="26" spans="2:15" x14ac:dyDescent="0.4">
      <c r="B26" s="257" t="s">
        <v>88</v>
      </c>
      <c r="C26" s="14" t="s">
        <v>1203</v>
      </c>
      <c r="D26" s="18" t="s">
        <v>565</v>
      </c>
      <c r="E26" s="14" t="s">
        <v>566</v>
      </c>
      <c r="F26" s="14" t="s">
        <v>89</v>
      </c>
      <c r="G26" s="15">
        <v>2</v>
      </c>
      <c r="H26" s="14" t="s">
        <v>515</v>
      </c>
      <c r="I26" s="14" t="s">
        <v>516</v>
      </c>
      <c r="J26" s="16"/>
      <c r="K26" s="14" t="s">
        <v>522</v>
      </c>
      <c r="L26" s="14" t="s">
        <v>567</v>
      </c>
      <c r="M26" s="14" t="s">
        <v>519</v>
      </c>
      <c r="N26" s="14" t="s">
        <v>531</v>
      </c>
      <c r="O26" s="260"/>
    </row>
    <row r="27" spans="2:15" x14ac:dyDescent="0.4">
      <c r="B27" s="257" t="s">
        <v>90</v>
      </c>
      <c r="C27" s="14" t="s">
        <v>1203</v>
      </c>
      <c r="D27" s="14" t="s">
        <v>563</v>
      </c>
      <c r="E27" s="14" t="s">
        <v>568</v>
      </c>
      <c r="F27" s="14" t="s">
        <v>91</v>
      </c>
      <c r="G27" s="15">
        <v>2</v>
      </c>
      <c r="H27" s="14" t="s">
        <v>515</v>
      </c>
      <c r="I27" s="14" t="s">
        <v>516</v>
      </c>
      <c r="J27" s="16"/>
      <c r="K27" s="14" t="s">
        <v>522</v>
      </c>
      <c r="L27" s="14" t="s">
        <v>569</v>
      </c>
      <c r="M27" s="14" t="s">
        <v>519</v>
      </c>
      <c r="N27" s="14" t="s">
        <v>531</v>
      </c>
      <c r="O27" s="260"/>
    </row>
    <row r="28" spans="2:15" x14ac:dyDescent="0.4">
      <c r="B28" s="257" t="s">
        <v>92</v>
      </c>
      <c r="C28" s="14" t="s">
        <v>1203</v>
      </c>
      <c r="D28" s="14" t="s">
        <v>563</v>
      </c>
      <c r="E28" s="14" t="s">
        <v>570</v>
      </c>
      <c r="F28" s="14" t="s">
        <v>93</v>
      </c>
      <c r="G28" s="15">
        <v>2</v>
      </c>
      <c r="H28" s="14" t="s">
        <v>515</v>
      </c>
      <c r="I28" s="14" t="s">
        <v>516</v>
      </c>
      <c r="J28" s="16"/>
      <c r="K28" s="14" t="s">
        <v>522</v>
      </c>
      <c r="L28" s="14" t="s">
        <v>571</v>
      </c>
      <c r="M28" s="14" t="s">
        <v>519</v>
      </c>
      <c r="N28" s="14" t="s">
        <v>531</v>
      </c>
      <c r="O28" s="260"/>
    </row>
    <row r="29" spans="2:15" x14ac:dyDescent="0.4">
      <c r="B29" s="257" t="s">
        <v>94</v>
      </c>
      <c r="C29" s="14" t="s">
        <v>1203</v>
      </c>
      <c r="D29" s="14" t="s">
        <v>563</v>
      </c>
      <c r="E29" s="14" t="s">
        <v>572</v>
      </c>
      <c r="F29" s="14" t="s">
        <v>95</v>
      </c>
      <c r="G29" s="15">
        <v>2</v>
      </c>
      <c r="H29" s="14" t="s">
        <v>515</v>
      </c>
      <c r="I29" s="14" t="s">
        <v>516</v>
      </c>
      <c r="J29" s="16"/>
      <c r="K29" s="14" t="s">
        <v>522</v>
      </c>
      <c r="L29" s="14" t="s">
        <v>571</v>
      </c>
      <c r="M29" s="14" t="s">
        <v>519</v>
      </c>
      <c r="N29" s="14" t="s">
        <v>531</v>
      </c>
      <c r="O29" s="260"/>
    </row>
    <row r="30" spans="2:15" x14ac:dyDescent="0.4">
      <c r="B30" s="257" t="s">
        <v>96</v>
      </c>
      <c r="C30" s="14" t="s">
        <v>1203</v>
      </c>
      <c r="D30" s="17" t="s">
        <v>560</v>
      </c>
      <c r="E30" s="14" t="s">
        <v>573</v>
      </c>
      <c r="F30" s="14" t="s">
        <v>97</v>
      </c>
      <c r="G30" s="15">
        <v>2</v>
      </c>
      <c r="H30" s="14" t="s">
        <v>515</v>
      </c>
      <c r="I30" s="14" t="s">
        <v>516</v>
      </c>
      <c r="J30" s="16"/>
      <c r="K30" s="14" t="s">
        <v>522</v>
      </c>
      <c r="L30" s="14" t="s">
        <v>574</v>
      </c>
      <c r="M30" s="14" t="s">
        <v>575</v>
      </c>
      <c r="N30" s="14" t="s">
        <v>531</v>
      </c>
      <c r="O30" s="260"/>
    </row>
    <row r="31" spans="2:15" x14ac:dyDescent="0.4">
      <c r="B31" s="257" t="s">
        <v>98</v>
      </c>
      <c r="C31" s="14" t="s">
        <v>1203</v>
      </c>
      <c r="D31" s="17" t="s">
        <v>560</v>
      </c>
      <c r="E31" s="14" t="s">
        <v>576</v>
      </c>
      <c r="F31" s="14" t="s">
        <v>99</v>
      </c>
      <c r="G31" s="15">
        <v>2</v>
      </c>
      <c r="H31" s="14" t="s">
        <v>515</v>
      </c>
      <c r="I31" s="14" t="s">
        <v>516</v>
      </c>
      <c r="J31" s="16"/>
      <c r="K31" s="14" t="s">
        <v>522</v>
      </c>
      <c r="L31" s="14" t="s">
        <v>574</v>
      </c>
      <c r="M31" s="14" t="s">
        <v>577</v>
      </c>
      <c r="N31" s="14" t="s">
        <v>520</v>
      </c>
      <c r="O31" s="260"/>
    </row>
    <row r="32" spans="2:15" x14ac:dyDescent="0.4">
      <c r="B32" s="257" t="s">
        <v>100</v>
      </c>
      <c r="C32" s="14" t="s">
        <v>1203</v>
      </c>
      <c r="D32" s="14" t="s">
        <v>563</v>
      </c>
      <c r="E32" s="14" t="s">
        <v>578</v>
      </c>
      <c r="F32" s="14" t="s">
        <v>101</v>
      </c>
      <c r="G32" s="15">
        <v>2</v>
      </c>
      <c r="H32" s="14" t="s">
        <v>515</v>
      </c>
      <c r="I32" s="14" t="s">
        <v>516</v>
      </c>
      <c r="J32" s="16"/>
      <c r="K32" s="14" t="s">
        <v>522</v>
      </c>
      <c r="L32" s="14" t="s">
        <v>579</v>
      </c>
      <c r="M32" s="14" t="s">
        <v>577</v>
      </c>
      <c r="N32" s="14" t="s">
        <v>520</v>
      </c>
      <c r="O32" s="260"/>
    </row>
    <row r="33" spans="2:15" x14ac:dyDescent="0.4">
      <c r="B33" s="257" t="s">
        <v>102</v>
      </c>
      <c r="C33" s="14" t="s">
        <v>1203</v>
      </c>
      <c r="D33" s="14" t="s">
        <v>563</v>
      </c>
      <c r="E33" s="14" t="s">
        <v>580</v>
      </c>
      <c r="F33" s="14" t="s">
        <v>103</v>
      </c>
      <c r="G33" s="15">
        <v>2</v>
      </c>
      <c r="H33" s="14" t="s">
        <v>515</v>
      </c>
      <c r="I33" s="14" t="s">
        <v>516</v>
      </c>
      <c r="J33" s="16"/>
      <c r="K33" s="14" t="s">
        <v>522</v>
      </c>
      <c r="L33" s="14" t="s">
        <v>581</v>
      </c>
      <c r="M33" s="14" t="s">
        <v>577</v>
      </c>
      <c r="N33" s="14" t="s">
        <v>531</v>
      </c>
      <c r="O33" s="260"/>
    </row>
    <row r="34" spans="2:15" x14ac:dyDescent="0.4">
      <c r="B34" s="257" t="s">
        <v>106</v>
      </c>
      <c r="C34" s="14" t="s">
        <v>1203</v>
      </c>
      <c r="D34" s="18" t="s">
        <v>565</v>
      </c>
      <c r="E34" s="14" t="s">
        <v>584</v>
      </c>
      <c r="F34" s="14" t="s">
        <v>107</v>
      </c>
      <c r="G34" s="15">
        <v>2</v>
      </c>
      <c r="H34" s="14" t="s">
        <v>515</v>
      </c>
      <c r="I34" s="14" t="s">
        <v>516</v>
      </c>
      <c r="J34" s="16"/>
      <c r="K34" s="14" t="s">
        <v>517</v>
      </c>
      <c r="L34" s="14" t="s">
        <v>585</v>
      </c>
      <c r="M34" s="14" t="s">
        <v>575</v>
      </c>
      <c r="N34" s="14" t="s">
        <v>531</v>
      </c>
      <c r="O34" s="260"/>
    </row>
    <row r="35" spans="2:15" x14ac:dyDescent="0.4">
      <c r="B35" s="257" t="s">
        <v>108</v>
      </c>
      <c r="C35" s="14" t="s">
        <v>1203</v>
      </c>
      <c r="D35" s="18" t="s">
        <v>565</v>
      </c>
      <c r="E35" s="14" t="s">
        <v>586</v>
      </c>
      <c r="F35" s="14" t="s">
        <v>109</v>
      </c>
      <c r="G35" s="15">
        <v>2</v>
      </c>
      <c r="H35" s="14" t="s">
        <v>515</v>
      </c>
      <c r="I35" s="14" t="s">
        <v>516</v>
      </c>
      <c r="J35" s="16"/>
      <c r="K35" s="14" t="s">
        <v>517</v>
      </c>
      <c r="L35" s="14" t="s">
        <v>587</v>
      </c>
      <c r="M35" s="14" t="s">
        <v>519</v>
      </c>
      <c r="N35" s="14" t="s">
        <v>531</v>
      </c>
      <c r="O35" s="260"/>
    </row>
    <row r="36" spans="2:15" x14ac:dyDescent="0.4">
      <c r="B36" s="257" t="s">
        <v>110</v>
      </c>
      <c r="C36" s="14" t="s">
        <v>1203</v>
      </c>
      <c r="D36" s="18" t="s">
        <v>565</v>
      </c>
      <c r="E36" s="14" t="s">
        <v>588</v>
      </c>
      <c r="F36" s="14" t="s">
        <v>111</v>
      </c>
      <c r="G36" s="15">
        <v>2</v>
      </c>
      <c r="H36" s="14" t="s">
        <v>515</v>
      </c>
      <c r="I36" s="14" t="s">
        <v>516</v>
      </c>
      <c r="J36" s="16"/>
      <c r="K36" s="14" t="s">
        <v>522</v>
      </c>
      <c r="L36" s="14" t="s">
        <v>589</v>
      </c>
      <c r="M36" s="14" t="s">
        <v>577</v>
      </c>
      <c r="N36" s="14" t="s">
        <v>531</v>
      </c>
      <c r="O36" s="260"/>
    </row>
    <row r="37" spans="2:15" x14ac:dyDescent="0.4">
      <c r="B37" s="257" t="s">
        <v>112</v>
      </c>
      <c r="C37" s="14" t="s">
        <v>1203</v>
      </c>
      <c r="D37" s="17" t="s">
        <v>560</v>
      </c>
      <c r="E37" s="14" t="s">
        <v>590</v>
      </c>
      <c r="F37" s="14" t="s">
        <v>113</v>
      </c>
      <c r="G37" s="15">
        <v>2</v>
      </c>
      <c r="H37" s="14" t="s">
        <v>515</v>
      </c>
      <c r="I37" s="14" t="s">
        <v>516</v>
      </c>
      <c r="J37" s="16"/>
      <c r="K37" s="14" t="s">
        <v>522</v>
      </c>
      <c r="L37" s="14" t="s">
        <v>591</v>
      </c>
      <c r="M37" s="14" t="s">
        <v>519</v>
      </c>
      <c r="N37" s="14" t="s">
        <v>520</v>
      </c>
      <c r="O37" s="260"/>
    </row>
    <row r="38" spans="2:15" x14ac:dyDescent="0.4">
      <c r="B38" s="257" t="s">
        <v>114</v>
      </c>
      <c r="C38" s="14" t="s">
        <v>1203</v>
      </c>
      <c r="D38" s="14" t="s">
        <v>563</v>
      </c>
      <c r="E38" s="14" t="s">
        <v>592</v>
      </c>
      <c r="F38" s="14" t="s">
        <v>115</v>
      </c>
      <c r="G38" s="15">
        <v>2</v>
      </c>
      <c r="H38" s="14" t="s">
        <v>515</v>
      </c>
      <c r="I38" s="14" t="s">
        <v>516</v>
      </c>
      <c r="J38" s="16"/>
      <c r="K38" s="14" t="s">
        <v>522</v>
      </c>
      <c r="L38" s="14" t="s">
        <v>593</v>
      </c>
      <c r="M38" s="14" t="s">
        <v>519</v>
      </c>
      <c r="N38" s="14" t="s">
        <v>531</v>
      </c>
      <c r="O38" s="260"/>
    </row>
    <row r="39" spans="2:15" x14ac:dyDescent="0.4">
      <c r="B39" s="257" t="s">
        <v>116</v>
      </c>
      <c r="C39" s="14" t="s">
        <v>1203</v>
      </c>
      <c r="D39" s="14" t="s">
        <v>563</v>
      </c>
      <c r="E39" s="14" t="s">
        <v>594</v>
      </c>
      <c r="F39" s="14" t="s">
        <v>117</v>
      </c>
      <c r="G39" s="15">
        <v>2</v>
      </c>
      <c r="H39" s="14" t="s">
        <v>515</v>
      </c>
      <c r="I39" s="14" t="s">
        <v>516</v>
      </c>
      <c r="J39" s="16"/>
      <c r="K39" s="14" t="s">
        <v>522</v>
      </c>
      <c r="L39" s="14" t="s">
        <v>595</v>
      </c>
      <c r="M39" s="14" t="s">
        <v>519</v>
      </c>
      <c r="N39" s="14" t="s">
        <v>520</v>
      </c>
      <c r="O39" s="260"/>
    </row>
    <row r="40" spans="2:15" x14ac:dyDescent="0.4">
      <c r="B40" s="257" t="s">
        <v>118</v>
      </c>
      <c r="C40" s="14" t="s">
        <v>1203</v>
      </c>
      <c r="D40" s="14" t="s">
        <v>563</v>
      </c>
      <c r="E40" s="14" t="s">
        <v>596</v>
      </c>
      <c r="F40" s="14" t="s">
        <v>597</v>
      </c>
      <c r="G40" s="15">
        <v>2</v>
      </c>
      <c r="H40" s="14" t="s">
        <v>515</v>
      </c>
      <c r="I40" s="14" t="s">
        <v>516</v>
      </c>
      <c r="J40" s="16"/>
      <c r="K40" s="14" t="s">
        <v>522</v>
      </c>
      <c r="L40" s="14" t="s">
        <v>598</v>
      </c>
      <c r="M40" s="14" t="s">
        <v>519</v>
      </c>
      <c r="N40" s="14" t="s">
        <v>1335</v>
      </c>
      <c r="O40" s="260"/>
    </row>
    <row r="41" spans="2:15" x14ac:dyDescent="0.4">
      <c r="B41" s="257" t="s">
        <v>119</v>
      </c>
      <c r="C41" s="14" t="s">
        <v>1203</v>
      </c>
      <c r="D41" s="18" t="s">
        <v>565</v>
      </c>
      <c r="E41" s="14" t="s">
        <v>600</v>
      </c>
      <c r="F41" s="14" t="s">
        <v>120</v>
      </c>
      <c r="G41" s="15">
        <v>2</v>
      </c>
      <c r="H41" s="14" t="s">
        <v>515</v>
      </c>
      <c r="I41" s="14" t="s">
        <v>516</v>
      </c>
      <c r="J41" s="16"/>
      <c r="K41" s="14" t="s">
        <v>522</v>
      </c>
      <c r="L41" s="14" t="s">
        <v>601</v>
      </c>
      <c r="M41" s="14" t="s">
        <v>577</v>
      </c>
      <c r="N41" s="14" t="s">
        <v>531</v>
      </c>
      <c r="O41" s="261" t="s">
        <v>602</v>
      </c>
    </row>
    <row r="42" spans="2:15" x14ac:dyDescent="0.4">
      <c r="B42" s="257" t="s">
        <v>121</v>
      </c>
      <c r="C42" s="14" t="s">
        <v>1203</v>
      </c>
      <c r="D42" s="18" t="s">
        <v>565</v>
      </c>
      <c r="E42" s="14" t="s">
        <v>603</v>
      </c>
      <c r="F42" s="14" t="s">
        <v>122</v>
      </c>
      <c r="G42" s="15">
        <v>2</v>
      </c>
      <c r="H42" s="14" t="s">
        <v>515</v>
      </c>
      <c r="I42" s="14" t="s">
        <v>516</v>
      </c>
      <c r="J42" s="16"/>
      <c r="K42" s="14" t="s">
        <v>522</v>
      </c>
      <c r="L42" s="14" t="s">
        <v>604</v>
      </c>
      <c r="M42" s="14" t="s">
        <v>575</v>
      </c>
      <c r="N42" s="14" t="s">
        <v>520</v>
      </c>
      <c r="O42" s="261" t="s">
        <v>602</v>
      </c>
    </row>
    <row r="43" spans="2:15" x14ac:dyDescent="0.4">
      <c r="B43" s="257" t="s">
        <v>123</v>
      </c>
      <c r="C43" s="14" t="s">
        <v>1203</v>
      </c>
      <c r="D43" s="18" t="s">
        <v>565</v>
      </c>
      <c r="E43" s="14" t="s">
        <v>605</v>
      </c>
      <c r="F43" s="14" t="s">
        <v>124</v>
      </c>
      <c r="G43" s="15">
        <v>2</v>
      </c>
      <c r="H43" s="14" t="s">
        <v>515</v>
      </c>
      <c r="I43" s="14" t="s">
        <v>516</v>
      </c>
      <c r="J43" s="16"/>
      <c r="K43" s="14" t="s">
        <v>522</v>
      </c>
      <c r="L43" s="14" t="s">
        <v>606</v>
      </c>
      <c r="M43" s="14" t="s">
        <v>577</v>
      </c>
      <c r="N43" s="14" t="s">
        <v>520</v>
      </c>
      <c r="O43" s="261" t="s">
        <v>602</v>
      </c>
    </row>
    <row r="44" spans="2:15" ht="36" x14ac:dyDescent="0.4">
      <c r="B44" s="257" t="s">
        <v>125</v>
      </c>
      <c r="C44" s="14" t="s">
        <v>1203</v>
      </c>
      <c r="D44" s="17" t="s">
        <v>560</v>
      </c>
      <c r="E44" s="14" t="s">
        <v>607</v>
      </c>
      <c r="F44" s="14" t="s">
        <v>608</v>
      </c>
      <c r="G44" s="15">
        <v>2</v>
      </c>
      <c r="H44" s="14" t="s">
        <v>515</v>
      </c>
      <c r="I44" s="14" t="s">
        <v>516</v>
      </c>
      <c r="J44" s="16"/>
      <c r="K44" s="14" t="s">
        <v>522</v>
      </c>
      <c r="L44" s="14" t="s">
        <v>609</v>
      </c>
      <c r="M44" s="14" t="s">
        <v>519</v>
      </c>
      <c r="N44" s="14" t="s">
        <v>610</v>
      </c>
      <c r="O44" s="260" t="s">
        <v>1032</v>
      </c>
    </row>
    <row r="45" spans="2:15" x14ac:dyDescent="0.4">
      <c r="B45" s="257" t="s">
        <v>127</v>
      </c>
      <c r="C45" s="14" t="s">
        <v>1203</v>
      </c>
      <c r="D45" s="18" t="s">
        <v>565</v>
      </c>
      <c r="E45" s="14" t="s">
        <v>612</v>
      </c>
      <c r="F45" s="14" t="s">
        <v>128</v>
      </c>
      <c r="G45" s="15">
        <v>2</v>
      </c>
      <c r="H45" s="14" t="s">
        <v>515</v>
      </c>
      <c r="I45" s="14" t="s">
        <v>516</v>
      </c>
      <c r="J45" s="16"/>
      <c r="K45" s="14" t="s">
        <v>522</v>
      </c>
      <c r="L45" s="14" t="s">
        <v>609</v>
      </c>
      <c r="M45" s="14" t="s">
        <v>519</v>
      </c>
      <c r="N45" s="188" t="s">
        <v>1011</v>
      </c>
      <c r="O45" s="261" t="s">
        <v>602</v>
      </c>
    </row>
    <row r="46" spans="2:15" x14ac:dyDescent="0.4">
      <c r="B46" s="257" t="s">
        <v>129</v>
      </c>
      <c r="C46" s="14" t="s">
        <v>1203</v>
      </c>
      <c r="D46" s="17" t="s">
        <v>560</v>
      </c>
      <c r="E46" s="14" t="s">
        <v>613</v>
      </c>
      <c r="F46" s="14" t="s">
        <v>130</v>
      </c>
      <c r="G46" s="15">
        <v>2</v>
      </c>
      <c r="H46" s="14" t="s">
        <v>515</v>
      </c>
      <c r="I46" s="14" t="s">
        <v>516</v>
      </c>
      <c r="J46" s="16"/>
      <c r="K46" s="14" t="s">
        <v>522</v>
      </c>
      <c r="L46" s="14" t="s">
        <v>614</v>
      </c>
      <c r="M46" s="14" t="s">
        <v>577</v>
      </c>
      <c r="N46" s="14" t="s">
        <v>520</v>
      </c>
      <c r="O46" s="260"/>
    </row>
    <row r="47" spans="2:15" x14ac:dyDescent="0.4">
      <c r="B47" s="257" t="s">
        <v>131</v>
      </c>
      <c r="C47" s="14" t="s">
        <v>1203</v>
      </c>
      <c r="D47" s="18" t="s">
        <v>565</v>
      </c>
      <c r="E47" s="14" t="s">
        <v>615</v>
      </c>
      <c r="F47" s="14" t="s">
        <v>616</v>
      </c>
      <c r="G47" s="15">
        <v>2</v>
      </c>
      <c r="H47" s="14" t="s">
        <v>515</v>
      </c>
      <c r="I47" s="14" t="s">
        <v>516</v>
      </c>
      <c r="J47" s="16"/>
      <c r="K47" s="14" t="s">
        <v>522</v>
      </c>
      <c r="L47" s="14" t="s">
        <v>617</v>
      </c>
      <c r="M47" s="14" t="s">
        <v>519</v>
      </c>
      <c r="N47" s="14" t="s">
        <v>520</v>
      </c>
      <c r="O47" s="260"/>
    </row>
    <row r="48" spans="2:15" x14ac:dyDescent="0.4">
      <c r="B48" s="257" t="s">
        <v>132</v>
      </c>
      <c r="C48" s="14" t="s">
        <v>1203</v>
      </c>
      <c r="D48" s="18" t="s">
        <v>565</v>
      </c>
      <c r="E48" s="14" t="s">
        <v>618</v>
      </c>
      <c r="F48" s="14" t="s">
        <v>619</v>
      </c>
      <c r="G48" s="15">
        <v>2</v>
      </c>
      <c r="H48" s="14" t="s">
        <v>515</v>
      </c>
      <c r="I48" s="14" t="s">
        <v>516</v>
      </c>
      <c r="J48" s="16"/>
      <c r="K48" s="14" t="s">
        <v>522</v>
      </c>
      <c r="L48" s="14" t="s">
        <v>620</v>
      </c>
      <c r="M48" s="14" t="s">
        <v>519</v>
      </c>
      <c r="N48" s="14" t="s">
        <v>520</v>
      </c>
      <c r="O48" s="260"/>
    </row>
    <row r="49" spans="2:15" ht="27.6" customHeight="1" x14ac:dyDescent="0.4">
      <c r="B49" s="257" t="s">
        <v>133</v>
      </c>
      <c r="C49" s="14" t="s">
        <v>1203</v>
      </c>
      <c r="D49" s="18" t="s">
        <v>565</v>
      </c>
      <c r="E49" s="14" t="s">
        <v>621</v>
      </c>
      <c r="F49" s="14" t="s">
        <v>134</v>
      </c>
      <c r="G49" s="15">
        <v>2</v>
      </c>
      <c r="H49" s="14" t="s">
        <v>515</v>
      </c>
      <c r="I49" s="14" t="s">
        <v>516</v>
      </c>
      <c r="J49" s="16"/>
      <c r="K49" s="14" t="s">
        <v>522</v>
      </c>
      <c r="L49" s="14" t="s">
        <v>622</v>
      </c>
      <c r="M49" s="14" t="s">
        <v>575</v>
      </c>
      <c r="N49" s="14" t="s">
        <v>531</v>
      </c>
      <c r="O49" s="260"/>
    </row>
    <row r="50" spans="2:15" x14ac:dyDescent="0.4">
      <c r="B50" s="257" t="s">
        <v>135</v>
      </c>
      <c r="C50" s="14" t="s">
        <v>1203</v>
      </c>
      <c r="D50" s="18" t="s">
        <v>565</v>
      </c>
      <c r="E50" s="14" t="s">
        <v>623</v>
      </c>
      <c r="F50" s="14" t="s">
        <v>136</v>
      </c>
      <c r="G50" s="15">
        <v>2</v>
      </c>
      <c r="H50" s="14" t="s">
        <v>515</v>
      </c>
      <c r="I50" s="14" t="s">
        <v>516</v>
      </c>
      <c r="J50" s="16"/>
      <c r="K50" s="14" t="s">
        <v>522</v>
      </c>
      <c r="L50" s="14" t="s">
        <v>624</v>
      </c>
      <c r="M50" s="14" t="s">
        <v>575</v>
      </c>
      <c r="N50" s="14" t="s">
        <v>520</v>
      </c>
      <c r="O50" s="260"/>
    </row>
    <row r="51" spans="2:15" x14ac:dyDescent="0.4">
      <c r="B51" s="257" t="s">
        <v>137</v>
      </c>
      <c r="C51" s="14" t="s">
        <v>1203</v>
      </c>
      <c r="D51" s="18" t="s">
        <v>565</v>
      </c>
      <c r="E51" s="14" t="s">
        <v>625</v>
      </c>
      <c r="F51" s="14" t="s">
        <v>138</v>
      </c>
      <c r="G51" s="15">
        <v>2</v>
      </c>
      <c r="H51" s="14" t="s">
        <v>515</v>
      </c>
      <c r="I51" s="14" t="s">
        <v>516</v>
      </c>
      <c r="J51" s="16"/>
      <c r="K51" s="14" t="s">
        <v>522</v>
      </c>
      <c r="L51" s="14" t="s">
        <v>626</v>
      </c>
      <c r="M51" s="14" t="s">
        <v>577</v>
      </c>
      <c r="N51" s="14" t="s">
        <v>531</v>
      </c>
      <c r="O51" s="260"/>
    </row>
    <row r="52" spans="2:15" x14ac:dyDescent="0.4">
      <c r="B52" s="257" t="s">
        <v>139</v>
      </c>
      <c r="C52" s="14" t="s">
        <v>1203</v>
      </c>
      <c r="D52" s="14" t="s">
        <v>563</v>
      </c>
      <c r="E52" s="14" t="s">
        <v>627</v>
      </c>
      <c r="F52" s="14" t="s">
        <v>628</v>
      </c>
      <c r="G52" s="15">
        <v>2</v>
      </c>
      <c r="H52" s="14" t="s">
        <v>515</v>
      </c>
      <c r="I52" s="14" t="s">
        <v>516</v>
      </c>
      <c r="J52" s="16"/>
      <c r="K52" s="14" t="s">
        <v>517</v>
      </c>
      <c r="L52" s="14" t="s">
        <v>629</v>
      </c>
      <c r="M52" s="14" t="s">
        <v>577</v>
      </c>
      <c r="N52" s="14" t="s">
        <v>520</v>
      </c>
      <c r="O52" s="260"/>
    </row>
    <row r="53" spans="2:15" x14ac:dyDescent="0.4">
      <c r="B53" s="257" t="s">
        <v>140</v>
      </c>
      <c r="C53" s="14" t="s">
        <v>1203</v>
      </c>
      <c r="D53" s="17" t="s">
        <v>560</v>
      </c>
      <c r="E53" s="14" t="s">
        <v>630</v>
      </c>
      <c r="F53" s="14" t="s">
        <v>141</v>
      </c>
      <c r="G53" s="15">
        <v>2</v>
      </c>
      <c r="H53" s="14" t="s">
        <v>515</v>
      </c>
      <c r="I53" s="14" t="s">
        <v>516</v>
      </c>
      <c r="J53" s="16"/>
      <c r="K53" s="14" t="s">
        <v>517</v>
      </c>
      <c r="L53" s="14" t="s">
        <v>631</v>
      </c>
      <c r="M53" s="14" t="s">
        <v>519</v>
      </c>
      <c r="N53" s="14" t="s">
        <v>531</v>
      </c>
      <c r="O53" s="260"/>
    </row>
    <row r="54" spans="2:15" x14ac:dyDescent="0.4">
      <c r="B54" s="257" t="s">
        <v>142</v>
      </c>
      <c r="C54" s="14" t="s">
        <v>1203</v>
      </c>
      <c r="D54" s="17" t="s">
        <v>560</v>
      </c>
      <c r="E54" s="14" t="s">
        <v>632</v>
      </c>
      <c r="F54" s="14" t="s">
        <v>143</v>
      </c>
      <c r="G54" s="15">
        <v>2</v>
      </c>
      <c r="H54" s="14" t="s">
        <v>515</v>
      </c>
      <c r="I54" s="14" t="s">
        <v>516</v>
      </c>
      <c r="J54" s="16"/>
      <c r="K54" s="14" t="s">
        <v>522</v>
      </c>
      <c r="L54" s="14" t="s">
        <v>631</v>
      </c>
      <c r="M54" s="14" t="s">
        <v>519</v>
      </c>
      <c r="N54" s="14" t="s">
        <v>531</v>
      </c>
      <c r="O54" s="260"/>
    </row>
    <row r="55" spans="2:15" x14ac:dyDescent="0.4">
      <c r="B55" s="257" t="s">
        <v>144</v>
      </c>
      <c r="C55" s="14" t="s">
        <v>1203</v>
      </c>
      <c r="D55" s="14" t="s">
        <v>563</v>
      </c>
      <c r="E55" s="14" t="s">
        <v>633</v>
      </c>
      <c r="F55" s="14" t="s">
        <v>145</v>
      </c>
      <c r="G55" s="15">
        <v>2</v>
      </c>
      <c r="H55" s="14" t="s">
        <v>515</v>
      </c>
      <c r="I55" s="14" t="s">
        <v>516</v>
      </c>
      <c r="J55" s="16"/>
      <c r="K55" s="14" t="s">
        <v>522</v>
      </c>
      <c r="L55" s="14" t="s">
        <v>634</v>
      </c>
      <c r="M55" s="14" t="s">
        <v>519</v>
      </c>
      <c r="N55" s="14" t="s">
        <v>520</v>
      </c>
      <c r="O55" s="260"/>
    </row>
    <row r="56" spans="2:15" x14ac:dyDescent="0.4">
      <c r="B56" s="257" t="s">
        <v>146</v>
      </c>
      <c r="C56" s="14" t="s">
        <v>1203</v>
      </c>
      <c r="D56" s="14" t="s">
        <v>563</v>
      </c>
      <c r="E56" s="14" t="s">
        <v>635</v>
      </c>
      <c r="F56" s="14" t="s">
        <v>145</v>
      </c>
      <c r="G56" s="15">
        <v>2</v>
      </c>
      <c r="H56" s="14" t="s">
        <v>515</v>
      </c>
      <c r="I56" s="14" t="s">
        <v>516</v>
      </c>
      <c r="J56" s="16"/>
      <c r="K56" s="14" t="s">
        <v>517</v>
      </c>
      <c r="L56" s="14" t="s">
        <v>634</v>
      </c>
      <c r="M56" s="14" t="s">
        <v>519</v>
      </c>
      <c r="N56" s="14" t="s">
        <v>531</v>
      </c>
      <c r="O56" s="260"/>
    </row>
    <row r="57" spans="2:15" x14ac:dyDescent="0.4">
      <c r="B57" s="257" t="s">
        <v>147</v>
      </c>
      <c r="C57" s="14" t="s">
        <v>1203</v>
      </c>
      <c r="D57" s="17" t="s">
        <v>560</v>
      </c>
      <c r="E57" s="14" t="s">
        <v>636</v>
      </c>
      <c r="F57" s="14" t="s">
        <v>148</v>
      </c>
      <c r="G57" s="15">
        <v>2</v>
      </c>
      <c r="H57" s="14" t="s">
        <v>515</v>
      </c>
      <c r="I57" s="14" t="s">
        <v>516</v>
      </c>
      <c r="J57" s="16"/>
      <c r="K57" s="14" t="s">
        <v>522</v>
      </c>
      <c r="L57" s="14" t="s">
        <v>637</v>
      </c>
      <c r="M57" s="14" t="s">
        <v>519</v>
      </c>
      <c r="N57" s="14" t="s">
        <v>531</v>
      </c>
      <c r="O57" s="260"/>
    </row>
    <row r="58" spans="2:15" x14ac:dyDescent="0.4">
      <c r="B58" s="257" t="s">
        <v>149</v>
      </c>
      <c r="C58" s="14" t="s">
        <v>1203</v>
      </c>
      <c r="D58" s="14" t="s">
        <v>563</v>
      </c>
      <c r="E58" s="14" t="s">
        <v>638</v>
      </c>
      <c r="F58" s="14" t="s">
        <v>150</v>
      </c>
      <c r="G58" s="15">
        <v>2</v>
      </c>
      <c r="H58" s="14" t="s">
        <v>515</v>
      </c>
      <c r="I58" s="14" t="s">
        <v>516</v>
      </c>
      <c r="J58" s="16"/>
      <c r="K58" s="14" t="s">
        <v>517</v>
      </c>
      <c r="L58" s="14" t="s">
        <v>639</v>
      </c>
      <c r="M58" s="14" t="s">
        <v>519</v>
      </c>
      <c r="N58" s="14" t="s">
        <v>520</v>
      </c>
      <c r="O58" s="260"/>
    </row>
    <row r="59" spans="2:15" x14ac:dyDescent="0.4">
      <c r="B59" s="258"/>
      <c r="C59" s="186"/>
      <c r="D59" s="186" t="s">
        <v>797</v>
      </c>
      <c r="E59" s="186"/>
      <c r="F59" s="186" t="s">
        <v>1033</v>
      </c>
      <c r="G59" s="186"/>
      <c r="H59" s="186"/>
      <c r="I59" s="186"/>
      <c r="J59" s="186"/>
      <c r="K59" s="186"/>
      <c r="L59" s="186"/>
      <c r="M59" s="186"/>
      <c r="N59" s="186"/>
      <c r="O59" s="262"/>
    </row>
    <row r="60" spans="2:15" x14ac:dyDescent="0.4">
      <c r="B60" s="259" t="s">
        <v>502</v>
      </c>
      <c r="C60" s="185"/>
      <c r="D60" s="185" t="s">
        <v>1030</v>
      </c>
      <c r="E60" s="185" t="s">
        <v>501</v>
      </c>
      <c r="F60" s="185" t="s">
        <v>503</v>
      </c>
      <c r="G60" s="185" t="s">
        <v>1031</v>
      </c>
      <c r="H60" s="185" t="s">
        <v>504</v>
      </c>
      <c r="I60" s="185" t="s">
        <v>505</v>
      </c>
      <c r="J60" s="185" t="s">
        <v>506</v>
      </c>
      <c r="K60" s="185" t="s">
        <v>507</v>
      </c>
      <c r="L60" s="185" t="s">
        <v>508</v>
      </c>
      <c r="M60" s="185" t="s">
        <v>509</v>
      </c>
      <c r="N60" s="185" t="s">
        <v>510</v>
      </c>
      <c r="O60" s="263" t="s">
        <v>511</v>
      </c>
    </row>
    <row r="61" spans="2:15" ht="18" customHeight="1" x14ac:dyDescent="0.4">
      <c r="B61" s="257" t="s">
        <v>151</v>
      </c>
      <c r="C61" s="14" t="s">
        <v>57</v>
      </c>
      <c r="D61" s="14" t="s">
        <v>563</v>
      </c>
      <c r="E61" s="14" t="s">
        <v>798</v>
      </c>
      <c r="F61" s="14" t="s">
        <v>152</v>
      </c>
      <c r="G61" s="15">
        <v>2</v>
      </c>
      <c r="H61" s="14" t="s">
        <v>515</v>
      </c>
      <c r="I61" s="14" t="s">
        <v>516</v>
      </c>
      <c r="J61" s="16"/>
      <c r="K61" s="14" t="s">
        <v>522</v>
      </c>
      <c r="L61" s="14" t="s">
        <v>1034</v>
      </c>
      <c r="M61" s="14" t="s">
        <v>519</v>
      </c>
      <c r="N61" s="14" t="s">
        <v>520</v>
      </c>
      <c r="O61" s="260"/>
    </row>
    <row r="62" spans="2:15" x14ac:dyDescent="0.4">
      <c r="B62" s="257" t="s">
        <v>153</v>
      </c>
      <c r="C62" s="14" t="s">
        <v>57</v>
      </c>
      <c r="D62" s="17" t="s">
        <v>560</v>
      </c>
      <c r="E62" s="14" t="s">
        <v>799</v>
      </c>
      <c r="F62" s="14" t="s">
        <v>154</v>
      </c>
      <c r="G62" s="15">
        <v>2</v>
      </c>
      <c r="H62" s="14" t="s">
        <v>515</v>
      </c>
      <c r="I62" s="15">
        <v>1</v>
      </c>
      <c r="J62" s="16"/>
      <c r="K62" s="14" t="s">
        <v>522</v>
      </c>
      <c r="L62" s="14" t="s">
        <v>1035</v>
      </c>
      <c r="M62" s="14" t="s">
        <v>519</v>
      </c>
      <c r="N62" s="14" t="s">
        <v>531</v>
      </c>
      <c r="O62" s="260"/>
    </row>
    <row r="63" spans="2:15" x14ac:dyDescent="0.4">
      <c r="B63" s="257" t="s">
        <v>155</v>
      </c>
      <c r="C63" s="14" t="s">
        <v>57</v>
      </c>
      <c r="D63" s="14" t="s">
        <v>563</v>
      </c>
      <c r="E63" s="14" t="s">
        <v>800</v>
      </c>
      <c r="F63" s="14" t="s">
        <v>156</v>
      </c>
      <c r="G63" s="15">
        <v>2</v>
      </c>
      <c r="H63" s="14" t="s">
        <v>515</v>
      </c>
      <c r="I63" s="14" t="s">
        <v>516</v>
      </c>
      <c r="J63" s="16"/>
      <c r="K63" s="14" t="s">
        <v>522</v>
      </c>
      <c r="L63" s="14" t="s">
        <v>1036</v>
      </c>
      <c r="M63" s="14" t="s">
        <v>519</v>
      </c>
      <c r="N63" s="14" t="s">
        <v>531</v>
      </c>
      <c r="O63" s="260"/>
    </row>
    <row r="64" spans="2:15" x14ac:dyDescent="0.4">
      <c r="B64" s="257" t="s">
        <v>157</v>
      </c>
      <c r="C64" s="14" t="s">
        <v>57</v>
      </c>
      <c r="D64" s="14" t="s">
        <v>563</v>
      </c>
      <c r="E64" s="14" t="s">
        <v>801</v>
      </c>
      <c r="F64" s="14" t="s">
        <v>158</v>
      </c>
      <c r="G64" s="15">
        <v>2</v>
      </c>
      <c r="H64" s="14" t="s">
        <v>515</v>
      </c>
      <c r="I64" s="15">
        <v>1</v>
      </c>
      <c r="J64" s="16"/>
      <c r="K64" s="14" t="s">
        <v>522</v>
      </c>
      <c r="L64" s="14" t="s">
        <v>1037</v>
      </c>
      <c r="M64" s="14" t="s">
        <v>519</v>
      </c>
      <c r="N64" s="14" t="s">
        <v>531</v>
      </c>
      <c r="O64" s="260"/>
    </row>
    <row r="65" spans="2:15" x14ac:dyDescent="0.4">
      <c r="B65" s="257" t="s">
        <v>159</v>
      </c>
      <c r="C65" s="14" t="s">
        <v>57</v>
      </c>
      <c r="D65" s="18" t="s">
        <v>565</v>
      </c>
      <c r="E65" s="14" t="s">
        <v>802</v>
      </c>
      <c r="F65" s="14" t="s">
        <v>160</v>
      </c>
      <c r="G65" s="15">
        <v>2</v>
      </c>
      <c r="H65" s="14" t="s">
        <v>515</v>
      </c>
      <c r="I65" s="14" t="s">
        <v>516</v>
      </c>
      <c r="J65" s="16"/>
      <c r="K65" s="14" t="s">
        <v>522</v>
      </c>
      <c r="L65" s="14" t="s">
        <v>1038</v>
      </c>
      <c r="M65" s="14" t="s">
        <v>519</v>
      </c>
      <c r="N65" s="14" t="s">
        <v>1404</v>
      </c>
      <c r="O65" s="260"/>
    </row>
    <row r="66" spans="2:15" x14ac:dyDescent="0.4">
      <c r="B66" s="257" t="s">
        <v>162</v>
      </c>
      <c r="C66" s="14" t="s">
        <v>57</v>
      </c>
      <c r="D66" s="14" t="s">
        <v>563</v>
      </c>
      <c r="E66" s="14" t="s">
        <v>803</v>
      </c>
      <c r="F66" s="14" t="s">
        <v>163</v>
      </c>
      <c r="G66" s="15">
        <v>2</v>
      </c>
      <c r="H66" s="14" t="s">
        <v>515</v>
      </c>
      <c r="I66" s="14" t="s">
        <v>516</v>
      </c>
      <c r="J66" s="16"/>
      <c r="K66" s="14" t="s">
        <v>522</v>
      </c>
      <c r="L66" s="14" t="s">
        <v>1039</v>
      </c>
      <c r="M66" s="14" t="s">
        <v>519</v>
      </c>
      <c r="N66" s="14" t="s">
        <v>520</v>
      </c>
      <c r="O66" s="260"/>
    </row>
    <row r="67" spans="2:15" x14ac:dyDescent="0.4">
      <c r="B67" s="257" t="s">
        <v>164</v>
      </c>
      <c r="C67" s="14" t="s">
        <v>57</v>
      </c>
      <c r="D67" s="17" t="s">
        <v>560</v>
      </c>
      <c r="E67" s="14" t="s">
        <v>804</v>
      </c>
      <c r="F67" s="14" t="s">
        <v>165</v>
      </c>
      <c r="G67" s="15">
        <v>2</v>
      </c>
      <c r="H67" s="14" t="s">
        <v>515</v>
      </c>
      <c r="I67" s="14" t="s">
        <v>516</v>
      </c>
      <c r="J67" s="16"/>
      <c r="K67" s="14" t="s">
        <v>522</v>
      </c>
      <c r="L67" s="14" t="s">
        <v>1040</v>
      </c>
      <c r="M67" s="14" t="s">
        <v>519</v>
      </c>
      <c r="N67" s="14" t="s">
        <v>531</v>
      </c>
      <c r="O67" s="260"/>
    </row>
    <row r="68" spans="2:15" x14ac:dyDescent="0.4">
      <c r="B68" s="257" t="s">
        <v>166</v>
      </c>
      <c r="C68" s="14" t="s">
        <v>57</v>
      </c>
      <c r="D68" s="17" t="s">
        <v>560</v>
      </c>
      <c r="E68" s="14" t="s">
        <v>805</v>
      </c>
      <c r="F68" s="14" t="s">
        <v>167</v>
      </c>
      <c r="G68" s="15">
        <v>2</v>
      </c>
      <c r="H68" s="14" t="s">
        <v>515</v>
      </c>
      <c r="I68" s="14" t="s">
        <v>516</v>
      </c>
      <c r="J68" s="16"/>
      <c r="K68" s="14" t="s">
        <v>522</v>
      </c>
      <c r="L68" s="14" t="s">
        <v>1040</v>
      </c>
      <c r="M68" s="14" t="s">
        <v>519</v>
      </c>
      <c r="N68" s="14" t="s">
        <v>520</v>
      </c>
      <c r="O68" s="260"/>
    </row>
    <row r="69" spans="2:15" x14ac:dyDescent="0.4">
      <c r="B69" s="257" t="s">
        <v>168</v>
      </c>
      <c r="C69" s="14" t="s">
        <v>57</v>
      </c>
      <c r="D69" s="14" t="s">
        <v>563</v>
      </c>
      <c r="E69" s="14" t="s">
        <v>806</v>
      </c>
      <c r="F69" s="14" t="s">
        <v>169</v>
      </c>
      <c r="G69" s="15">
        <v>2</v>
      </c>
      <c r="H69" s="14" t="s">
        <v>515</v>
      </c>
      <c r="I69" s="14" t="s">
        <v>516</v>
      </c>
      <c r="J69" s="16"/>
      <c r="K69" s="14" t="s">
        <v>522</v>
      </c>
      <c r="L69" s="14" t="s">
        <v>1040</v>
      </c>
      <c r="M69" s="14" t="s">
        <v>519</v>
      </c>
      <c r="N69" s="14" t="s">
        <v>520</v>
      </c>
      <c r="O69" s="260"/>
    </row>
    <row r="70" spans="2:15" x14ac:dyDescent="0.4">
      <c r="B70" s="257" t="s">
        <v>170</v>
      </c>
      <c r="C70" s="14" t="s">
        <v>57</v>
      </c>
      <c r="D70" s="14" t="s">
        <v>563</v>
      </c>
      <c r="E70" s="14" t="s">
        <v>807</v>
      </c>
      <c r="F70" s="14" t="s">
        <v>171</v>
      </c>
      <c r="G70" s="15">
        <v>2</v>
      </c>
      <c r="H70" s="14" t="s">
        <v>515</v>
      </c>
      <c r="I70" s="14" t="s">
        <v>516</v>
      </c>
      <c r="J70" s="16"/>
      <c r="K70" s="14" t="s">
        <v>522</v>
      </c>
      <c r="L70" s="14" t="s">
        <v>1037</v>
      </c>
      <c r="M70" s="14" t="s">
        <v>519</v>
      </c>
      <c r="N70" s="14" t="s">
        <v>520</v>
      </c>
      <c r="O70" s="260"/>
    </row>
    <row r="71" spans="2:15" x14ac:dyDescent="0.4">
      <c r="B71" s="258"/>
      <c r="C71" s="186"/>
      <c r="D71" s="186" t="s">
        <v>1041</v>
      </c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262"/>
    </row>
    <row r="72" spans="2:15" ht="36" x14ac:dyDescent="0.4">
      <c r="B72" s="259" t="s">
        <v>502</v>
      </c>
      <c r="C72" s="185"/>
      <c r="D72" s="185" t="s">
        <v>1030</v>
      </c>
      <c r="E72" s="185" t="s">
        <v>501</v>
      </c>
      <c r="F72" s="185" t="s">
        <v>503</v>
      </c>
      <c r="G72" s="185" t="s">
        <v>1031</v>
      </c>
      <c r="H72" s="185" t="s">
        <v>504</v>
      </c>
      <c r="I72" s="185" t="s">
        <v>505</v>
      </c>
      <c r="J72" s="185" t="s">
        <v>506</v>
      </c>
      <c r="K72" s="185" t="s">
        <v>507</v>
      </c>
      <c r="L72" s="185" t="s">
        <v>508</v>
      </c>
      <c r="M72" s="185" t="s">
        <v>509</v>
      </c>
      <c r="N72" s="185" t="s">
        <v>510</v>
      </c>
      <c r="O72" s="264" t="s">
        <v>1042</v>
      </c>
    </row>
    <row r="73" spans="2:15" x14ac:dyDescent="0.4">
      <c r="B73" s="257" t="s">
        <v>172</v>
      </c>
      <c r="C73" s="14" t="s">
        <v>0</v>
      </c>
      <c r="D73" s="14" t="s">
        <v>563</v>
      </c>
      <c r="E73" s="14" t="s">
        <v>808</v>
      </c>
      <c r="F73" s="14" t="s">
        <v>173</v>
      </c>
      <c r="G73" s="15">
        <v>2</v>
      </c>
      <c r="H73" s="14" t="s">
        <v>515</v>
      </c>
      <c r="I73" s="14" t="s">
        <v>516</v>
      </c>
      <c r="J73" s="16"/>
      <c r="K73" s="14" t="s">
        <v>522</v>
      </c>
      <c r="L73" s="14" t="s">
        <v>1043</v>
      </c>
      <c r="M73" s="14" t="s">
        <v>519</v>
      </c>
      <c r="N73" s="14" t="s">
        <v>531</v>
      </c>
      <c r="O73" s="261" t="s">
        <v>769</v>
      </c>
    </row>
    <row r="74" spans="2:15" x14ac:dyDescent="0.4">
      <c r="B74" s="257" t="s">
        <v>174</v>
      </c>
      <c r="C74" s="14" t="s">
        <v>0</v>
      </c>
      <c r="D74" s="14" t="s">
        <v>563</v>
      </c>
      <c r="E74" s="14" t="s">
        <v>809</v>
      </c>
      <c r="F74" s="14" t="s">
        <v>175</v>
      </c>
      <c r="G74" s="15">
        <v>2</v>
      </c>
      <c r="H74" s="14" t="s">
        <v>515</v>
      </c>
      <c r="I74" s="15">
        <v>1</v>
      </c>
      <c r="J74" s="16"/>
      <c r="K74" s="14" t="s">
        <v>522</v>
      </c>
      <c r="L74" s="14" t="s">
        <v>1044</v>
      </c>
      <c r="M74" s="14" t="s">
        <v>519</v>
      </c>
      <c r="N74" s="14" t="s">
        <v>520</v>
      </c>
      <c r="O74" s="261" t="s">
        <v>769</v>
      </c>
    </row>
    <row r="75" spans="2:15" x14ac:dyDescent="0.4">
      <c r="B75" s="257" t="s">
        <v>176</v>
      </c>
      <c r="C75" s="14" t="s">
        <v>0</v>
      </c>
      <c r="D75" s="14" t="s">
        <v>563</v>
      </c>
      <c r="E75" s="14" t="s">
        <v>810</v>
      </c>
      <c r="F75" s="14" t="s">
        <v>177</v>
      </c>
      <c r="G75" s="15">
        <v>2</v>
      </c>
      <c r="H75" s="14" t="s">
        <v>515</v>
      </c>
      <c r="I75" s="15">
        <v>1</v>
      </c>
      <c r="J75" s="16"/>
      <c r="K75" s="14" t="s">
        <v>522</v>
      </c>
      <c r="L75" s="14" t="s">
        <v>1045</v>
      </c>
      <c r="M75" s="14" t="s">
        <v>519</v>
      </c>
      <c r="N75" s="14" t="s">
        <v>531</v>
      </c>
      <c r="O75" s="261" t="s">
        <v>769</v>
      </c>
    </row>
    <row r="76" spans="2:15" x14ac:dyDescent="0.4">
      <c r="B76" s="257" t="s">
        <v>178</v>
      </c>
      <c r="C76" s="14" t="s">
        <v>0</v>
      </c>
      <c r="D76" s="14" t="s">
        <v>563</v>
      </c>
      <c r="E76" s="14" t="s">
        <v>811</v>
      </c>
      <c r="F76" s="14" t="s">
        <v>179</v>
      </c>
      <c r="G76" s="15">
        <v>2</v>
      </c>
      <c r="H76" s="14" t="s">
        <v>515</v>
      </c>
      <c r="I76" s="15">
        <v>1</v>
      </c>
      <c r="J76" s="16"/>
      <c r="K76" s="14" t="s">
        <v>522</v>
      </c>
      <c r="L76" s="14" t="s">
        <v>1046</v>
      </c>
      <c r="M76" s="14" t="s">
        <v>519</v>
      </c>
      <c r="N76" s="14" t="s">
        <v>520</v>
      </c>
      <c r="O76" s="261" t="s">
        <v>769</v>
      </c>
    </row>
    <row r="77" spans="2:15" x14ac:dyDescent="0.4">
      <c r="B77" s="257" t="s">
        <v>180</v>
      </c>
      <c r="C77" s="14" t="s">
        <v>0</v>
      </c>
      <c r="D77" s="14" t="s">
        <v>563</v>
      </c>
      <c r="E77" s="14" t="s">
        <v>812</v>
      </c>
      <c r="F77" s="14" t="s">
        <v>181</v>
      </c>
      <c r="G77" s="15">
        <v>2</v>
      </c>
      <c r="H77" s="14" t="s">
        <v>515</v>
      </c>
      <c r="I77" s="15">
        <v>1</v>
      </c>
      <c r="J77" s="16"/>
      <c r="K77" s="14" t="s">
        <v>522</v>
      </c>
      <c r="L77" s="14" t="s">
        <v>1047</v>
      </c>
      <c r="M77" s="14" t="s">
        <v>519</v>
      </c>
      <c r="N77" s="14" t="s">
        <v>520</v>
      </c>
      <c r="O77" s="261" t="s">
        <v>769</v>
      </c>
    </row>
    <row r="78" spans="2:15" x14ac:dyDescent="0.4">
      <c r="B78" s="257" t="s">
        <v>182</v>
      </c>
      <c r="C78" s="14" t="s">
        <v>0</v>
      </c>
      <c r="D78" s="17" t="s">
        <v>560</v>
      </c>
      <c r="E78" s="14" t="s">
        <v>813</v>
      </c>
      <c r="F78" s="14" t="s">
        <v>183</v>
      </c>
      <c r="G78" s="15">
        <v>2</v>
      </c>
      <c r="H78" s="14" t="s">
        <v>515</v>
      </c>
      <c r="I78" s="15">
        <v>1</v>
      </c>
      <c r="J78" s="16"/>
      <c r="K78" s="14" t="s">
        <v>522</v>
      </c>
      <c r="L78" s="14" t="s">
        <v>1048</v>
      </c>
      <c r="M78" s="14" t="s">
        <v>519</v>
      </c>
      <c r="N78" s="14" t="s">
        <v>520</v>
      </c>
      <c r="O78" s="261" t="s">
        <v>769</v>
      </c>
    </row>
    <row r="79" spans="2:15" x14ac:dyDescent="0.4">
      <c r="B79" s="257" t="s">
        <v>184</v>
      </c>
      <c r="C79" s="14" t="s">
        <v>0</v>
      </c>
      <c r="D79" s="14" t="s">
        <v>563</v>
      </c>
      <c r="E79" s="14" t="s">
        <v>814</v>
      </c>
      <c r="F79" s="14" t="s">
        <v>185</v>
      </c>
      <c r="G79" s="15">
        <v>2</v>
      </c>
      <c r="H79" s="14" t="s">
        <v>515</v>
      </c>
      <c r="I79" s="14" t="s">
        <v>516</v>
      </c>
      <c r="J79" s="16"/>
      <c r="K79" s="14" t="s">
        <v>522</v>
      </c>
      <c r="L79" s="14" t="s">
        <v>1045</v>
      </c>
      <c r="M79" s="14" t="s">
        <v>519</v>
      </c>
      <c r="N79" s="14" t="s">
        <v>531</v>
      </c>
      <c r="O79" s="261" t="s">
        <v>769</v>
      </c>
    </row>
    <row r="80" spans="2:15" x14ac:dyDescent="0.4">
      <c r="B80" s="257" t="s">
        <v>186</v>
      </c>
      <c r="C80" s="14" t="s">
        <v>0</v>
      </c>
      <c r="D80" s="14" t="s">
        <v>563</v>
      </c>
      <c r="E80" s="14" t="s">
        <v>815</v>
      </c>
      <c r="F80" s="14" t="s">
        <v>187</v>
      </c>
      <c r="G80" s="15">
        <v>2</v>
      </c>
      <c r="H80" s="14" t="s">
        <v>515</v>
      </c>
      <c r="I80" s="15">
        <v>1</v>
      </c>
      <c r="J80" s="16"/>
      <c r="K80" s="14" t="s">
        <v>522</v>
      </c>
      <c r="L80" s="14" t="s">
        <v>1046</v>
      </c>
      <c r="M80" s="14" t="s">
        <v>519</v>
      </c>
      <c r="N80" s="14" t="s">
        <v>531</v>
      </c>
      <c r="O80" s="261" t="s">
        <v>769</v>
      </c>
    </row>
    <row r="81" spans="2:15" x14ac:dyDescent="0.4">
      <c r="B81" s="257" t="s">
        <v>188</v>
      </c>
      <c r="C81" s="14" t="s">
        <v>0</v>
      </c>
      <c r="D81" s="14" t="s">
        <v>563</v>
      </c>
      <c r="E81" s="14" t="s">
        <v>816</v>
      </c>
      <c r="F81" s="14" t="s">
        <v>189</v>
      </c>
      <c r="G81" s="15">
        <v>2</v>
      </c>
      <c r="H81" s="14" t="s">
        <v>515</v>
      </c>
      <c r="I81" s="15">
        <v>1</v>
      </c>
      <c r="J81" s="16"/>
      <c r="K81" s="14" t="s">
        <v>522</v>
      </c>
      <c r="L81" s="14" t="s">
        <v>1047</v>
      </c>
      <c r="M81" s="14" t="s">
        <v>519</v>
      </c>
      <c r="N81" s="14" t="s">
        <v>531</v>
      </c>
      <c r="O81" s="261" t="s">
        <v>769</v>
      </c>
    </row>
    <row r="82" spans="2:15" x14ac:dyDescent="0.4">
      <c r="B82" s="257" t="s">
        <v>190</v>
      </c>
      <c r="C82" s="14" t="s">
        <v>0</v>
      </c>
      <c r="D82" s="14" t="s">
        <v>563</v>
      </c>
      <c r="E82" s="14" t="s">
        <v>817</v>
      </c>
      <c r="F82" s="14" t="s">
        <v>191</v>
      </c>
      <c r="G82" s="15">
        <v>2</v>
      </c>
      <c r="H82" s="14" t="s">
        <v>515</v>
      </c>
      <c r="I82" s="14" t="s">
        <v>516</v>
      </c>
      <c r="J82" s="16"/>
      <c r="K82" s="14" t="s">
        <v>522</v>
      </c>
      <c r="L82" s="14" t="s">
        <v>1049</v>
      </c>
      <c r="M82" s="14" t="s">
        <v>519</v>
      </c>
      <c r="N82" s="14" t="s">
        <v>531</v>
      </c>
      <c r="O82" s="261" t="s">
        <v>769</v>
      </c>
    </row>
    <row r="83" spans="2:15" x14ac:dyDescent="0.4">
      <c r="B83" s="257" t="s">
        <v>192</v>
      </c>
      <c r="C83" s="14" t="s">
        <v>0</v>
      </c>
      <c r="D83" s="14" t="s">
        <v>563</v>
      </c>
      <c r="E83" s="14" t="s">
        <v>818</v>
      </c>
      <c r="F83" s="14" t="s">
        <v>193</v>
      </c>
      <c r="G83" s="15">
        <v>2</v>
      </c>
      <c r="H83" s="14" t="s">
        <v>515</v>
      </c>
      <c r="I83" s="15">
        <v>1</v>
      </c>
      <c r="J83" s="16"/>
      <c r="K83" s="14" t="s">
        <v>522</v>
      </c>
      <c r="L83" s="14" t="s">
        <v>1050</v>
      </c>
      <c r="M83" s="14" t="s">
        <v>519</v>
      </c>
      <c r="N83" s="14" t="s">
        <v>531</v>
      </c>
      <c r="O83" s="261" t="s">
        <v>769</v>
      </c>
    </row>
    <row r="84" spans="2:15" x14ac:dyDescent="0.4">
      <c r="B84" s="257" t="s">
        <v>194</v>
      </c>
      <c r="C84" s="14" t="s">
        <v>0</v>
      </c>
      <c r="D84" s="14" t="s">
        <v>563</v>
      </c>
      <c r="E84" s="14" t="s">
        <v>819</v>
      </c>
      <c r="F84" s="14" t="s">
        <v>195</v>
      </c>
      <c r="G84" s="15">
        <v>2</v>
      </c>
      <c r="H84" s="14" t="s">
        <v>515</v>
      </c>
      <c r="I84" s="15">
        <v>1</v>
      </c>
      <c r="J84" s="16"/>
      <c r="K84" s="14" t="s">
        <v>522</v>
      </c>
      <c r="L84" s="14" t="s">
        <v>1046</v>
      </c>
      <c r="M84" s="14" t="s">
        <v>519</v>
      </c>
      <c r="N84" s="14" t="s">
        <v>531</v>
      </c>
      <c r="O84" s="261" t="s">
        <v>769</v>
      </c>
    </row>
    <row r="85" spans="2:15" x14ac:dyDescent="0.4">
      <c r="B85" s="257" t="s">
        <v>196</v>
      </c>
      <c r="C85" s="14" t="s">
        <v>0</v>
      </c>
      <c r="D85" s="14" t="s">
        <v>563</v>
      </c>
      <c r="E85" s="14" t="s">
        <v>820</v>
      </c>
      <c r="F85" s="14" t="s">
        <v>197</v>
      </c>
      <c r="G85" s="15">
        <v>2</v>
      </c>
      <c r="H85" s="14" t="s">
        <v>515</v>
      </c>
      <c r="I85" s="14" t="s">
        <v>516</v>
      </c>
      <c r="J85" s="16"/>
      <c r="K85" s="14" t="s">
        <v>522</v>
      </c>
      <c r="L85" s="14" t="s">
        <v>1051</v>
      </c>
      <c r="M85" s="14" t="s">
        <v>519</v>
      </c>
      <c r="N85" s="14" t="s">
        <v>531</v>
      </c>
      <c r="O85" s="261" t="s">
        <v>769</v>
      </c>
    </row>
    <row r="86" spans="2:15" x14ac:dyDescent="0.4">
      <c r="B86" s="257" t="s">
        <v>198</v>
      </c>
      <c r="C86" s="14" t="s">
        <v>0</v>
      </c>
      <c r="D86" s="14" t="s">
        <v>563</v>
      </c>
      <c r="E86" s="14" t="s">
        <v>821</v>
      </c>
      <c r="F86" s="14" t="s">
        <v>199</v>
      </c>
      <c r="G86" s="15">
        <v>2</v>
      </c>
      <c r="H86" s="14" t="s">
        <v>515</v>
      </c>
      <c r="I86" s="15">
        <v>1</v>
      </c>
      <c r="J86" s="16"/>
      <c r="K86" s="14" t="s">
        <v>522</v>
      </c>
      <c r="L86" s="14" t="s">
        <v>1052</v>
      </c>
      <c r="M86" s="14" t="s">
        <v>519</v>
      </c>
      <c r="N86" s="14" t="s">
        <v>531</v>
      </c>
      <c r="O86" s="260"/>
    </row>
    <row r="87" spans="2:15" x14ac:dyDescent="0.4">
      <c r="B87" s="257" t="s">
        <v>200</v>
      </c>
      <c r="C87" s="14" t="s">
        <v>0</v>
      </c>
      <c r="D87" s="14" t="s">
        <v>563</v>
      </c>
      <c r="E87" s="14" t="s">
        <v>822</v>
      </c>
      <c r="F87" s="14" t="s">
        <v>201</v>
      </c>
      <c r="G87" s="15">
        <v>2</v>
      </c>
      <c r="H87" s="14" t="s">
        <v>515</v>
      </c>
      <c r="I87" s="14" t="s">
        <v>516</v>
      </c>
      <c r="J87" s="16"/>
      <c r="K87" s="14" t="s">
        <v>522</v>
      </c>
      <c r="L87" s="14" t="s">
        <v>1053</v>
      </c>
      <c r="M87" s="14" t="s">
        <v>519</v>
      </c>
      <c r="N87" s="14" t="s">
        <v>520</v>
      </c>
      <c r="O87" s="261" t="s">
        <v>769</v>
      </c>
    </row>
    <row r="88" spans="2:15" x14ac:dyDescent="0.4">
      <c r="B88" s="257" t="s">
        <v>202</v>
      </c>
      <c r="C88" s="14" t="s">
        <v>0</v>
      </c>
      <c r="D88" s="14" t="s">
        <v>563</v>
      </c>
      <c r="E88" s="14" t="s">
        <v>823</v>
      </c>
      <c r="F88" s="14" t="s">
        <v>1054</v>
      </c>
      <c r="G88" s="15">
        <v>2</v>
      </c>
      <c r="H88" s="14" t="s">
        <v>515</v>
      </c>
      <c r="I88" s="14" t="s">
        <v>516</v>
      </c>
      <c r="J88" s="16"/>
      <c r="K88" s="14" t="s">
        <v>517</v>
      </c>
      <c r="L88" s="14" t="s">
        <v>1055</v>
      </c>
      <c r="M88" s="14" t="s">
        <v>519</v>
      </c>
      <c r="N88" s="14" t="s">
        <v>520</v>
      </c>
      <c r="O88" s="260"/>
    </row>
    <row r="89" spans="2:15" x14ac:dyDescent="0.4">
      <c r="B89" s="257" t="s">
        <v>203</v>
      </c>
      <c r="C89" s="14" t="s">
        <v>0</v>
      </c>
      <c r="D89" s="14" t="s">
        <v>563</v>
      </c>
      <c r="E89" s="16" t="s">
        <v>1056</v>
      </c>
      <c r="F89" s="14" t="s">
        <v>204</v>
      </c>
      <c r="G89" s="15">
        <v>2</v>
      </c>
      <c r="H89" s="14" t="s">
        <v>667</v>
      </c>
      <c r="I89" s="15">
        <v>1</v>
      </c>
      <c r="J89" s="14" t="s">
        <v>769</v>
      </c>
      <c r="K89" s="14" t="s">
        <v>517</v>
      </c>
      <c r="L89" s="14" t="s">
        <v>1057</v>
      </c>
      <c r="M89" s="14" t="s">
        <v>519</v>
      </c>
      <c r="N89" s="14" t="s">
        <v>524</v>
      </c>
      <c r="O89" s="261" t="s">
        <v>769</v>
      </c>
    </row>
    <row r="90" spans="2:15" x14ac:dyDescent="0.4">
      <c r="B90" s="257" t="s">
        <v>205</v>
      </c>
      <c r="C90" s="14" t="s">
        <v>0</v>
      </c>
      <c r="D90" s="14" t="s">
        <v>563</v>
      </c>
      <c r="E90" s="16" t="s">
        <v>1058</v>
      </c>
      <c r="F90" s="14" t="s">
        <v>204</v>
      </c>
      <c r="G90" s="15">
        <v>2</v>
      </c>
      <c r="H90" s="14" t="s">
        <v>667</v>
      </c>
      <c r="I90" s="15">
        <v>1</v>
      </c>
      <c r="J90" s="14" t="s">
        <v>769</v>
      </c>
      <c r="K90" s="14" t="s">
        <v>517</v>
      </c>
      <c r="L90" s="14" t="s">
        <v>1057</v>
      </c>
      <c r="M90" s="14" t="s">
        <v>519</v>
      </c>
      <c r="N90" s="14" t="s">
        <v>524</v>
      </c>
      <c r="O90" s="261" t="s">
        <v>769</v>
      </c>
    </row>
    <row r="91" spans="2:15" x14ac:dyDescent="0.4">
      <c r="B91" s="257" t="s">
        <v>206</v>
      </c>
      <c r="C91" s="14" t="s">
        <v>0</v>
      </c>
      <c r="D91" s="14" t="s">
        <v>563</v>
      </c>
      <c r="E91" s="16" t="s">
        <v>1059</v>
      </c>
      <c r="F91" s="14" t="s">
        <v>204</v>
      </c>
      <c r="G91" s="15">
        <v>2</v>
      </c>
      <c r="H91" s="14" t="s">
        <v>667</v>
      </c>
      <c r="I91" s="14" t="s">
        <v>1060</v>
      </c>
      <c r="J91" s="14" t="s">
        <v>769</v>
      </c>
      <c r="K91" s="14" t="s">
        <v>517</v>
      </c>
      <c r="L91" s="14" t="s">
        <v>1057</v>
      </c>
      <c r="M91" s="14" t="s">
        <v>519</v>
      </c>
      <c r="N91" s="14" t="s">
        <v>524</v>
      </c>
      <c r="O91" s="261" t="s">
        <v>1061</v>
      </c>
    </row>
    <row r="92" spans="2:15" x14ac:dyDescent="0.4">
      <c r="B92" s="257" t="s">
        <v>207</v>
      </c>
      <c r="C92" s="14" t="s">
        <v>0</v>
      </c>
      <c r="D92" s="14" t="s">
        <v>563</v>
      </c>
      <c r="E92" s="16" t="s">
        <v>1062</v>
      </c>
      <c r="F92" s="14" t="s">
        <v>204</v>
      </c>
      <c r="G92" s="15">
        <v>2</v>
      </c>
      <c r="H92" s="14" t="s">
        <v>667</v>
      </c>
      <c r="I92" s="14" t="s">
        <v>1060</v>
      </c>
      <c r="J92" s="14" t="s">
        <v>769</v>
      </c>
      <c r="K92" s="14" t="s">
        <v>517</v>
      </c>
      <c r="L92" s="14" t="s">
        <v>1057</v>
      </c>
      <c r="M92" s="14" t="s">
        <v>519</v>
      </c>
      <c r="N92" s="14" t="s">
        <v>524</v>
      </c>
      <c r="O92" s="261" t="s">
        <v>1061</v>
      </c>
    </row>
    <row r="93" spans="2:15" x14ac:dyDescent="0.4">
      <c r="B93" s="257" t="s">
        <v>208</v>
      </c>
      <c r="C93" s="14" t="s">
        <v>0</v>
      </c>
      <c r="D93" s="187" t="s">
        <v>512</v>
      </c>
      <c r="E93" s="16" t="s">
        <v>1063</v>
      </c>
      <c r="F93" s="14" t="s">
        <v>204</v>
      </c>
      <c r="G93" s="15">
        <v>4</v>
      </c>
      <c r="H93" s="14" t="s">
        <v>558</v>
      </c>
      <c r="I93" s="14" t="s">
        <v>516</v>
      </c>
      <c r="J93" s="16"/>
      <c r="K93" s="14" t="s">
        <v>517</v>
      </c>
      <c r="L93" s="14" t="s">
        <v>1064</v>
      </c>
      <c r="M93" s="14" t="s">
        <v>519</v>
      </c>
      <c r="N93" s="14" t="s">
        <v>524</v>
      </c>
      <c r="O93" s="261" t="s">
        <v>769</v>
      </c>
    </row>
    <row r="94" spans="2:15" x14ac:dyDescent="0.4">
      <c r="B94" s="257" t="s">
        <v>209</v>
      </c>
      <c r="C94" s="14" t="s">
        <v>0</v>
      </c>
      <c r="D94" s="187" t="s">
        <v>512</v>
      </c>
      <c r="E94" s="16" t="s">
        <v>1065</v>
      </c>
      <c r="F94" s="14" t="s">
        <v>204</v>
      </c>
      <c r="G94" s="15">
        <v>2</v>
      </c>
      <c r="H94" s="14" t="s">
        <v>558</v>
      </c>
      <c r="I94" s="14" t="s">
        <v>516</v>
      </c>
      <c r="J94" s="16"/>
      <c r="K94" s="14" t="s">
        <v>517</v>
      </c>
      <c r="L94" s="14" t="s">
        <v>1064</v>
      </c>
      <c r="M94" s="14" t="s">
        <v>519</v>
      </c>
      <c r="N94" s="14" t="s">
        <v>524</v>
      </c>
      <c r="O94" s="261" t="s">
        <v>769</v>
      </c>
    </row>
    <row r="95" spans="2:15" x14ac:dyDescent="0.4">
      <c r="B95" s="257" t="s">
        <v>210</v>
      </c>
      <c r="C95" s="14" t="s">
        <v>0</v>
      </c>
      <c r="D95" s="187" t="s">
        <v>512</v>
      </c>
      <c r="E95" s="16" t="s">
        <v>1066</v>
      </c>
      <c r="F95" s="14" t="s">
        <v>204</v>
      </c>
      <c r="G95" s="15">
        <v>1</v>
      </c>
      <c r="H95" s="14" t="s">
        <v>558</v>
      </c>
      <c r="I95" s="14" t="s">
        <v>516</v>
      </c>
      <c r="J95" s="16"/>
      <c r="K95" s="14" t="s">
        <v>517</v>
      </c>
      <c r="L95" s="14" t="s">
        <v>1064</v>
      </c>
      <c r="M95" s="14" t="s">
        <v>519</v>
      </c>
      <c r="N95" s="14" t="s">
        <v>524</v>
      </c>
      <c r="O95" s="261" t="s">
        <v>769</v>
      </c>
    </row>
    <row r="96" spans="2:15" x14ac:dyDescent="0.4">
      <c r="B96" s="257" t="s">
        <v>211</v>
      </c>
      <c r="C96" s="14" t="s">
        <v>0</v>
      </c>
      <c r="D96" s="14" t="s">
        <v>563</v>
      </c>
      <c r="E96" s="14" t="s">
        <v>824</v>
      </c>
      <c r="F96" s="14" t="s">
        <v>212</v>
      </c>
      <c r="G96" s="15">
        <v>2</v>
      </c>
      <c r="H96" s="14" t="s">
        <v>515</v>
      </c>
      <c r="I96" s="14" t="s">
        <v>516</v>
      </c>
      <c r="J96" s="16"/>
      <c r="K96" s="14" t="s">
        <v>522</v>
      </c>
      <c r="L96" s="14" t="s">
        <v>1067</v>
      </c>
      <c r="M96" s="14" t="s">
        <v>519</v>
      </c>
      <c r="N96" s="14" t="s">
        <v>520</v>
      </c>
      <c r="O96" s="260"/>
    </row>
    <row r="97" spans="2:15" x14ac:dyDescent="0.4">
      <c r="B97" s="257" t="s">
        <v>213</v>
      </c>
      <c r="C97" s="14" t="s">
        <v>0</v>
      </c>
      <c r="D97" s="18" t="s">
        <v>565</v>
      </c>
      <c r="E97" s="14" t="s">
        <v>825</v>
      </c>
      <c r="F97" s="14" t="s">
        <v>214</v>
      </c>
      <c r="G97" s="15">
        <v>2</v>
      </c>
      <c r="H97" s="14" t="s">
        <v>515</v>
      </c>
      <c r="I97" s="14" t="s">
        <v>516</v>
      </c>
      <c r="J97" s="16"/>
      <c r="K97" s="14" t="s">
        <v>522</v>
      </c>
      <c r="L97" s="14" t="s">
        <v>1068</v>
      </c>
      <c r="M97" s="14" t="s">
        <v>519</v>
      </c>
      <c r="N97" s="14" t="s">
        <v>531</v>
      </c>
      <c r="O97" s="260"/>
    </row>
    <row r="98" spans="2:15" x14ac:dyDescent="0.4">
      <c r="B98" s="257" t="s">
        <v>215</v>
      </c>
      <c r="C98" s="14" t="s">
        <v>0</v>
      </c>
      <c r="D98" s="187" t="s">
        <v>512</v>
      </c>
      <c r="E98" s="14" t="s">
        <v>826</v>
      </c>
      <c r="F98" s="14" t="s">
        <v>1069</v>
      </c>
      <c r="G98" s="15">
        <v>1</v>
      </c>
      <c r="H98" s="14" t="s">
        <v>515</v>
      </c>
      <c r="I98" s="14" t="s">
        <v>516</v>
      </c>
      <c r="J98" s="16"/>
      <c r="K98" s="14" t="s">
        <v>517</v>
      </c>
      <c r="L98" s="14" t="s">
        <v>1070</v>
      </c>
      <c r="M98" s="14" t="s">
        <v>519</v>
      </c>
      <c r="N98" s="14" t="s">
        <v>531</v>
      </c>
      <c r="O98" s="260"/>
    </row>
    <row r="99" spans="2:15" x14ac:dyDescent="0.4">
      <c r="B99" s="257" t="s">
        <v>216</v>
      </c>
      <c r="C99" s="14" t="s">
        <v>0</v>
      </c>
      <c r="D99" s="14" t="s">
        <v>563</v>
      </c>
      <c r="E99" s="14" t="s">
        <v>827</v>
      </c>
      <c r="F99" s="14" t="s">
        <v>217</v>
      </c>
      <c r="G99" s="15">
        <v>2</v>
      </c>
      <c r="H99" s="14" t="s">
        <v>515</v>
      </c>
      <c r="I99" s="14" t="s">
        <v>516</v>
      </c>
      <c r="J99" s="16"/>
      <c r="K99" s="14" t="s">
        <v>522</v>
      </c>
      <c r="L99" s="14" t="s">
        <v>1067</v>
      </c>
      <c r="M99" s="14" t="s">
        <v>519</v>
      </c>
      <c r="N99" s="14" t="s">
        <v>531</v>
      </c>
      <c r="O99" s="260"/>
    </row>
    <row r="100" spans="2:15" x14ac:dyDescent="0.4">
      <c r="B100" s="257" t="s">
        <v>218</v>
      </c>
      <c r="C100" s="14" t="s">
        <v>0</v>
      </c>
      <c r="D100" s="18" t="s">
        <v>565</v>
      </c>
      <c r="E100" s="14" t="s">
        <v>828</v>
      </c>
      <c r="F100" s="14" t="s">
        <v>219</v>
      </c>
      <c r="G100" s="15">
        <v>2</v>
      </c>
      <c r="H100" s="14" t="s">
        <v>515</v>
      </c>
      <c r="I100" s="14" t="s">
        <v>516</v>
      </c>
      <c r="J100" s="16"/>
      <c r="K100" s="14" t="s">
        <v>522</v>
      </c>
      <c r="L100" s="14" t="s">
        <v>1070</v>
      </c>
      <c r="M100" s="14" t="s">
        <v>519</v>
      </c>
      <c r="N100" s="14" t="s">
        <v>531</v>
      </c>
      <c r="O100" s="260"/>
    </row>
    <row r="101" spans="2:15" x14ac:dyDescent="0.4">
      <c r="B101" s="257" t="s">
        <v>220</v>
      </c>
      <c r="C101" s="14" t="s">
        <v>0</v>
      </c>
      <c r="D101" s="14" t="s">
        <v>563</v>
      </c>
      <c r="E101" s="14" t="s">
        <v>829</v>
      </c>
      <c r="F101" s="14" t="s">
        <v>221</v>
      </c>
      <c r="G101" s="15">
        <v>2</v>
      </c>
      <c r="H101" s="14" t="s">
        <v>515</v>
      </c>
      <c r="I101" s="14" t="s">
        <v>516</v>
      </c>
      <c r="J101" s="16"/>
      <c r="K101" s="14" t="s">
        <v>522</v>
      </c>
      <c r="L101" s="14" t="s">
        <v>1067</v>
      </c>
      <c r="M101" s="14" t="s">
        <v>519</v>
      </c>
      <c r="N101" s="14" t="s">
        <v>520</v>
      </c>
      <c r="O101" s="260"/>
    </row>
    <row r="102" spans="2:15" x14ac:dyDescent="0.4">
      <c r="B102" s="257" t="s">
        <v>222</v>
      </c>
      <c r="C102" s="14" t="s">
        <v>0</v>
      </c>
      <c r="D102" s="14" t="s">
        <v>563</v>
      </c>
      <c r="E102" s="14" t="s">
        <v>830</v>
      </c>
      <c r="F102" s="14" t="s">
        <v>223</v>
      </c>
      <c r="G102" s="15">
        <v>2</v>
      </c>
      <c r="H102" s="14" t="s">
        <v>515</v>
      </c>
      <c r="I102" s="14" t="s">
        <v>516</v>
      </c>
      <c r="J102" s="16"/>
      <c r="K102" s="14" t="s">
        <v>522</v>
      </c>
      <c r="L102" s="14" t="s">
        <v>1071</v>
      </c>
      <c r="M102" s="14" t="s">
        <v>519</v>
      </c>
      <c r="N102" s="14" t="s">
        <v>531</v>
      </c>
      <c r="O102" s="260"/>
    </row>
    <row r="103" spans="2:15" x14ac:dyDescent="0.4">
      <c r="B103" s="257" t="s">
        <v>224</v>
      </c>
      <c r="C103" s="14" t="s">
        <v>0</v>
      </c>
      <c r="D103" s="14" t="s">
        <v>563</v>
      </c>
      <c r="E103" s="14" t="s">
        <v>831</v>
      </c>
      <c r="F103" s="14" t="s">
        <v>1072</v>
      </c>
      <c r="G103" s="15">
        <v>2</v>
      </c>
      <c r="H103" s="14" t="s">
        <v>515</v>
      </c>
      <c r="I103" s="14" t="s">
        <v>516</v>
      </c>
      <c r="J103" s="16"/>
      <c r="K103" s="14" t="s">
        <v>517</v>
      </c>
      <c r="L103" s="14" t="s">
        <v>1073</v>
      </c>
      <c r="M103" s="14" t="s">
        <v>519</v>
      </c>
      <c r="N103" s="14" t="s">
        <v>531</v>
      </c>
      <c r="O103" s="260"/>
    </row>
    <row r="104" spans="2:15" ht="27" x14ac:dyDescent="0.4">
      <c r="B104" s="257" t="s">
        <v>225</v>
      </c>
      <c r="C104" s="14" t="s">
        <v>0</v>
      </c>
      <c r="D104" s="14" t="s">
        <v>563</v>
      </c>
      <c r="E104" s="16" t="s">
        <v>1074</v>
      </c>
      <c r="F104" s="14" t="s">
        <v>1075</v>
      </c>
      <c r="G104" s="15">
        <v>2</v>
      </c>
      <c r="H104" s="14" t="s">
        <v>667</v>
      </c>
      <c r="I104" s="14" t="s">
        <v>516</v>
      </c>
      <c r="J104" s="14" t="s">
        <v>769</v>
      </c>
      <c r="K104" s="14" t="s">
        <v>517</v>
      </c>
      <c r="L104" s="14" t="s">
        <v>1076</v>
      </c>
      <c r="M104" s="14" t="s">
        <v>519</v>
      </c>
      <c r="N104" s="14" t="s">
        <v>524</v>
      </c>
      <c r="O104" s="260"/>
    </row>
    <row r="105" spans="2:15" ht="27" x14ac:dyDescent="0.4">
      <c r="B105" s="257" t="s">
        <v>226</v>
      </c>
      <c r="C105" s="14" t="s">
        <v>0</v>
      </c>
      <c r="D105" s="14" t="s">
        <v>563</v>
      </c>
      <c r="E105" s="16" t="s">
        <v>1077</v>
      </c>
      <c r="F105" s="14" t="s">
        <v>1075</v>
      </c>
      <c r="G105" s="15">
        <v>2</v>
      </c>
      <c r="H105" s="14" t="s">
        <v>667</v>
      </c>
      <c r="I105" s="14" t="s">
        <v>516</v>
      </c>
      <c r="J105" s="14" t="s">
        <v>769</v>
      </c>
      <c r="K105" s="14" t="s">
        <v>517</v>
      </c>
      <c r="L105" s="14" t="s">
        <v>1076</v>
      </c>
      <c r="M105" s="14" t="s">
        <v>519</v>
      </c>
      <c r="N105" s="14" t="s">
        <v>524</v>
      </c>
      <c r="O105" s="260"/>
    </row>
    <row r="106" spans="2:15" ht="27" x14ac:dyDescent="0.4">
      <c r="B106" s="257" t="s">
        <v>227</v>
      </c>
      <c r="C106" s="14" t="s">
        <v>0</v>
      </c>
      <c r="D106" s="14" t="s">
        <v>563</v>
      </c>
      <c r="E106" s="16" t="s">
        <v>1078</v>
      </c>
      <c r="F106" s="14" t="s">
        <v>1075</v>
      </c>
      <c r="G106" s="15">
        <v>2</v>
      </c>
      <c r="H106" s="14" t="s">
        <v>667</v>
      </c>
      <c r="I106" s="14" t="s">
        <v>516</v>
      </c>
      <c r="J106" s="14" t="s">
        <v>769</v>
      </c>
      <c r="K106" s="14" t="s">
        <v>517</v>
      </c>
      <c r="L106" s="14" t="s">
        <v>1076</v>
      </c>
      <c r="M106" s="14" t="s">
        <v>519</v>
      </c>
      <c r="N106" s="14" t="s">
        <v>524</v>
      </c>
      <c r="O106" s="260"/>
    </row>
    <row r="107" spans="2:15" ht="27" x14ac:dyDescent="0.4">
      <c r="B107" s="257" t="s">
        <v>228</v>
      </c>
      <c r="C107" s="14" t="s">
        <v>0</v>
      </c>
      <c r="D107" s="14" t="s">
        <v>563</v>
      </c>
      <c r="E107" s="16" t="s">
        <v>1079</v>
      </c>
      <c r="F107" s="14" t="s">
        <v>1075</v>
      </c>
      <c r="G107" s="15">
        <v>2</v>
      </c>
      <c r="H107" s="14" t="s">
        <v>667</v>
      </c>
      <c r="I107" s="14" t="s">
        <v>516</v>
      </c>
      <c r="J107" s="14" t="s">
        <v>769</v>
      </c>
      <c r="K107" s="14" t="s">
        <v>517</v>
      </c>
      <c r="L107" s="14" t="s">
        <v>1076</v>
      </c>
      <c r="M107" s="14" t="s">
        <v>519</v>
      </c>
      <c r="N107" s="14" t="s">
        <v>524</v>
      </c>
      <c r="O107" s="260"/>
    </row>
    <row r="108" spans="2:15" ht="36" x14ac:dyDescent="0.4">
      <c r="B108" s="257" t="s">
        <v>229</v>
      </c>
      <c r="C108" s="14" t="s">
        <v>0</v>
      </c>
      <c r="D108" s="187" t="s">
        <v>512</v>
      </c>
      <c r="E108" s="16" t="s">
        <v>1080</v>
      </c>
      <c r="F108" s="14" t="s">
        <v>1081</v>
      </c>
      <c r="G108" s="15">
        <v>4</v>
      </c>
      <c r="H108" s="14" t="s">
        <v>558</v>
      </c>
      <c r="I108" s="14" t="s">
        <v>516</v>
      </c>
      <c r="J108" s="16"/>
      <c r="K108" s="14" t="s">
        <v>517</v>
      </c>
      <c r="L108" s="14" t="s">
        <v>1082</v>
      </c>
      <c r="M108" s="14" t="s">
        <v>519</v>
      </c>
      <c r="N108" s="14" t="s">
        <v>524</v>
      </c>
      <c r="O108" s="260"/>
    </row>
    <row r="109" spans="2:15" ht="36" x14ac:dyDescent="0.4">
      <c r="B109" s="257" t="s">
        <v>230</v>
      </c>
      <c r="C109" s="14" t="s">
        <v>0</v>
      </c>
      <c r="D109" s="187" t="s">
        <v>512</v>
      </c>
      <c r="E109" s="16" t="s">
        <v>1083</v>
      </c>
      <c r="F109" s="14" t="s">
        <v>1081</v>
      </c>
      <c r="G109" s="15">
        <v>2</v>
      </c>
      <c r="H109" s="14" t="s">
        <v>558</v>
      </c>
      <c r="I109" s="14" t="s">
        <v>516</v>
      </c>
      <c r="J109" s="16"/>
      <c r="K109" s="14" t="s">
        <v>517</v>
      </c>
      <c r="L109" s="14" t="s">
        <v>1082</v>
      </c>
      <c r="M109" s="14" t="s">
        <v>519</v>
      </c>
      <c r="N109" s="14" t="s">
        <v>524</v>
      </c>
      <c r="O109" s="260"/>
    </row>
    <row r="110" spans="2:15" ht="36" x14ac:dyDescent="0.4">
      <c r="B110" s="257" t="s">
        <v>231</v>
      </c>
      <c r="C110" s="14" t="s">
        <v>0</v>
      </c>
      <c r="D110" s="187" t="s">
        <v>512</v>
      </c>
      <c r="E110" s="16" t="s">
        <v>1084</v>
      </c>
      <c r="F110" s="14" t="s">
        <v>1081</v>
      </c>
      <c r="G110" s="15">
        <v>1</v>
      </c>
      <c r="H110" s="14" t="s">
        <v>558</v>
      </c>
      <c r="I110" s="14" t="s">
        <v>516</v>
      </c>
      <c r="J110" s="16"/>
      <c r="K110" s="14" t="s">
        <v>517</v>
      </c>
      <c r="L110" s="14" t="s">
        <v>1082</v>
      </c>
      <c r="M110" s="14" t="s">
        <v>519</v>
      </c>
      <c r="N110" s="14" t="s">
        <v>524</v>
      </c>
      <c r="O110" s="260"/>
    </row>
    <row r="111" spans="2:15" x14ac:dyDescent="0.4">
      <c r="B111" s="257" t="s">
        <v>232</v>
      </c>
      <c r="C111" s="14" t="s">
        <v>0</v>
      </c>
      <c r="D111" s="14" t="s">
        <v>563</v>
      </c>
      <c r="E111" s="14" t="s">
        <v>832</v>
      </c>
      <c r="F111" s="14" t="s">
        <v>233</v>
      </c>
      <c r="G111" s="15">
        <v>2</v>
      </c>
      <c r="H111" s="14" t="s">
        <v>515</v>
      </c>
      <c r="I111" s="14" t="s">
        <v>516</v>
      </c>
      <c r="J111" s="16"/>
      <c r="K111" s="14" t="s">
        <v>522</v>
      </c>
      <c r="L111" s="14" t="s">
        <v>1085</v>
      </c>
      <c r="M111" s="14" t="s">
        <v>519</v>
      </c>
      <c r="N111" s="14" t="s">
        <v>520</v>
      </c>
      <c r="O111" s="260"/>
    </row>
    <row r="112" spans="2:15" x14ac:dyDescent="0.4">
      <c r="B112" s="257" t="s">
        <v>234</v>
      </c>
      <c r="C112" s="14" t="s">
        <v>0</v>
      </c>
      <c r="D112" s="14" t="s">
        <v>563</v>
      </c>
      <c r="E112" s="14" t="s">
        <v>833</v>
      </c>
      <c r="F112" s="14" t="s">
        <v>235</v>
      </c>
      <c r="G112" s="15">
        <v>2</v>
      </c>
      <c r="H112" s="14" t="s">
        <v>515</v>
      </c>
      <c r="I112" s="14" t="s">
        <v>516</v>
      </c>
      <c r="J112" s="16"/>
      <c r="K112" s="14" t="s">
        <v>522</v>
      </c>
      <c r="L112" s="14" t="s">
        <v>1086</v>
      </c>
      <c r="M112" s="14" t="s">
        <v>519</v>
      </c>
      <c r="N112" s="14" t="s">
        <v>531</v>
      </c>
      <c r="O112" s="260"/>
    </row>
    <row r="113" spans="2:15" x14ac:dyDescent="0.4">
      <c r="B113" s="257" t="s">
        <v>236</v>
      </c>
      <c r="C113" s="14" t="s">
        <v>0</v>
      </c>
      <c r="D113" s="14" t="s">
        <v>563</v>
      </c>
      <c r="E113" s="14" t="s">
        <v>834</v>
      </c>
      <c r="F113" s="14" t="s">
        <v>1087</v>
      </c>
      <c r="G113" s="15">
        <v>2</v>
      </c>
      <c r="H113" s="14" t="s">
        <v>515</v>
      </c>
      <c r="I113" s="14" t="s">
        <v>516</v>
      </c>
      <c r="J113" s="16"/>
      <c r="K113" s="14" t="s">
        <v>522</v>
      </c>
      <c r="L113" s="14" t="s">
        <v>1085</v>
      </c>
      <c r="M113" s="14" t="s">
        <v>577</v>
      </c>
      <c r="N113" s="14" t="s">
        <v>520</v>
      </c>
      <c r="O113" s="260"/>
    </row>
    <row r="114" spans="2:15" x14ac:dyDescent="0.4">
      <c r="B114" s="257" t="s">
        <v>237</v>
      </c>
      <c r="C114" s="14" t="s">
        <v>0</v>
      </c>
      <c r="D114" s="14" t="s">
        <v>563</v>
      </c>
      <c r="E114" s="14" t="s">
        <v>835</v>
      </c>
      <c r="F114" s="14" t="s">
        <v>1088</v>
      </c>
      <c r="G114" s="15">
        <v>2</v>
      </c>
      <c r="H114" s="14" t="s">
        <v>515</v>
      </c>
      <c r="I114" s="14" t="s">
        <v>516</v>
      </c>
      <c r="J114" s="16"/>
      <c r="K114" s="14" t="s">
        <v>522</v>
      </c>
      <c r="L114" s="14" t="s">
        <v>1085</v>
      </c>
      <c r="M114" s="14" t="s">
        <v>575</v>
      </c>
      <c r="N114" s="14" t="s">
        <v>520</v>
      </c>
      <c r="O114" s="260"/>
    </row>
    <row r="115" spans="2:15" x14ac:dyDescent="0.4">
      <c r="B115" s="257" t="s">
        <v>238</v>
      </c>
      <c r="C115" s="14" t="s">
        <v>0</v>
      </c>
      <c r="D115" s="14" t="s">
        <v>563</v>
      </c>
      <c r="E115" s="14" t="s">
        <v>836</v>
      </c>
      <c r="F115" s="14" t="s">
        <v>1089</v>
      </c>
      <c r="G115" s="15">
        <v>2</v>
      </c>
      <c r="H115" s="14" t="s">
        <v>515</v>
      </c>
      <c r="I115" s="14" t="s">
        <v>516</v>
      </c>
      <c r="J115" s="16"/>
      <c r="K115" s="14" t="s">
        <v>522</v>
      </c>
      <c r="L115" s="14" t="s">
        <v>1085</v>
      </c>
      <c r="M115" s="14" t="s">
        <v>519</v>
      </c>
      <c r="N115" s="14" t="s">
        <v>531</v>
      </c>
      <c r="O115" s="260"/>
    </row>
    <row r="116" spans="2:15" x14ac:dyDescent="0.4">
      <c r="B116" s="257" t="s">
        <v>239</v>
      </c>
      <c r="C116" s="14" t="s">
        <v>0</v>
      </c>
      <c r="D116" s="14" t="s">
        <v>563</v>
      </c>
      <c r="E116" s="14" t="s">
        <v>837</v>
      </c>
      <c r="F116" s="14" t="s">
        <v>240</v>
      </c>
      <c r="G116" s="15">
        <v>2</v>
      </c>
      <c r="H116" s="14" t="s">
        <v>515</v>
      </c>
      <c r="I116" s="14" t="s">
        <v>516</v>
      </c>
      <c r="J116" s="16"/>
      <c r="K116" s="14" t="s">
        <v>522</v>
      </c>
      <c r="L116" s="14" t="s">
        <v>1085</v>
      </c>
      <c r="M116" s="14" t="s">
        <v>519</v>
      </c>
      <c r="N116" s="14" t="s">
        <v>520</v>
      </c>
      <c r="O116" s="260"/>
    </row>
    <row r="117" spans="2:15" x14ac:dyDescent="0.4">
      <c r="B117" s="257" t="s">
        <v>838</v>
      </c>
      <c r="C117" s="14" t="s">
        <v>0</v>
      </c>
      <c r="D117" s="14" t="s">
        <v>563</v>
      </c>
      <c r="E117" s="16" t="s">
        <v>1090</v>
      </c>
      <c r="F117" s="14" t="s">
        <v>1091</v>
      </c>
      <c r="G117" s="15">
        <v>1</v>
      </c>
      <c r="H117" s="14" t="s">
        <v>515</v>
      </c>
      <c r="I117" s="14" t="s">
        <v>516</v>
      </c>
      <c r="J117" s="16"/>
      <c r="K117" s="14" t="s">
        <v>522</v>
      </c>
      <c r="L117" s="14" t="s">
        <v>1085</v>
      </c>
      <c r="M117" s="14" t="s">
        <v>519</v>
      </c>
      <c r="N117" s="14" t="s">
        <v>524</v>
      </c>
      <c r="O117" s="260"/>
    </row>
    <row r="118" spans="2:15" x14ac:dyDescent="0.4">
      <c r="B118" s="257" t="s">
        <v>839</v>
      </c>
      <c r="C118" s="14" t="s">
        <v>0</v>
      </c>
      <c r="D118" s="14" t="s">
        <v>563</v>
      </c>
      <c r="E118" s="16" t="s">
        <v>1092</v>
      </c>
      <c r="F118" s="14" t="s">
        <v>1091</v>
      </c>
      <c r="G118" s="15">
        <v>1</v>
      </c>
      <c r="H118" s="14" t="s">
        <v>515</v>
      </c>
      <c r="I118" s="14" t="s">
        <v>516</v>
      </c>
      <c r="J118" s="16"/>
      <c r="K118" s="14" t="s">
        <v>522</v>
      </c>
      <c r="L118" s="14" t="s">
        <v>1085</v>
      </c>
      <c r="M118" s="14" t="s">
        <v>519</v>
      </c>
      <c r="N118" s="14" t="s">
        <v>524</v>
      </c>
      <c r="O118" s="260"/>
    </row>
    <row r="119" spans="2:15" x14ac:dyDescent="0.4">
      <c r="B119" s="257" t="s">
        <v>840</v>
      </c>
      <c r="C119" s="14" t="s">
        <v>0</v>
      </c>
      <c r="D119" s="14" t="s">
        <v>563</v>
      </c>
      <c r="E119" s="16" t="s">
        <v>1093</v>
      </c>
      <c r="F119" s="14" t="s">
        <v>1091</v>
      </c>
      <c r="G119" s="15">
        <v>1</v>
      </c>
      <c r="H119" s="14" t="s">
        <v>515</v>
      </c>
      <c r="I119" s="14" t="s">
        <v>516</v>
      </c>
      <c r="J119" s="16"/>
      <c r="K119" s="14" t="s">
        <v>522</v>
      </c>
      <c r="L119" s="14" t="s">
        <v>1085</v>
      </c>
      <c r="M119" s="14" t="s">
        <v>519</v>
      </c>
      <c r="N119" s="14" t="s">
        <v>524</v>
      </c>
      <c r="O119" s="260"/>
    </row>
    <row r="120" spans="2:15" x14ac:dyDescent="0.4">
      <c r="B120" s="257" t="s">
        <v>841</v>
      </c>
      <c r="C120" s="14" t="s">
        <v>0</v>
      </c>
      <c r="D120" s="14" t="s">
        <v>563</v>
      </c>
      <c r="E120" s="16" t="s">
        <v>1094</v>
      </c>
      <c r="F120" s="14" t="s">
        <v>1091</v>
      </c>
      <c r="G120" s="15">
        <v>1</v>
      </c>
      <c r="H120" s="14" t="s">
        <v>515</v>
      </c>
      <c r="I120" s="14" t="s">
        <v>516</v>
      </c>
      <c r="J120" s="16"/>
      <c r="K120" s="14" t="s">
        <v>522</v>
      </c>
      <c r="L120" s="14" t="s">
        <v>1085</v>
      </c>
      <c r="M120" s="14" t="s">
        <v>519</v>
      </c>
      <c r="N120" s="14" t="s">
        <v>524</v>
      </c>
      <c r="O120" s="260"/>
    </row>
    <row r="121" spans="2:15" ht="27" x14ac:dyDescent="0.4">
      <c r="B121" s="257" t="s">
        <v>241</v>
      </c>
      <c r="C121" s="14" t="s">
        <v>0</v>
      </c>
      <c r="D121" s="14" t="s">
        <v>563</v>
      </c>
      <c r="E121" s="14" t="s">
        <v>842</v>
      </c>
      <c r="F121" s="14" t="s">
        <v>1095</v>
      </c>
      <c r="G121" s="15">
        <v>4</v>
      </c>
      <c r="H121" s="14" t="s">
        <v>515</v>
      </c>
      <c r="I121" s="14" t="s">
        <v>516</v>
      </c>
      <c r="J121" s="16"/>
      <c r="K121" s="14" t="s">
        <v>522</v>
      </c>
      <c r="L121" s="14" t="s">
        <v>1086</v>
      </c>
      <c r="M121" s="14" t="s">
        <v>519</v>
      </c>
      <c r="N121" s="14" t="s">
        <v>520</v>
      </c>
      <c r="O121" s="260"/>
    </row>
    <row r="122" spans="2:15" ht="27" x14ac:dyDescent="0.4">
      <c r="B122" s="257" t="s">
        <v>242</v>
      </c>
      <c r="C122" s="14" t="s">
        <v>0</v>
      </c>
      <c r="D122" s="14" t="s">
        <v>563</v>
      </c>
      <c r="E122" s="14" t="s">
        <v>843</v>
      </c>
      <c r="F122" s="14" t="s">
        <v>1095</v>
      </c>
      <c r="G122" s="15">
        <v>2</v>
      </c>
      <c r="H122" s="14" t="s">
        <v>515</v>
      </c>
      <c r="I122" s="14" t="s">
        <v>516</v>
      </c>
      <c r="J122" s="16"/>
      <c r="K122" s="14" t="s">
        <v>522</v>
      </c>
      <c r="L122" s="14" t="s">
        <v>1086</v>
      </c>
      <c r="M122" s="14" t="s">
        <v>519</v>
      </c>
      <c r="N122" s="14" t="s">
        <v>520</v>
      </c>
      <c r="O122" s="260"/>
    </row>
    <row r="123" spans="2:15" ht="27" x14ac:dyDescent="0.4">
      <c r="B123" s="257" t="s">
        <v>243</v>
      </c>
      <c r="C123" s="14" t="s">
        <v>0</v>
      </c>
      <c r="D123" s="14" t="s">
        <v>563</v>
      </c>
      <c r="E123" s="14" t="s">
        <v>844</v>
      </c>
      <c r="F123" s="14" t="s">
        <v>1095</v>
      </c>
      <c r="G123" s="15">
        <v>4</v>
      </c>
      <c r="H123" s="14" t="s">
        <v>515</v>
      </c>
      <c r="I123" s="14" t="s">
        <v>516</v>
      </c>
      <c r="J123" s="16"/>
      <c r="K123" s="14" t="s">
        <v>522</v>
      </c>
      <c r="L123" s="14" t="s">
        <v>1086</v>
      </c>
      <c r="M123" s="14" t="s">
        <v>519</v>
      </c>
      <c r="N123" s="14" t="s">
        <v>531</v>
      </c>
      <c r="O123" s="260"/>
    </row>
    <row r="124" spans="2:15" ht="27" x14ac:dyDescent="0.4">
      <c r="B124" s="257" t="s">
        <v>244</v>
      </c>
      <c r="C124" s="14" t="s">
        <v>0</v>
      </c>
      <c r="D124" s="14" t="s">
        <v>563</v>
      </c>
      <c r="E124" s="14" t="s">
        <v>845</v>
      </c>
      <c r="F124" s="14" t="s">
        <v>1095</v>
      </c>
      <c r="G124" s="15">
        <v>2</v>
      </c>
      <c r="H124" s="14" t="s">
        <v>515</v>
      </c>
      <c r="I124" s="14" t="s">
        <v>516</v>
      </c>
      <c r="J124" s="16"/>
      <c r="K124" s="14" t="s">
        <v>522</v>
      </c>
      <c r="L124" s="14" t="s">
        <v>1086</v>
      </c>
      <c r="M124" s="14" t="s">
        <v>519</v>
      </c>
      <c r="N124" s="14" t="s">
        <v>531</v>
      </c>
      <c r="O124" s="260"/>
    </row>
    <row r="125" spans="2:15" x14ac:dyDescent="0.4">
      <c r="B125" s="257" t="s">
        <v>245</v>
      </c>
      <c r="C125" s="14" t="s">
        <v>0</v>
      </c>
      <c r="D125" s="14" t="s">
        <v>563</v>
      </c>
      <c r="E125" s="14" t="s">
        <v>846</v>
      </c>
      <c r="F125" s="14" t="s">
        <v>246</v>
      </c>
      <c r="G125" s="15">
        <v>2</v>
      </c>
      <c r="H125" s="14" t="s">
        <v>515</v>
      </c>
      <c r="I125" s="14" t="s">
        <v>516</v>
      </c>
      <c r="J125" s="16"/>
      <c r="K125" s="14" t="s">
        <v>522</v>
      </c>
      <c r="L125" s="14" t="s">
        <v>1053</v>
      </c>
      <c r="M125" s="14" t="s">
        <v>519</v>
      </c>
      <c r="N125" s="14" t="s">
        <v>531</v>
      </c>
      <c r="O125" s="260"/>
    </row>
    <row r="126" spans="2:15" x14ac:dyDescent="0.4">
      <c r="B126" s="257" t="s">
        <v>247</v>
      </c>
      <c r="C126" s="14" t="s">
        <v>0</v>
      </c>
      <c r="D126" s="14" t="s">
        <v>563</v>
      </c>
      <c r="E126" s="14" t="s">
        <v>847</v>
      </c>
      <c r="F126" s="14" t="s">
        <v>248</v>
      </c>
      <c r="G126" s="15">
        <v>2</v>
      </c>
      <c r="H126" s="14" t="s">
        <v>515</v>
      </c>
      <c r="I126" s="14" t="s">
        <v>516</v>
      </c>
      <c r="J126" s="16"/>
      <c r="K126" s="14" t="s">
        <v>522</v>
      </c>
      <c r="L126" s="14" t="s">
        <v>1053</v>
      </c>
      <c r="M126" s="14" t="s">
        <v>519</v>
      </c>
      <c r="N126" s="14" t="s">
        <v>531</v>
      </c>
      <c r="O126" s="260"/>
    </row>
    <row r="127" spans="2:15" x14ac:dyDescent="0.4">
      <c r="B127" s="257" t="s">
        <v>249</v>
      </c>
      <c r="C127" s="14" t="s">
        <v>0</v>
      </c>
      <c r="D127" s="14" t="s">
        <v>563</v>
      </c>
      <c r="E127" s="14" t="s">
        <v>848</v>
      </c>
      <c r="F127" s="14" t="s">
        <v>250</v>
      </c>
      <c r="G127" s="15">
        <v>2</v>
      </c>
      <c r="H127" s="14" t="s">
        <v>515</v>
      </c>
      <c r="I127" s="14" t="s">
        <v>516</v>
      </c>
      <c r="J127" s="16"/>
      <c r="K127" s="14" t="s">
        <v>522</v>
      </c>
      <c r="L127" s="14" t="s">
        <v>1053</v>
      </c>
      <c r="M127" s="14" t="s">
        <v>519</v>
      </c>
      <c r="N127" s="14" t="s">
        <v>520</v>
      </c>
      <c r="O127" s="260"/>
    </row>
    <row r="128" spans="2:15" x14ac:dyDescent="0.4">
      <c r="B128" s="257" t="s">
        <v>251</v>
      </c>
      <c r="C128" s="14" t="s">
        <v>0</v>
      </c>
      <c r="D128" s="14" t="s">
        <v>563</v>
      </c>
      <c r="E128" s="14" t="s">
        <v>849</v>
      </c>
      <c r="F128" s="14" t="s">
        <v>252</v>
      </c>
      <c r="G128" s="15">
        <v>2</v>
      </c>
      <c r="H128" s="14" t="s">
        <v>515</v>
      </c>
      <c r="I128" s="14" t="s">
        <v>516</v>
      </c>
      <c r="J128" s="16"/>
      <c r="K128" s="14" t="s">
        <v>522</v>
      </c>
      <c r="L128" s="14" t="s">
        <v>1053</v>
      </c>
      <c r="M128" s="14" t="s">
        <v>519</v>
      </c>
      <c r="N128" s="14" t="s">
        <v>520</v>
      </c>
      <c r="O128" s="260"/>
    </row>
    <row r="129" spans="2:15" x14ac:dyDescent="0.4">
      <c r="B129" s="257" t="s">
        <v>253</v>
      </c>
      <c r="C129" s="14" t="s">
        <v>0</v>
      </c>
      <c r="D129" s="14" t="s">
        <v>563</v>
      </c>
      <c r="E129" s="14" t="s">
        <v>850</v>
      </c>
      <c r="F129" s="14" t="s">
        <v>254</v>
      </c>
      <c r="G129" s="15">
        <v>2</v>
      </c>
      <c r="H129" s="14" t="s">
        <v>515</v>
      </c>
      <c r="I129" s="14" t="s">
        <v>161</v>
      </c>
      <c r="J129" s="16"/>
      <c r="K129" s="14" t="s">
        <v>522</v>
      </c>
      <c r="L129" s="14" t="s">
        <v>1086</v>
      </c>
      <c r="M129" s="14" t="s">
        <v>519</v>
      </c>
      <c r="N129" s="14" t="s">
        <v>531</v>
      </c>
      <c r="O129" s="260"/>
    </row>
    <row r="130" spans="2:15" ht="27" x14ac:dyDescent="0.4">
      <c r="B130" s="257" t="s">
        <v>255</v>
      </c>
      <c r="C130" s="14" t="s">
        <v>0</v>
      </c>
      <c r="D130" s="14" t="s">
        <v>563</v>
      </c>
      <c r="E130" s="16" t="s">
        <v>1096</v>
      </c>
      <c r="F130" s="14" t="s">
        <v>1097</v>
      </c>
      <c r="G130" s="15">
        <v>2</v>
      </c>
      <c r="H130" s="14" t="s">
        <v>667</v>
      </c>
      <c r="I130" s="15">
        <v>1</v>
      </c>
      <c r="J130" s="14" t="s">
        <v>769</v>
      </c>
      <c r="K130" s="14" t="s">
        <v>517</v>
      </c>
      <c r="L130" s="14" t="s">
        <v>1098</v>
      </c>
      <c r="M130" s="14" t="s">
        <v>519</v>
      </c>
      <c r="N130" s="14" t="s">
        <v>524</v>
      </c>
      <c r="O130" s="260"/>
    </row>
    <row r="131" spans="2:15" ht="27" x14ac:dyDescent="0.4">
      <c r="B131" s="257" t="s">
        <v>256</v>
      </c>
      <c r="C131" s="14" t="s">
        <v>0</v>
      </c>
      <c r="D131" s="14" t="s">
        <v>563</v>
      </c>
      <c r="E131" s="16" t="s">
        <v>1099</v>
      </c>
      <c r="F131" s="14" t="s">
        <v>1097</v>
      </c>
      <c r="G131" s="15">
        <v>2</v>
      </c>
      <c r="H131" s="14" t="s">
        <v>667</v>
      </c>
      <c r="I131" s="15">
        <v>1</v>
      </c>
      <c r="J131" s="14" t="s">
        <v>769</v>
      </c>
      <c r="K131" s="14" t="s">
        <v>517</v>
      </c>
      <c r="L131" s="14" t="s">
        <v>1098</v>
      </c>
      <c r="M131" s="14" t="s">
        <v>519</v>
      </c>
      <c r="N131" s="14" t="s">
        <v>524</v>
      </c>
      <c r="O131" s="260"/>
    </row>
    <row r="132" spans="2:15" x14ac:dyDescent="0.4">
      <c r="B132" s="257" t="s">
        <v>257</v>
      </c>
      <c r="C132" s="14" t="s">
        <v>0</v>
      </c>
      <c r="D132" s="14" t="s">
        <v>563</v>
      </c>
      <c r="E132" s="16" t="s">
        <v>1100</v>
      </c>
      <c r="F132" s="14" t="s">
        <v>258</v>
      </c>
      <c r="G132" s="15">
        <v>2</v>
      </c>
      <c r="H132" s="14" t="s">
        <v>667</v>
      </c>
      <c r="I132" s="14" t="s">
        <v>1060</v>
      </c>
      <c r="J132" s="14" t="s">
        <v>769</v>
      </c>
      <c r="K132" s="14" t="s">
        <v>517</v>
      </c>
      <c r="L132" s="14" t="s">
        <v>1098</v>
      </c>
      <c r="M132" s="14" t="s">
        <v>519</v>
      </c>
      <c r="N132" s="14" t="s">
        <v>524</v>
      </c>
      <c r="O132" s="260"/>
    </row>
    <row r="133" spans="2:15" x14ac:dyDescent="0.4">
      <c r="B133" s="257" t="s">
        <v>259</v>
      </c>
      <c r="C133" s="14" t="s">
        <v>0</v>
      </c>
      <c r="D133" s="14" t="s">
        <v>563</v>
      </c>
      <c r="E133" s="16" t="s">
        <v>1101</v>
      </c>
      <c r="F133" s="14" t="s">
        <v>258</v>
      </c>
      <c r="G133" s="15">
        <v>2</v>
      </c>
      <c r="H133" s="14" t="s">
        <v>667</v>
      </c>
      <c r="I133" s="14" t="s">
        <v>1060</v>
      </c>
      <c r="J133" s="14" t="s">
        <v>769</v>
      </c>
      <c r="K133" s="14" t="s">
        <v>517</v>
      </c>
      <c r="L133" s="14" t="s">
        <v>1098</v>
      </c>
      <c r="M133" s="14" t="s">
        <v>519</v>
      </c>
      <c r="N133" s="14" t="s">
        <v>524</v>
      </c>
      <c r="O133" s="260"/>
    </row>
    <row r="134" spans="2:15" ht="27" x14ac:dyDescent="0.4">
      <c r="B134" s="257" t="s">
        <v>260</v>
      </c>
      <c r="C134" s="14" t="s">
        <v>0</v>
      </c>
      <c r="D134" s="187" t="s">
        <v>512</v>
      </c>
      <c r="E134" s="16" t="s">
        <v>1102</v>
      </c>
      <c r="F134" s="14" t="s">
        <v>1097</v>
      </c>
      <c r="G134" s="15">
        <v>2</v>
      </c>
      <c r="H134" s="14" t="s">
        <v>667</v>
      </c>
      <c r="I134" s="14" t="s">
        <v>516</v>
      </c>
      <c r="J134" s="16"/>
      <c r="K134" s="14" t="s">
        <v>517</v>
      </c>
      <c r="L134" s="14" t="s">
        <v>1103</v>
      </c>
      <c r="M134" s="14" t="s">
        <v>519</v>
      </c>
      <c r="N134" s="14" t="s">
        <v>524</v>
      </c>
      <c r="O134" s="260"/>
    </row>
    <row r="135" spans="2:15" ht="27" x14ac:dyDescent="0.4">
      <c r="B135" s="257" t="s">
        <v>261</v>
      </c>
      <c r="C135" s="14" t="s">
        <v>0</v>
      </c>
      <c r="D135" s="187" t="s">
        <v>512</v>
      </c>
      <c r="E135" s="16" t="s">
        <v>1104</v>
      </c>
      <c r="F135" s="14" t="s">
        <v>1097</v>
      </c>
      <c r="G135" s="15">
        <v>2</v>
      </c>
      <c r="H135" s="14" t="s">
        <v>667</v>
      </c>
      <c r="I135" s="14" t="s">
        <v>516</v>
      </c>
      <c r="J135" s="16"/>
      <c r="K135" s="14" t="s">
        <v>522</v>
      </c>
      <c r="L135" s="14" t="s">
        <v>1103</v>
      </c>
      <c r="M135" s="14" t="s">
        <v>519</v>
      </c>
      <c r="N135" s="14" t="s">
        <v>524</v>
      </c>
      <c r="O135" s="260"/>
    </row>
    <row r="136" spans="2:15" ht="36" x14ac:dyDescent="0.4">
      <c r="B136" s="257" t="s">
        <v>262</v>
      </c>
      <c r="C136" s="14" t="s">
        <v>0</v>
      </c>
      <c r="D136" s="187" t="s">
        <v>512</v>
      </c>
      <c r="E136" s="16" t="s">
        <v>1105</v>
      </c>
      <c r="F136" s="14" t="s">
        <v>1106</v>
      </c>
      <c r="G136" s="15">
        <v>4</v>
      </c>
      <c r="H136" s="14" t="s">
        <v>667</v>
      </c>
      <c r="I136" s="14" t="s">
        <v>516</v>
      </c>
      <c r="J136" s="16"/>
      <c r="K136" s="14" t="s">
        <v>517</v>
      </c>
      <c r="L136" s="14" t="s">
        <v>1103</v>
      </c>
      <c r="M136" s="14" t="s">
        <v>519</v>
      </c>
      <c r="N136" s="14" t="s">
        <v>524</v>
      </c>
      <c r="O136" s="260"/>
    </row>
    <row r="137" spans="2:15" ht="36" x14ac:dyDescent="0.4">
      <c r="B137" s="257" t="s">
        <v>263</v>
      </c>
      <c r="C137" s="14" t="s">
        <v>0</v>
      </c>
      <c r="D137" s="187" t="s">
        <v>512</v>
      </c>
      <c r="E137" s="16" t="s">
        <v>1107</v>
      </c>
      <c r="F137" s="14" t="s">
        <v>1106</v>
      </c>
      <c r="G137" s="15">
        <v>4</v>
      </c>
      <c r="H137" s="14" t="s">
        <v>667</v>
      </c>
      <c r="I137" s="14" t="s">
        <v>516</v>
      </c>
      <c r="J137" s="16"/>
      <c r="K137" s="14" t="s">
        <v>517</v>
      </c>
      <c r="L137" s="14" t="s">
        <v>1103</v>
      </c>
      <c r="M137" s="14" t="s">
        <v>519</v>
      </c>
      <c r="N137" s="14" t="s">
        <v>524</v>
      </c>
      <c r="O137" s="260"/>
    </row>
    <row r="138" spans="2:15" ht="36" x14ac:dyDescent="0.4">
      <c r="B138" s="257" t="s">
        <v>264</v>
      </c>
      <c r="C138" s="14" t="s">
        <v>0</v>
      </c>
      <c r="D138" s="187" t="s">
        <v>512</v>
      </c>
      <c r="E138" s="16" t="s">
        <v>1108</v>
      </c>
      <c r="F138" s="14" t="s">
        <v>1106</v>
      </c>
      <c r="G138" s="15">
        <v>4</v>
      </c>
      <c r="H138" s="14" t="s">
        <v>558</v>
      </c>
      <c r="I138" s="14" t="s">
        <v>516</v>
      </c>
      <c r="J138" s="16"/>
      <c r="K138" s="14" t="s">
        <v>522</v>
      </c>
      <c r="L138" s="14" t="s">
        <v>1103</v>
      </c>
      <c r="M138" s="14" t="s">
        <v>519</v>
      </c>
      <c r="N138" s="14" t="s">
        <v>524</v>
      </c>
      <c r="O138" s="260"/>
    </row>
    <row r="139" spans="2:15" ht="36" x14ac:dyDescent="0.4">
      <c r="B139" s="257" t="s">
        <v>265</v>
      </c>
      <c r="C139" s="14" t="s">
        <v>0</v>
      </c>
      <c r="D139" s="187" t="s">
        <v>512</v>
      </c>
      <c r="E139" s="16" t="s">
        <v>1109</v>
      </c>
      <c r="F139" s="14" t="s">
        <v>1106</v>
      </c>
      <c r="G139" s="15">
        <v>2</v>
      </c>
      <c r="H139" s="14" t="s">
        <v>558</v>
      </c>
      <c r="I139" s="14" t="s">
        <v>516</v>
      </c>
      <c r="J139" s="16"/>
      <c r="K139" s="14" t="s">
        <v>522</v>
      </c>
      <c r="L139" s="14" t="s">
        <v>1103</v>
      </c>
      <c r="M139" s="14" t="s">
        <v>519</v>
      </c>
      <c r="N139" s="14" t="s">
        <v>524</v>
      </c>
      <c r="O139" s="260"/>
    </row>
    <row r="140" spans="2:15" ht="36" x14ac:dyDescent="0.4">
      <c r="B140" s="257" t="s">
        <v>266</v>
      </c>
      <c r="C140" s="14" t="s">
        <v>0</v>
      </c>
      <c r="D140" s="187" t="s">
        <v>512</v>
      </c>
      <c r="E140" s="16" t="s">
        <v>1110</v>
      </c>
      <c r="F140" s="14" t="s">
        <v>1106</v>
      </c>
      <c r="G140" s="15">
        <v>1</v>
      </c>
      <c r="H140" s="14" t="s">
        <v>558</v>
      </c>
      <c r="I140" s="14" t="s">
        <v>516</v>
      </c>
      <c r="J140" s="16"/>
      <c r="K140" s="14" t="s">
        <v>522</v>
      </c>
      <c r="L140" s="14" t="s">
        <v>1103</v>
      </c>
      <c r="M140" s="14" t="s">
        <v>519</v>
      </c>
      <c r="N140" s="14" t="s">
        <v>524</v>
      </c>
      <c r="O140" s="260"/>
    </row>
    <row r="141" spans="2:15" x14ac:dyDescent="0.4">
      <c r="B141" s="257" t="s">
        <v>267</v>
      </c>
      <c r="C141" s="14" t="s">
        <v>0</v>
      </c>
      <c r="D141" s="14" t="s">
        <v>563</v>
      </c>
      <c r="E141" s="16" t="s">
        <v>1111</v>
      </c>
      <c r="F141" s="14" t="s">
        <v>268</v>
      </c>
      <c r="G141" s="15">
        <v>2</v>
      </c>
      <c r="H141" s="14" t="s">
        <v>667</v>
      </c>
      <c r="I141" s="14" t="s">
        <v>1060</v>
      </c>
      <c r="J141" s="14" t="s">
        <v>769</v>
      </c>
      <c r="K141" s="14" t="s">
        <v>522</v>
      </c>
      <c r="L141" s="14" t="s">
        <v>1112</v>
      </c>
      <c r="M141" s="14" t="s">
        <v>519</v>
      </c>
      <c r="N141" s="14" t="s">
        <v>524</v>
      </c>
      <c r="O141" s="260"/>
    </row>
    <row r="142" spans="2:15" x14ac:dyDescent="0.4">
      <c r="B142" s="257" t="s">
        <v>269</v>
      </c>
      <c r="C142" s="14" t="s">
        <v>0</v>
      </c>
      <c r="D142" s="14" t="s">
        <v>563</v>
      </c>
      <c r="E142" s="16" t="s">
        <v>1113</v>
      </c>
      <c r="F142" s="14" t="s">
        <v>268</v>
      </c>
      <c r="G142" s="15">
        <v>2</v>
      </c>
      <c r="H142" s="14" t="s">
        <v>667</v>
      </c>
      <c r="I142" s="14" t="s">
        <v>1060</v>
      </c>
      <c r="J142" s="14" t="s">
        <v>769</v>
      </c>
      <c r="K142" s="14" t="s">
        <v>522</v>
      </c>
      <c r="L142" s="14" t="s">
        <v>1112</v>
      </c>
      <c r="M142" s="14" t="s">
        <v>519</v>
      </c>
      <c r="N142" s="14" t="s">
        <v>524</v>
      </c>
      <c r="O142" s="260"/>
    </row>
    <row r="143" spans="2:15" x14ac:dyDescent="0.4">
      <c r="B143" s="258"/>
      <c r="C143" s="186"/>
      <c r="D143" s="186" t="s">
        <v>797</v>
      </c>
      <c r="E143" s="186"/>
      <c r="F143" s="186" t="s">
        <v>1114</v>
      </c>
      <c r="G143" s="186"/>
      <c r="H143" s="186"/>
      <c r="I143" s="186"/>
      <c r="J143" s="186"/>
      <c r="K143" s="186"/>
      <c r="L143" s="186"/>
      <c r="M143" s="186"/>
      <c r="N143" s="186"/>
      <c r="O143" s="262"/>
    </row>
    <row r="144" spans="2:15" x14ac:dyDescent="0.4">
      <c r="B144" s="259" t="s">
        <v>502</v>
      </c>
      <c r="C144" s="185"/>
      <c r="D144" s="185" t="s">
        <v>1030</v>
      </c>
      <c r="E144" s="185" t="s">
        <v>501</v>
      </c>
      <c r="F144" s="185" t="s">
        <v>503</v>
      </c>
      <c r="G144" s="185" t="s">
        <v>1031</v>
      </c>
      <c r="H144" s="185" t="s">
        <v>504</v>
      </c>
      <c r="I144" s="185" t="s">
        <v>505</v>
      </c>
      <c r="J144" s="185" t="s">
        <v>506</v>
      </c>
      <c r="K144" s="185" t="s">
        <v>507</v>
      </c>
      <c r="L144" s="185" t="s">
        <v>508</v>
      </c>
      <c r="M144" s="185" t="s">
        <v>509</v>
      </c>
      <c r="N144" s="185" t="s">
        <v>510</v>
      </c>
      <c r="O144" s="263" t="s">
        <v>511</v>
      </c>
    </row>
    <row r="145" spans="2:15" x14ac:dyDescent="0.4">
      <c r="B145" s="257" t="s">
        <v>270</v>
      </c>
      <c r="C145" s="14" t="s">
        <v>57</v>
      </c>
      <c r="D145" s="18" t="s">
        <v>565</v>
      </c>
      <c r="E145" s="14" t="s">
        <v>851</v>
      </c>
      <c r="F145" s="14" t="s">
        <v>271</v>
      </c>
      <c r="G145" s="15">
        <v>2</v>
      </c>
      <c r="H145" s="14" t="s">
        <v>515</v>
      </c>
      <c r="I145" s="14" t="s">
        <v>516</v>
      </c>
      <c r="J145" s="16"/>
      <c r="K145" s="14" t="s">
        <v>522</v>
      </c>
      <c r="L145" s="14" t="s">
        <v>1115</v>
      </c>
      <c r="M145" s="14" t="s">
        <v>577</v>
      </c>
      <c r="N145" s="14" t="s">
        <v>520</v>
      </c>
      <c r="O145" s="260"/>
    </row>
    <row r="146" spans="2:15" x14ac:dyDescent="0.4">
      <c r="B146" s="257" t="s">
        <v>272</v>
      </c>
      <c r="C146" s="14" t="s">
        <v>57</v>
      </c>
      <c r="D146" s="18" t="s">
        <v>565</v>
      </c>
      <c r="E146" s="14" t="s">
        <v>852</v>
      </c>
      <c r="F146" s="14" t="s">
        <v>273</v>
      </c>
      <c r="G146" s="15">
        <v>2</v>
      </c>
      <c r="H146" s="14" t="s">
        <v>515</v>
      </c>
      <c r="I146" s="14" t="s">
        <v>516</v>
      </c>
      <c r="J146" s="16"/>
      <c r="K146" s="14" t="s">
        <v>522</v>
      </c>
      <c r="L146" s="14" t="s">
        <v>1116</v>
      </c>
      <c r="M146" s="14" t="s">
        <v>577</v>
      </c>
      <c r="N146" s="14" t="s">
        <v>520</v>
      </c>
      <c r="O146" s="260"/>
    </row>
    <row r="147" spans="2:15" x14ac:dyDescent="0.4">
      <c r="B147" s="257" t="s">
        <v>274</v>
      </c>
      <c r="C147" s="14" t="s">
        <v>57</v>
      </c>
      <c r="D147" s="18" t="s">
        <v>565</v>
      </c>
      <c r="E147" s="14" t="s">
        <v>853</v>
      </c>
      <c r="F147" s="14" t="s">
        <v>275</v>
      </c>
      <c r="G147" s="15">
        <v>2</v>
      </c>
      <c r="H147" s="14" t="s">
        <v>515</v>
      </c>
      <c r="I147" s="14" t="s">
        <v>516</v>
      </c>
      <c r="J147" s="16"/>
      <c r="K147" s="14" t="s">
        <v>522</v>
      </c>
      <c r="L147" s="14" t="s">
        <v>1117</v>
      </c>
      <c r="M147" s="14" t="s">
        <v>575</v>
      </c>
      <c r="N147" s="14" t="s">
        <v>531</v>
      </c>
      <c r="O147" s="260"/>
    </row>
    <row r="148" spans="2:15" x14ac:dyDescent="0.4">
      <c r="B148" s="257" t="s">
        <v>276</v>
      </c>
      <c r="C148" s="14" t="s">
        <v>57</v>
      </c>
      <c r="D148" s="18" t="s">
        <v>565</v>
      </c>
      <c r="E148" s="14" t="s">
        <v>854</v>
      </c>
      <c r="F148" s="14" t="s">
        <v>1118</v>
      </c>
      <c r="G148" s="15">
        <v>2</v>
      </c>
      <c r="H148" s="14" t="s">
        <v>515</v>
      </c>
      <c r="I148" s="14" t="s">
        <v>516</v>
      </c>
      <c r="J148" s="16"/>
      <c r="K148" s="14" t="s">
        <v>517</v>
      </c>
      <c r="L148" s="14" t="s">
        <v>1119</v>
      </c>
      <c r="M148" s="14" t="s">
        <v>519</v>
      </c>
      <c r="N148" s="14" t="s">
        <v>520</v>
      </c>
      <c r="O148" s="260"/>
    </row>
    <row r="149" spans="2:15" x14ac:dyDescent="0.4">
      <c r="B149" s="257" t="s">
        <v>277</v>
      </c>
      <c r="C149" s="14" t="s">
        <v>57</v>
      </c>
      <c r="D149" s="14" t="s">
        <v>563</v>
      </c>
      <c r="E149" s="14" t="s">
        <v>855</v>
      </c>
      <c r="F149" s="14" t="s">
        <v>1120</v>
      </c>
      <c r="G149" s="15">
        <v>2</v>
      </c>
      <c r="H149" s="14" t="s">
        <v>515</v>
      </c>
      <c r="I149" s="14" t="s">
        <v>516</v>
      </c>
      <c r="J149" s="16"/>
      <c r="K149" s="14" t="s">
        <v>522</v>
      </c>
      <c r="L149" s="14" t="s">
        <v>1121</v>
      </c>
      <c r="M149" s="14" t="s">
        <v>519</v>
      </c>
      <c r="N149" s="14" t="s">
        <v>531</v>
      </c>
      <c r="O149" s="260"/>
    </row>
    <row r="150" spans="2:15" x14ac:dyDescent="0.4">
      <c r="B150" s="257" t="s">
        <v>278</v>
      </c>
      <c r="C150" s="14" t="s">
        <v>57</v>
      </c>
      <c r="D150" s="14" t="s">
        <v>563</v>
      </c>
      <c r="E150" s="14" t="s">
        <v>856</v>
      </c>
      <c r="F150" s="14" t="s">
        <v>279</v>
      </c>
      <c r="G150" s="15">
        <v>2</v>
      </c>
      <c r="H150" s="14" t="s">
        <v>515</v>
      </c>
      <c r="I150" s="14" t="s">
        <v>516</v>
      </c>
      <c r="J150" s="16"/>
      <c r="K150" s="14" t="s">
        <v>522</v>
      </c>
      <c r="L150" s="14" t="s">
        <v>1119</v>
      </c>
      <c r="M150" s="14" t="s">
        <v>575</v>
      </c>
      <c r="N150" s="14" t="s">
        <v>531</v>
      </c>
      <c r="O150" s="260"/>
    </row>
    <row r="151" spans="2:15" x14ac:dyDescent="0.4">
      <c r="B151" s="257" t="s">
        <v>280</v>
      </c>
      <c r="C151" s="14" t="s">
        <v>57</v>
      </c>
      <c r="D151" s="14" t="s">
        <v>563</v>
      </c>
      <c r="E151" s="14" t="s">
        <v>857</v>
      </c>
      <c r="F151" s="14" t="s">
        <v>281</v>
      </c>
      <c r="G151" s="15">
        <v>2</v>
      </c>
      <c r="H151" s="14" t="s">
        <v>515</v>
      </c>
      <c r="I151" s="14" t="s">
        <v>516</v>
      </c>
      <c r="J151" s="16"/>
      <c r="K151" s="14" t="s">
        <v>522</v>
      </c>
      <c r="L151" s="14" t="s">
        <v>1122</v>
      </c>
      <c r="M151" s="14" t="s">
        <v>575</v>
      </c>
      <c r="N151" s="14" t="s">
        <v>520</v>
      </c>
      <c r="O151" s="260"/>
    </row>
    <row r="152" spans="2:15" x14ac:dyDescent="0.4">
      <c r="B152" s="257" t="s">
        <v>282</v>
      </c>
      <c r="C152" s="14" t="s">
        <v>57</v>
      </c>
      <c r="D152" s="14" t="s">
        <v>563</v>
      </c>
      <c r="E152" s="14" t="s">
        <v>858</v>
      </c>
      <c r="F152" s="14" t="s">
        <v>1123</v>
      </c>
      <c r="G152" s="15">
        <v>2</v>
      </c>
      <c r="H152" s="14" t="s">
        <v>515</v>
      </c>
      <c r="I152" s="14" t="s">
        <v>516</v>
      </c>
      <c r="J152" s="16"/>
      <c r="K152" s="14" t="s">
        <v>522</v>
      </c>
      <c r="L152" s="14" t="s">
        <v>1121</v>
      </c>
      <c r="M152" s="14" t="s">
        <v>519</v>
      </c>
      <c r="N152" s="14" t="s">
        <v>520</v>
      </c>
      <c r="O152" s="260"/>
    </row>
    <row r="153" spans="2:15" x14ac:dyDescent="0.4">
      <c r="B153" s="257" t="s">
        <v>283</v>
      </c>
      <c r="C153" s="14" t="s">
        <v>57</v>
      </c>
      <c r="D153" s="14" t="s">
        <v>563</v>
      </c>
      <c r="E153" s="14" t="s">
        <v>859</v>
      </c>
      <c r="F153" s="14" t="s">
        <v>284</v>
      </c>
      <c r="G153" s="15">
        <v>2</v>
      </c>
      <c r="H153" s="14" t="s">
        <v>515</v>
      </c>
      <c r="I153" s="14" t="s">
        <v>516</v>
      </c>
      <c r="J153" s="16"/>
      <c r="K153" s="14" t="s">
        <v>522</v>
      </c>
      <c r="L153" s="14" t="s">
        <v>1124</v>
      </c>
      <c r="M153" s="14" t="s">
        <v>519</v>
      </c>
      <c r="N153" s="14" t="s">
        <v>531</v>
      </c>
      <c r="O153" s="260"/>
    </row>
    <row r="154" spans="2:15" x14ac:dyDescent="0.4">
      <c r="B154" s="257" t="s">
        <v>285</v>
      </c>
      <c r="C154" s="14" t="s">
        <v>57</v>
      </c>
      <c r="D154" s="18" t="s">
        <v>565</v>
      </c>
      <c r="E154" s="14" t="s">
        <v>860</v>
      </c>
      <c r="F154" s="14" t="s">
        <v>286</v>
      </c>
      <c r="G154" s="15">
        <v>2</v>
      </c>
      <c r="H154" s="14" t="s">
        <v>515</v>
      </c>
      <c r="I154" s="14" t="s">
        <v>516</v>
      </c>
      <c r="J154" s="16"/>
      <c r="K154" s="14" t="s">
        <v>522</v>
      </c>
      <c r="L154" s="14" t="s">
        <v>1125</v>
      </c>
      <c r="M154" s="14" t="s">
        <v>519</v>
      </c>
      <c r="N154" s="14" t="s">
        <v>531</v>
      </c>
      <c r="O154" s="260"/>
    </row>
    <row r="155" spans="2:15" x14ac:dyDescent="0.4">
      <c r="B155" s="257" t="s">
        <v>287</v>
      </c>
      <c r="C155" s="14" t="s">
        <v>57</v>
      </c>
      <c r="D155" s="14" t="s">
        <v>563</v>
      </c>
      <c r="E155" s="14" t="s">
        <v>861</v>
      </c>
      <c r="F155" s="14" t="s">
        <v>288</v>
      </c>
      <c r="G155" s="15">
        <v>2</v>
      </c>
      <c r="H155" s="14" t="s">
        <v>515</v>
      </c>
      <c r="I155" s="14" t="s">
        <v>516</v>
      </c>
      <c r="J155" s="16"/>
      <c r="K155" s="14" t="s">
        <v>522</v>
      </c>
      <c r="L155" s="14" t="s">
        <v>1126</v>
      </c>
      <c r="M155" s="14" t="s">
        <v>575</v>
      </c>
      <c r="N155" s="14" t="s">
        <v>531</v>
      </c>
      <c r="O155" s="260"/>
    </row>
    <row r="156" spans="2:15" x14ac:dyDescent="0.4">
      <c r="B156" s="257" t="s">
        <v>289</v>
      </c>
      <c r="C156" s="14" t="s">
        <v>57</v>
      </c>
      <c r="D156" s="14" t="s">
        <v>563</v>
      </c>
      <c r="E156" s="14" t="s">
        <v>862</v>
      </c>
      <c r="F156" s="14" t="s">
        <v>1127</v>
      </c>
      <c r="G156" s="15">
        <v>2</v>
      </c>
      <c r="H156" s="14" t="s">
        <v>515</v>
      </c>
      <c r="I156" s="14" t="s">
        <v>516</v>
      </c>
      <c r="J156" s="16"/>
      <c r="K156" s="14" t="s">
        <v>522</v>
      </c>
      <c r="L156" s="14" t="s">
        <v>1128</v>
      </c>
      <c r="M156" s="14" t="s">
        <v>519</v>
      </c>
      <c r="N156" s="14" t="s">
        <v>531</v>
      </c>
      <c r="O156" s="260"/>
    </row>
    <row r="157" spans="2:15" x14ac:dyDescent="0.4">
      <c r="B157" s="257" t="s">
        <v>290</v>
      </c>
      <c r="C157" s="14" t="s">
        <v>57</v>
      </c>
      <c r="D157" s="14" t="s">
        <v>563</v>
      </c>
      <c r="E157" s="14" t="s">
        <v>863</v>
      </c>
      <c r="F157" s="14" t="s">
        <v>291</v>
      </c>
      <c r="G157" s="15">
        <v>2</v>
      </c>
      <c r="H157" s="14" t="s">
        <v>515</v>
      </c>
      <c r="I157" s="14" t="s">
        <v>516</v>
      </c>
      <c r="J157" s="16"/>
      <c r="K157" s="14" t="s">
        <v>517</v>
      </c>
      <c r="L157" s="14" t="s">
        <v>1121</v>
      </c>
      <c r="M157" s="14" t="s">
        <v>519</v>
      </c>
      <c r="N157" s="14" t="s">
        <v>531</v>
      </c>
      <c r="O157" s="260"/>
    </row>
    <row r="158" spans="2:15" x14ac:dyDescent="0.4">
      <c r="B158" s="257" t="s">
        <v>292</v>
      </c>
      <c r="C158" s="14" t="s">
        <v>57</v>
      </c>
      <c r="D158" s="14" t="s">
        <v>563</v>
      </c>
      <c r="E158" s="14" t="s">
        <v>864</v>
      </c>
      <c r="F158" s="14" t="s">
        <v>293</v>
      </c>
      <c r="G158" s="15">
        <v>2</v>
      </c>
      <c r="H158" s="14" t="s">
        <v>515</v>
      </c>
      <c r="I158" s="14" t="s">
        <v>516</v>
      </c>
      <c r="J158" s="16"/>
      <c r="K158" s="14" t="s">
        <v>517</v>
      </c>
      <c r="L158" s="14" t="s">
        <v>1129</v>
      </c>
      <c r="M158" s="14" t="s">
        <v>519</v>
      </c>
      <c r="N158" s="14" t="s">
        <v>531</v>
      </c>
      <c r="O158" s="260"/>
    </row>
    <row r="159" spans="2:15" x14ac:dyDescent="0.4">
      <c r="B159" s="257" t="s">
        <v>294</v>
      </c>
      <c r="C159" s="14" t="s">
        <v>57</v>
      </c>
      <c r="D159" s="14" t="s">
        <v>563</v>
      </c>
      <c r="E159" s="14" t="s">
        <v>865</v>
      </c>
      <c r="F159" s="14" t="s">
        <v>295</v>
      </c>
      <c r="G159" s="15">
        <v>2</v>
      </c>
      <c r="H159" s="14" t="s">
        <v>515</v>
      </c>
      <c r="I159" s="14" t="s">
        <v>516</v>
      </c>
      <c r="J159" s="16"/>
      <c r="K159" s="14" t="s">
        <v>517</v>
      </c>
      <c r="L159" s="14" t="s">
        <v>1121</v>
      </c>
      <c r="M159" s="14" t="s">
        <v>519</v>
      </c>
      <c r="N159" s="14" t="s">
        <v>520</v>
      </c>
      <c r="O159" s="260"/>
    </row>
    <row r="160" spans="2:15" x14ac:dyDescent="0.4">
      <c r="B160" s="257" t="s">
        <v>296</v>
      </c>
      <c r="C160" s="14" t="s">
        <v>57</v>
      </c>
      <c r="D160" s="14" t="s">
        <v>563</v>
      </c>
      <c r="E160" s="14" t="s">
        <v>866</v>
      </c>
      <c r="F160" s="14" t="s">
        <v>297</v>
      </c>
      <c r="G160" s="15">
        <v>2</v>
      </c>
      <c r="H160" s="14" t="s">
        <v>515</v>
      </c>
      <c r="I160" s="14" t="s">
        <v>516</v>
      </c>
      <c r="J160" s="16"/>
      <c r="K160" s="14" t="s">
        <v>522</v>
      </c>
      <c r="L160" s="14" t="s">
        <v>1130</v>
      </c>
      <c r="M160" s="14" t="s">
        <v>519</v>
      </c>
      <c r="N160" s="14" t="s">
        <v>520</v>
      </c>
      <c r="O160" s="260"/>
    </row>
    <row r="161" spans="2:15" x14ac:dyDescent="0.4">
      <c r="B161" s="258"/>
      <c r="C161" s="186"/>
      <c r="D161" s="186" t="s">
        <v>1041</v>
      </c>
      <c r="E161" s="186"/>
      <c r="F161" s="186"/>
      <c r="G161" s="186"/>
      <c r="H161" s="186"/>
      <c r="I161" s="186"/>
      <c r="J161" s="186"/>
      <c r="K161" s="186"/>
      <c r="L161" s="186"/>
      <c r="M161" s="186"/>
      <c r="N161" s="186"/>
      <c r="O161" s="262"/>
    </row>
    <row r="162" spans="2:15" x14ac:dyDescent="0.4">
      <c r="B162" s="257" t="s">
        <v>298</v>
      </c>
      <c r="C162" s="14" t="s">
        <v>0</v>
      </c>
      <c r="D162" s="14" t="s">
        <v>563</v>
      </c>
      <c r="E162" s="14" t="s">
        <v>867</v>
      </c>
      <c r="F162" s="14" t="s">
        <v>299</v>
      </c>
      <c r="G162" s="15">
        <v>2</v>
      </c>
      <c r="H162" s="14" t="s">
        <v>515</v>
      </c>
      <c r="I162" s="14" t="s">
        <v>516</v>
      </c>
      <c r="J162" s="16"/>
      <c r="K162" s="14" t="s">
        <v>522</v>
      </c>
      <c r="L162" s="14" t="s">
        <v>1131</v>
      </c>
      <c r="M162" s="14" t="s">
        <v>575</v>
      </c>
      <c r="N162" s="14" t="s">
        <v>520</v>
      </c>
      <c r="O162" s="261" t="s">
        <v>769</v>
      </c>
    </row>
    <row r="163" spans="2:15" x14ac:dyDescent="0.4">
      <c r="B163" s="257" t="s">
        <v>300</v>
      </c>
      <c r="C163" s="14" t="s">
        <v>0</v>
      </c>
      <c r="D163" s="14" t="s">
        <v>563</v>
      </c>
      <c r="E163" s="14" t="s">
        <v>868</v>
      </c>
      <c r="F163" s="14" t="s">
        <v>301</v>
      </c>
      <c r="G163" s="15">
        <v>2</v>
      </c>
      <c r="H163" s="14" t="s">
        <v>515</v>
      </c>
      <c r="I163" s="14" t="s">
        <v>516</v>
      </c>
      <c r="J163" s="16"/>
      <c r="K163" s="14" t="s">
        <v>522</v>
      </c>
      <c r="L163" s="14" t="s">
        <v>1132</v>
      </c>
      <c r="M163" s="14" t="s">
        <v>577</v>
      </c>
      <c r="N163" s="14" t="s">
        <v>520</v>
      </c>
      <c r="O163" s="261" t="s">
        <v>769</v>
      </c>
    </row>
    <row r="164" spans="2:15" x14ac:dyDescent="0.4">
      <c r="B164" s="257" t="s">
        <v>302</v>
      </c>
      <c r="C164" s="14" t="s">
        <v>0</v>
      </c>
      <c r="D164" s="14" t="s">
        <v>563</v>
      </c>
      <c r="E164" s="14" t="s">
        <v>869</v>
      </c>
      <c r="F164" s="14" t="s">
        <v>303</v>
      </c>
      <c r="G164" s="15">
        <v>2</v>
      </c>
      <c r="H164" s="14" t="s">
        <v>515</v>
      </c>
      <c r="I164" s="14" t="s">
        <v>516</v>
      </c>
      <c r="J164" s="16"/>
      <c r="K164" s="14" t="s">
        <v>522</v>
      </c>
      <c r="L164" s="14" t="s">
        <v>1133</v>
      </c>
      <c r="M164" s="14" t="s">
        <v>575</v>
      </c>
      <c r="N164" s="14" t="s">
        <v>520</v>
      </c>
      <c r="O164" s="261" t="s">
        <v>769</v>
      </c>
    </row>
    <row r="165" spans="2:15" x14ac:dyDescent="0.4">
      <c r="B165" s="257" t="s">
        <v>304</v>
      </c>
      <c r="C165" s="14" t="s">
        <v>0</v>
      </c>
      <c r="D165" s="14" t="s">
        <v>563</v>
      </c>
      <c r="E165" s="14" t="s">
        <v>870</v>
      </c>
      <c r="F165" s="14" t="s">
        <v>305</v>
      </c>
      <c r="G165" s="15">
        <v>1</v>
      </c>
      <c r="H165" s="14" t="s">
        <v>515</v>
      </c>
      <c r="I165" s="14" t="s">
        <v>516</v>
      </c>
      <c r="J165" s="16"/>
      <c r="K165" s="14" t="s">
        <v>522</v>
      </c>
      <c r="L165" s="14" t="s">
        <v>1134</v>
      </c>
      <c r="M165" s="14" t="s">
        <v>519</v>
      </c>
      <c r="N165" s="14" t="s">
        <v>1268</v>
      </c>
      <c r="O165" s="261" t="s">
        <v>769</v>
      </c>
    </row>
    <row r="166" spans="2:15" x14ac:dyDescent="0.4">
      <c r="B166" s="257" t="s">
        <v>306</v>
      </c>
      <c r="C166" s="14" t="s">
        <v>0</v>
      </c>
      <c r="D166" s="14" t="s">
        <v>563</v>
      </c>
      <c r="E166" s="14" t="s">
        <v>871</v>
      </c>
      <c r="F166" s="14" t="s">
        <v>307</v>
      </c>
      <c r="G166" s="15">
        <v>1</v>
      </c>
      <c r="H166" s="14" t="s">
        <v>515</v>
      </c>
      <c r="I166" s="14" t="s">
        <v>516</v>
      </c>
      <c r="J166" s="16"/>
      <c r="K166" s="14" t="s">
        <v>522</v>
      </c>
      <c r="L166" s="14" t="s">
        <v>1135</v>
      </c>
      <c r="M166" s="14" t="s">
        <v>519</v>
      </c>
      <c r="N166" s="14" t="s">
        <v>1268</v>
      </c>
      <c r="O166" s="261" t="s">
        <v>769</v>
      </c>
    </row>
    <row r="167" spans="2:15" x14ac:dyDescent="0.4">
      <c r="B167" s="257" t="s">
        <v>308</v>
      </c>
      <c r="C167" s="14" t="s">
        <v>0</v>
      </c>
      <c r="D167" s="18" t="s">
        <v>565</v>
      </c>
      <c r="E167" s="14" t="s">
        <v>872</v>
      </c>
      <c r="F167" s="14" t="s">
        <v>309</v>
      </c>
      <c r="G167" s="15">
        <v>2</v>
      </c>
      <c r="H167" s="14" t="s">
        <v>515</v>
      </c>
      <c r="I167" s="14" t="s">
        <v>516</v>
      </c>
      <c r="J167" s="16"/>
      <c r="K167" s="14" t="s">
        <v>522</v>
      </c>
      <c r="L167" s="14" t="s">
        <v>1132</v>
      </c>
      <c r="M167" s="14" t="s">
        <v>575</v>
      </c>
      <c r="N167" s="14" t="s">
        <v>520</v>
      </c>
      <c r="O167" s="261" t="s">
        <v>769</v>
      </c>
    </row>
    <row r="168" spans="2:15" x14ac:dyDescent="0.4">
      <c r="B168" s="257" t="s">
        <v>310</v>
      </c>
      <c r="C168" s="14" t="s">
        <v>0</v>
      </c>
      <c r="D168" s="18" t="s">
        <v>565</v>
      </c>
      <c r="E168" s="14" t="s">
        <v>873</v>
      </c>
      <c r="F168" s="14" t="s">
        <v>311</v>
      </c>
      <c r="G168" s="15">
        <v>2</v>
      </c>
      <c r="H168" s="14" t="s">
        <v>515</v>
      </c>
      <c r="I168" s="14" t="s">
        <v>516</v>
      </c>
      <c r="J168" s="16"/>
      <c r="K168" s="14" t="s">
        <v>522</v>
      </c>
      <c r="L168" s="14" t="s">
        <v>1136</v>
      </c>
      <c r="M168" s="14" t="s">
        <v>575</v>
      </c>
      <c r="N168" s="14" t="s">
        <v>520</v>
      </c>
      <c r="O168" s="261" t="s">
        <v>769</v>
      </c>
    </row>
    <row r="169" spans="2:15" x14ac:dyDescent="0.4">
      <c r="B169" s="257" t="s">
        <v>312</v>
      </c>
      <c r="C169" s="14" t="s">
        <v>0</v>
      </c>
      <c r="D169" s="18" t="s">
        <v>565</v>
      </c>
      <c r="E169" s="14" t="s">
        <v>874</v>
      </c>
      <c r="F169" s="14" t="s">
        <v>1137</v>
      </c>
      <c r="G169" s="15">
        <v>2</v>
      </c>
      <c r="H169" s="14" t="s">
        <v>515</v>
      </c>
      <c r="I169" s="14" t="s">
        <v>516</v>
      </c>
      <c r="J169" s="16"/>
      <c r="K169" s="14" t="s">
        <v>522</v>
      </c>
      <c r="L169" s="14" t="s">
        <v>1138</v>
      </c>
      <c r="M169" s="14" t="s">
        <v>577</v>
      </c>
      <c r="N169" s="14" t="s">
        <v>520</v>
      </c>
      <c r="O169" s="261" t="s">
        <v>769</v>
      </c>
    </row>
    <row r="170" spans="2:15" x14ac:dyDescent="0.4">
      <c r="B170" s="257" t="s">
        <v>313</v>
      </c>
      <c r="C170" s="14" t="s">
        <v>0</v>
      </c>
      <c r="D170" s="18" t="s">
        <v>565</v>
      </c>
      <c r="E170" s="14" t="s">
        <v>875</v>
      </c>
      <c r="F170" s="14" t="s">
        <v>314</v>
      </c>
      <c r="G170" s="15">
        <v>2</v>
      </c>
      <c r="H170" s="14" t="s">
        <v>515</v>
      </c>
      <c r="I170" s="14" t="s">
        <v>516</v>
      </c>
      <c r="J170" s="16"/>
      <c r="K170" s="14" t="s">
        <v>522</v>
      </c>
      <c r="L170" s="14" t="s">
        <v>1139</v>
      </c>
      <c r="M170" s="14" t="s">
        <v>575</v>
      </c>
      <c r="N170" s="14" t="s">
        <v>520</v>
      </c>
      <c r="O170" s="261" t="s">
        <v>769</v>
      </c>
    </row>
    <row r="171" spans="2:15" x14ac:dyDescent="0.4">
      <c r="B171" s="257" t="s">
        <v>315</v>
      </c>
      <c r="C171" s="14" t="s">
        <v>0</v>
      </c>
      <c r="D171" s="18" t="s">
        <v>565</v>
      </c>
      <c r="E171" s="14" t="s">
        <v>876</v>
      </c>
      <c r="F171" s="14" t="s">
        <v>316</v>
      </c>
      <c r="G171" s="15">
        <v>2</v>
      </c>
      <c r="H171" s="14" t="s">
        <v>515</v>
      </c>
      <c r="I171" s="14" t="s">
        <v>516</v>
      </c>
      <c r="J171" s="16"/>
      <c r="K171" s="14" t="s">
        <v>522</v>
      </c>
      <c r="L171" s="14" t="s">
        <v>1140</v>
      </c>
      <c r="M171" s="14" t="s">
        <v>575</v>
      </c>
      <c r="N171" s="14" t="s">
        <v>520</v>
      </c>
      <c r="O171" s="261" t="s">
        <v>769</v>
      </c>
    </row>
    <row r="172" spans="2:15" x14ac:dyDescent="0.4">
      <c r="B172" s="257" t="s">
        <v>317</v>
      </c>
      <c r="C172" s="14" t="s">
        <v>0</v>
      </c>
      <c r="D172" s="14" t="s">
        <v>1141</v>
      </c>
      <c r="E172" s="14" t="s">
        <v>877</v>
      </c>
      <c r="F172" s="14" t="s">
        <v>318</v>
      </c>
      <c r="G172" s="15">
        <v>2</v>
      </c>
      <c r="H172" s="14" t="s">
        <v>667</v>
      </c>
      <c r="I172" s="15">
        <v>1</v>
      </c>
      <c r="J172" s="16"/>
      <c r="K172" s="14" t="s">
        <v>517</v>
      </c>
      <c r="L172" s="14" t="s">
        <v>1142</v>
      </c>
      <c r="M172" s="14" t="s">
        <v>519</v>
      </c>
      <c r="N172" s="14" t="s">
        <v>520</v>
      </c>
      <c r="O172" s="261" t="s">
        <v>1061</v>
      </c>
    </row>
    <row r="173" spans="2:15" x14ac:dyDescent="0.4">
      <c r="B173" s="257" t="s">
        <v>319</v>
      </c>
      <c r="C173" s="14" t="s">
        <v>0</v>
      </c>
      <c r="D173" s="14" t="s">
        <v>1141</v>
      </c>
      <c r="E173" s="14" t="s">
        <v>878</v>
      </c>
      <c r="F173" s="14" t="s">
        <v>318</v>
      </c>
      <c r="G173" s="15">
        <v>2</v>
      </c>
      <c r="H173" s="14" t="s">
        <v>667</v>
      </c>
      <c r="I173" s="15">
        <v>1</v>
      </c>
      <c r="J173" s="16"/>
      <c r="K173" s="14" t="s">
        <v>517</v>
      </c>
      <c r="L173" s="14" t="s">
        <v>1142</v>
      </c>
      <c r="M173" s="14" t="s">
        <v>519</v>
      </c>
      <c r="N173" s="14" t="s">
        <v>531</v>
      </c>
      <c r="O173" s="261" t="s">
        <v>1061</v>
      </c>
    </row>
    <row r="174" spans="2:15" x14ac:dyDescent="0.4">
      <c r="B174" s="257" t="s">
        <v>320</v>
      </c>
      <c r="C174" s="14" t="s">
        <v>0</v>
      </c>
      <c r="D174" s="18" t="s">
        <v>565</v>
      </c>
      <c r="E174" s="14" t="s">
        <v>879</v>
      </c>
      <c r="F174" s="14" t="s">
        <v>318</v>
      </c>
      <c r="G174" s="15">
        <v>2</v>
      </c>
      <c r="H174" s="14" t="s">
        <v>667</v>
      </c>
      <c r="I174" s="14" t="s">
        <v>1060</v>
      </c>
      <c r="J174" s="14" t="s">
        <v>769</v>
      </c>
      <c r="K174" s="14" t="s">
        <v>517</v>
      </c>
      <c r="L174" s="14" t="s">
        <v>1143</v>
      </c>
      <c r="M174" s="14" t="s">
        <v>519</v>
      </c>
      <c r="N174" s="14" t="s">
        <v>520</v>
      </c>
      <c r="O174" s="261" t="s">
        <v>1061</v>
      </c>
    </row>
    <row r="175" spans="2:15" x14ac:dyDescent="0.4">
      <c r="B175" s="257" t="s">
        <v>321</v>
      </c>
      <c r="C175" s="14" t="s">
        <v>0</v>
      </c>
      <c r="D175" s="18" t="s">
        <v>565</v>
      </c>
      <c r="E175" s="14" t="s">
        <v>880</v>
      </c>
      <c r="F175" s="14" t="s">
        <v>318</v>
      </c>
      <c r="G175" s="15">
        <v>2</v>
      </c>
      <c r="H175" s="14" t="s">
        <v>667</v>
      </c>
      <c r="I175" s="14" t="s">
        <v>1060</v>
      </c>
      <c r="J175" s="14" t="s">
        <v>769</v>
      </c>
      <c r="K175" s="14" t="s">
        <v>517</v>
      </c>
      <c r="L175" s="14" t="s">
        <v>1143</v>
      </c>
      <c r="M175" s="14" t="s">
        <v>519</v>
      </c>
      <c r="N175" s="14" t="s">
        <v>531</v>
      </c>
      <c r="O175" s="261" t="s">
        <v>1061</v>
      </c>
    </row>
    <row r="176" spans="2:15" x14ac:dyDescent="0.4">
      <c r="B176" s="257" t="s">
        <v>322</v>
      </c>
      <c r="C176" s="14" t="s">
        <v>0</v>
      </c>
      <c r="D176" s="18" t="s">
        <v>565</v>
      </c>
      <c r="E176" s="14" t="s">
        <v>881</v>
      </c>
      <c r="F176" s="14" t="s">
        <v>318</v>
      </c>
      <c r="G176" s="15">
        <v>2</v>
      </c>
      <c r="H176" s="14" t="s">
        <v>558</v>
      </c>
      <c r="I176" s="14" t="s">
        <v>516</v>
      </c>
      <c r="J176" s="16"/>
      <c r="K176" s="14" t="s">
        <v>517</v>
      </c>
      <c r="L176" s="14" t="s">
        <v>1144</v>
      </c>
      <c r="M176" s="14" t="s">
        <v>519</v>
      </c>
      <c r="N176" s="14" t="s">
        <v>531</v>
      </c>
      <c r="O176" s="261" t="s">
        <v>769</v>
      </c>
    </row>
    <row r="177" spans="2:15" x14ac:dyDescent="0.4">
      <c r="B177" s="257" t="s">
        <v>323</v>
      </c>
      <c r="C177" s="14" t="s">
        <v>0</v>
      </c>
      <c r="D177" s="18" t="s">
        <v>565</v>
      </c>
      <c r="E177" s="14" t="s">
        <v>882</v>
      </c>
      <c r="F177" s="14" t="s">
        <v>318</v>
      </c>
      <c r="G177" s="15">
        <v>2</v>
      </c>
      <c r="H177" s="14" t="s">
        <v>558</v>
      </c>
      <c r="I177" s="14" t="s">
        <v>516</v>
      </c>
      <c r="J177" s="16"/>
      <c r="K177" s="14" t="s">
        <v>517</v>
      </c>
      <c r="L177" s="14" t="s">
        <v>1144</v>
      </c>
      <c r="M177" s="14" t="s">
        <v>519</v>
      </c>
      <c r="N177" s="14" t="s">
        <v>520</v>
      </c>
      <c r="O177" s="261" t="s">
        <v>769</v>
      </c>
    </row>
    <row r="178" spans="2:15" x14ac:dyDescent="0.4">
      <c r="B178" s="257" t="s">
        <v>324</v>
      </c>
      <c r="C178" s="14" t="s">
        <v>0</v>
      </c>
      <c r="D178" s="187" t="s">
        <v>512</v>
      </c>
      <c r="E178" s="14" t="s">
        <v>883</v>
      </c>
      <c r="F178" s="14" t="s">
        <v>318</v>
      </c>
      <c r="G178" s="15">
        <v>1</v>
      </c>
      <c r="H178" s="14" t="s">
        <v>558</v>
      </c>
      <c r="I178" s="14" t="s">
        <v>1060</v>
      </c>
      <c r="J178" s="16"/>
      <c r="K178" s="14" t="s">
        <v>517</v>
      </c>
      <c r="L178" s="14" t="s">
        <v>1144</v>
      </c>
      <c r="M178" s="14" t="s">
        <v>519</v>
      </c>
      <c r="N178" s="14" t="s">
        <v>520</v>
      </c>
      <c r="O178" s="261" t="s">
        <v>1061</v>
      </c>
    </row>
    <row r="179" spans="2:15" x14ac:dyDescent="0.4">
      <c r="B179" s="257" t="s">
        <v>325</v>
      </c>
      <c r="C179" s="14" t="s">
        <v>0</v>
      </c>
      <c r="D179" s="14" t="s">
        <v>563</v>
      </c>
      <c r="E179" s="14" t="s">
        <v>884</v>
      </c>
      <c r="F179" s="14" t="s">
        <v>326</v>
      </c>
      <c r="G179" s="15">
        <v>2</v>
      </c>
      <c r="H179" s="14" t="s">
        <v>667</v>
      </c>
      <c r="I179" s="14" t="s">
        <v>1060</v>
      </c>
      <c r="J179" s="14" t="s">
        <v>769</v>
      </c>
      <c r="K179" s="14" t="s">
        <v>517</v>
      </c>
      <c r="L179" s="14" t="s">
        <v>1145</v>
      </c>
      <c r="M179" s="14" t="s">
        <v>519</v>
      </c>
      <c r="N179" s="14" t="s">
        <v>520</v>
      </c>
      <c r="O179" s="260"/>
    </row>
    <row r="180" spans="2:15" x14ac:dyDescent="0.4">
      <c r="B180" s="257" t="s">
        <v>327</v>
      </c>
      <c r="C180" s="14" t="s">
        <v>0</v>
      </c>
      <c r="D180" s="14" t="s">
        <v>563</v>
      </c>
      <c r="E180" s="14" t="s">
        <v>885</v>
      </c>
      <c r="F180" s="14" t="s">
        <v>326</v>
      </c>
      <c r="G180" s="15">
        <v>2</v>
      </c>
      <c r="H180" s="14" t="s">
        <v>667</v>
      </c>
      <c r="I180" s="14" t="s">
        <v>1060</v>
      </c>
      <c r="J180" s="14" t="s">
        <v>769</v>
      </c>
      <c r="K180" s="14" t="s">
        <v>517</v>
      </c>
      <c r="L180" s="14" t="s">
        <v>1145</v>
      </c>
      <c r="M180" s="14" t="s">
        <v>519</v>
      </c>
      <c r="N180" s="14" t="s">
        <v>531</v>
      </c>
      <c r="O180" s="260"/>
    </row>
    <row r="181" spans="2:15" x14ac:dyDescent="0.4">
      <c r="B181" s="257" t="s">
        <v>328</v>
      </c>
      <c r="C181" s="14" t="s">
        <v>0</v>
      </c>
      <c r="D181" s="14" t="s">
        <v>563</v>
      </c>
      <c r="E181" s="14" t="s">
        <v>886</v>
      </c>
      <c r="F181" s="14" t="s">
        <v>318</v>
      </c>
      <c r="G181" s="15">
        <v>2</v>
      </c>
      <c r="H181" s="14" t="s">
        <v>558</v>
      </c>
      <c r="I181" s="14" t="s">
        <v>516</v>
      </c>
      <c r="J181" s="16"/>
      <c r="K181" s="14" t="s">
        <v>517</v>
      </c>
      <c r="L181" s="14" t="s">
        <v>1146</v>
      </c>
      <c r="M181" s="14" t="s">
        <v>519</v>
      </c>
      <c r="N181" s="14" t="s">
        <v>531</v>
      </c>
      <c r="O181" s="260"/>
    </row>
    <row r="182" spans="2:15" x14ac:dyDescent="0.4">
      <c r="B182" s="257" t="s">
        <v>329</v>
      </c>
      <c r="C182" s="14" t="s">
        <v>0</v>
      </c>
      <c r="D182" s="14" t="s">
        <v>563</v>
      </c>
      <c r="E182" s="14" t="s">
        <v>887</v>
      </c>
      <c r="F182" s="14" t="s">
        <v>318</v>
      </c>
      <c r="G182" s="15">
        <v>2</v>
      </c>
      <c r="H182" s="14" t="s">
        <v>558</v>
      </c>
      <c r="I182" s="14" t="s">
        <v>516</v>
      </c>
      <c r="J182" s="16"/>
      <c r="K182" s="14" t="s">
        <v>517</v>
      </c>
      <c r="L182" s="14" t="s">
        <v>1147</v>
      </c>
      <c r="M182" s="14" t="s">
        <v>519</v>
      </c>
      <c r="N182" s="14" t="s">
        <v>520</v>
      </c>
      <c r="O182" s="260"/>
    </row>
    <row r="183" spans="2:15" x14ac:dyDescent="0.4">
      <c r="B183" s="257" t="s">
        <v>330</v>
      </c>
      <c r="C183" s="14" t="s">
        <v>0</v>
      </c>
      <c r="D183" s="187" t="s">
        <v>512</v>
      </c>
      <c r="E183" s="14" t="s">
        <v>888</v>
      </c>
      <c r="F183" s="14" t="s">
        <v>318</v>
      </c>
      <c r="G183" s="15">
        <v>1</v>
      </c>
      <c r="H183" s="14" t="s">
        <v>558</v>
      </c>
      <c r="I183" s="14" t="s">
        <v>1060</v>
      </c>
      <c r="J183" s="16"/>
      <c r="K183" s="14" t="s">
        <v>517</v>
      </c>
      <c r="L183" s="14" t="s">
        <v>1146</v>
      </c>
      <c r="M183" s="14" t="s">
        <v>519</v>
      </c>
      <c r="N183" s="14" t="s">
        <v>520</v>
      </c>
      <c r="O183" s="260"/>
    </row>
    <row r="184" spans="2:15" ht="27" x14ac:dyDescent="0.4">
      <c r="B184" s="257" t="s">
        <v>331</v>
      </c>
      <c r="C184" s="14" t="s">
        <v>0</v>
      </c>
      <c r="D184" s="14" t="s">
        <v>563</v>
      </c>
      <c r="E184" s="14" t="s">
        <v>889</v>
      </c>
      <c r="F184" s="14" t="s">
        <v>1148</v>
      </c>
      <c r="G184" s="15">
        <v>2</v>
      </c>
      <c r="H184" s="14" t="s">
        <v>667</v>
      </c>
      <c r="I184" s="14" t="s">
        <v>1060</v>
      </c>
      <c r="J184" s="14" t="s">
        <v>769</v>
      </c>
      <c r="K184" s="14" t="s">
        <v>517</v>
      </c>
      <c r="L184" s="14" t="s">
        <v>1149</v>
      </c>
      <c r="M184" s="14" t="s">
        <v>519</v>
      </c>
      <c r="N184" s="14" t="s">
        <v>520</v>
      </c>
      <c r="O184" s="260"/>
    </row>
    <row r="185" spans="2:15" ht="27" x14ac:dyDescent="0.4">
      <c r="B185" s="257" t="s">
        <v>332</v>
      </c>
      <c r="C185" s="14" t="s">
        <v>0</v>
      </c>
      <c r="D185" s="14" t="s">
        <v>563</v>
      </c>
      <c r="E185" s="14" t="s">
        <v>890</v>
      </c>
      <c r="F185" s="14" t="s">
        <v>1148</v>
      </c>
      <c r="G185" s="15">
        <v>2</v>
      </c>
      <c r="H185" s="14" t="s">
        <v>667</v>
      </c>
      <c r="I185" s="14" t="s">
        <v>1060</v>
      </c>
      <c r="J185" s="14" t="s">
        <v>769</v>
      </c>
      <c r="K185" s="14" t="s">
        <v>517</v>
      </c>
      <c r="L185" s="14" t="s">
        <v>1149</v>
      </c>
      <c r="M185" s="14" t="s">
        <v>519</v>
      </c>
      <c r="N185" s="14" t="s">
        <v>531</v>
      </c>
      <c r="O185" s="260"/>
    </row>
    <row r="186" spans="2:15" x14ac:dyDescent="0.4">
      <c r="B186" s="257" t="s">
        <v>333</v>
      </c>
      <c r="C186" s="14" t="s">
        <v>0</v>
      </c>
      <c r="D186" s="187" t="s">
        <v>512</v>
      </c>
      <c r="E186" s="16" t="s">
        <v>1150</v>
      </c>
      <c r="F186" s="14" t="s">
        <v>318</v>
      </c>
      <c r="G186" s="15">
        <v>4</v>
      </c>
      <c r="H186" s="14" t="s">
        <v>558</v>
      </c>
      <c r="I186" s="14" t="s">
        <v>516</v>
      </c>
      <c r="J186" s="16"/>
      <c r="K186" s="14" t="s">
        <v>517</v>
      </c>
      <c r="L186" s="14" t="s">
        <v>1147</v>
      </c>
      <c r="M186" s="14" t="s">
        <v>519</v>
      </c>
      <c r="N186" s="14" t="s">
        <v>524</v>
      </c>
      <c r="O186" s="261" t="s">
        <v>769</v>
      </c>
    </row>
    <row r="187" spans="2:15" x14ac:dyDescent="0.4">
      <c r="B187" s="257" t="s">
        <v>334</v>
      </c>
      <c r="C187" s="14" t="s">
        <v>0</v>
      </c>
      <c r="D187" s="187" t="s">
        <v>512</v>
      </c>
      <c r="E187" s="16" t="s">
        <v>1151</v>
      </c>
      <c r="F187" s="14" t="s">
        <v>318</v>
      </c>
      <c r="G187" s="15">
        <v>2</v>
      </c>
      <c r="H187" s="14" t="s">
        <v>558</v>
      </c>
      <c r="I187" s="14" t="s">
        <v>516</v>
      </c>
      <c r="J187" s="16"/>
      <c r="K187" s="14" t="s">
        <v>517</v>
      </c>
      <c r="L187" s="14" t="s">
        <v>1147</v>
      </c>
      <c r="M187" s="14" t="s">
        <v>519</v>
      </c>
      <c r="N187" s="14" t="s">
        <v>524</v>
      </c>
      <c r="O187" s="261" t="s">
        <v>769</v>
      </c>
    </row>
    <row r="188" spans="2:15" x14ac:dyDescent="0.4">
      <c r="B188" s="257" t="s">
        <v>335</v>
      </c>
      <c r="C188" s="14" t="s">
        <v>0</v>
      </c>
      <c r="D188" s="187" t="s">
        <v>512</v>
      </c>
      <c r="E188" s="16" t="s">
        <v>1152</v>
      </c>
      <c r="F188" s="14" t="s">
        <v>318</v>
      </c>
      <c r="G188" s="15">
        <v>1</v>
      </c>
      <c r="H188" s="14" t="s">
        <v>558</v>
      </c>
      <c r="I188" s="14" t="s">
        <v>516</v>
      </c>
      <c r="J188" s="16"/>
      <c r="K188" s="14" t="s">
        <v>517</v>
      </c>
      <c r="L188" s="14" t="s">
        <v>1147</v>
      </c>
      <c r="M188" s="14" t="s">
        <v>519</v>
      </c>
      <c r="N188" s="14" t="s">
        <v>524</v>
      </c>
      <c r="O188" s="261" t="s">
        <v>769</v>
      </c>
    </row>
    <row r="189" spans="2:15" x14ac:dyDescent="0.4">
      <c r="B189" s="257" t="s">
        <v>336</v>
      </c>
      <c r="C189" s="14" t="s">
        <v>0</v>
      </c>
      <c r="D189" s="187" t="s">
        <v>512</v>
      </c>
      <c r="E189" s="16" t="s">
        <v>1153</v>
      </c>
      <c r="F189" s="14" t="s">
        <v>318</v>
      </c>
      <c r="G189" s="15">
        <v>4</v>
      </c>
      <c r="H189" s="14" t="s">
        <v>558</v>
      </c>
      <c r="I189" s="14" t="s">
        <v>516</v>
      </c>
      <c r="J189" s="16"/>
      <c r="K189" s="14" t="s">
        <v>522</v>
      </c>
      <c r="L189" s="14" t="s">
        <v>1147</v>
      </c>
      <c r="M189" s="14" t="s">
        <v>519</v>
      </c>
      <c r="N189" s="14" t="s">
        <v>524</v>
      </c>
      <c r="O189" s="261" t="s">
        <v>769</v>
      </c>
    </row>
    <row r="190" spans="2:15" x14ac:dyDescent="0.4">
      <c r="B190" s="257" t="s">
        <v>337</v>
      </c>
      <c r="C190" s="14" t="s">
        <v>0</v>
      </c>
      <c r="D190" s="187" t="s">
        <v>512</v>
      </c>
      <c r="E190" s="16" t="s">
        <v>1154</v>
      </c>
      <c r="F190" s="14" t="s">
        <v>318</v>
      </c>
      <c r="G190" s="15">
        <v>2</v>
      </c>
      <c r="H190" s="14" t="s">
        <v>558</v>
      </c>
      <c r="I190" s="14" t="s">
        <v>516</v>
      </c>
      <c r="J190" s="16"/>
      <c r="K190" s="14" t="s">
        <v>522</v>
      </c>
      <c r="L190" s="14" t="s">
        <v>1147</v>
      </c>
      <c r="M190" s="14" t="s">
        <v>519</v>
      </c>
      <c r="N190" s="14" t="s">
        <v>524</v>
      </c>
      <c r="O190" s="261" t="s">
        <v>769</v>
      </c>
    </row>
    <row r="191" spans="2:15" x14ac:dyDescent="0.4">
      <c r="B191" s="257" t="s">
        <v>338</v>
      </c>
      <c r="C191" s="14" t="s">
        <v>0</v>
      </c>
      <c r="D191" s="187" t="s">
        <v>512</v>
      </c>
      <c r="E191" s="16" t="s">
        <v>1155</v>
      </c>
      <c r="F191" s="14" t="s">
        <v>318</v>
      </c>
      <c r="G191" s="15">
        <v>1</v>
      </c>
      <c r="H191" s="14" t="s">
        <v>558</v>
      </c>
      <c r="I191" s="14" t="s">
        <v>516</v>
      </c>
      <c r="J191" s="16"/>
      <c r="K191" s="14" t="s">
        <v>522</v>
      </c>
      <c r="L191" s="14" t="s">
        <v>1147</v>
      </c>
      <c r="M191" s="14" t="s">
        <v>519</v>
      </c>
      <c r="N191" s="14" t="s">
        <v>524</v>
      </c>
      <c r="O191" s="261" t="s">
        <v>769</v>
      </c>
    </row>
    <row r="192" spans="2:15" x14ac:dyDescent="0.4">
      <c r="B192" s="257" t="s">
        <v>339</v>
      </c>
      <c r="C192" s="14" t="s">
        <v>0</v>
      </c>
      <c r="D192" s="14" t="s">
        <v>563</v>
      </c>
      <c r="E192" s="14" t="s">
        <v>891</v>
      </c>
      <c r="F192" s="14" t="s">
        <v>1156</v>
      </c>
      <c r="G192" s="15">
        <v>2</v>
      </c>
      <c r="H192" s="14" t="s">
        <v>515</v>
      </c>
      <c r="I192" s="14" t="s">
        <v>516</v>
      </c>
      <c r="J192" s="16"/>
      <c r="K192" s="14" t="s">
        <v>517</v>
      </c>
      <c r="L192" s="14" t="s">
        <v>1157</v>
      </c>
      <c r="M192" s="14" t="s">
        <v>519</v>
      </c>
      <c r="N192" s="14" t="s">
        <v>520</v>
      </c>
      <c r="O192" s="260"/>
    </row>
    <row r="193" spans="2:15" x14ac:dyDescent="0.4">
      <c r="B193" s="257" t="s">
        <v>340</v>
      </c>
      <c r="C193" s="14" t="s">
        <v>0</v>
      </c>
      <c r="D193" s="14" t="s">
        <v>563</v>
      </c>
      <c r="E193" s="14" t="s">
        <v>892</v>
      </c>
      <c r="F193" s="14" t="s">
        <v>113</v>
      </c>
      <c r="G193" s="15">
        <v>2</v>
      </c>
      <c r="H193" s="14" t="s">
        <v>515</v>
      </c>
      <c r="I193" s="14" t="s">
        <v>516</v>
      </c>
      <c r="J193" s="16"/>
      <c r="K193" s="14" t="s">
        <v>522</v>
      </c>
      <c r="L193" s="14" t="s">
        <v>1158</v>
      </c>
      <c r="M193" s="14" t="s">
        <v>575</v>
      </c>
      <c r="N193" s="14" t="s">
        <v>531</v>
      </c>
      <c r="O193" s="260"/>
    </row>
    <row r="194" spans="2:15" x14ac:dyDescent="0.4">
      <c r="B194" s="257" t="s">
        <v>341</v>
      </c>
      <c r="C194" s="14" t="s">
        <v>0</v>
      </c>
      <c r="D194" s="14" t="s">
        <v>563</v>
      </c>
      <c r="E194" s="14" t="s">
        <v>893</v>
      </c>
      <c r="F194" s="14" t="s">
        <v>342</v>
      </c>
      <c r="G194" s="15">
        <v>2</v>
      </c>
      <c r="H194" s="14" t="s">
        <v>515</v>
      </c>
      <c r="I194" s="14" t="s">
        <v>516</v>
      </c>
      <c r="J194" s="16"/>
      <c r="K194" s="14" t="s">
        <v>522</v>
      </c>
      <c r="L194" s="14" t="s">
        <v>1135</v>
      </c>
      <c r="M194" s="14" t="s">
        <v>519</v>
      </c>
      <c r="N194" s="14" t="s">
        <v>531</v>
      </c>
      <c r="O194" s="260"/>
    </row>
    <row r="195" spans="2:15" x14ac:dyDescent="0.4">
      <c r="B195" s="257" t="s">
        <v>343</v>
      </c>
      <c r="C195" s="14" t="s">
        <v>0</v>
      </c>
      <c r="D195" s="14" t="s">
        <v>563</v>
      </c>
      <c r="E195" s="14" t="s">
        <v>894</v>
      </c>
      <c r="F195" s="14" t="s">
        <v>344</v>
      </c>
      <c r="G195" s="15">
        <v>2</v>
      </c>
      <c r="H195" s="14" t="s">
        <v>515</v>
      </c>
      <c r="I195" s="14" t="s">
        <v>516</v>
      </c>
      <c r="J195" s="16"/>
      <c r="K195" s="14" t="s">
        <v>522</v>
      </c>
      <c r="L195" s="14" t="s">
        <v>1159</v>
      </c>
      <c r="M195" s="14" t="s">
        <v>519</v>
      </c>
      <c r="N195" s="14" t="s">
        <v>520</v>
      </c>
      <c r="O195" s="260"/>
    </row>
    <row r="196" spans="2:15" x14ac:dyDescent="0.4">
      <c r="B196" s="257" t="s">
        <v>345</v>
      </c>
      <c r="C196" s="14" t="s">
        <v>0</v>
      </c>
      <c r="D196" s="14" t="s">
        <v>563</v>
      </c>
      <c r="E196" s="14" t="s">
        <v>895</v>
      </c>
      <c r="F196" s="14" t="s">
        <v>346</v>
      </c>
      <c r="G196" s="15">
        <v>2</v>
      </c>
      <c r="H196" s="14" t="s">
        <v>515</v>
      </c>
      <c r="I196" s="14" t="s">
        <v>516</v>
      </c>
      <c r="J196" s="16"/>
      <c r="K196" s="14" t="s">
        <v>522</v>
      </c>
      <c r="L196" s="14" t="s">
        <v>1160</v>
      </c>
      <c r="M196" s="14" t="s">
        <v>519</v>
      </c>
      <c r="N196" s="14" t="s">
        <v>531</v>
      </c>
      <c r="O196" s="260"/>
    </row>
    <row r="197" spans="2:15" x14ac:dyDescent="0.4">
      <c r="B197" s="257" t="s">
        <v>347</v>
      </c>
      <c r="C197" s="14" t="s">
        <v>0</v>
      </c>
      <c r="D197" s="14" t="s">
        <v>563</v>
      </c>
      <c r="E197" s="14" t="s">
        <v>896</v>
      </c>
      <c r="F197" s="14" t="s">
        <v>1161</v>
      </c>
      <c r="G197" s="15">
        <v>2</v>
      </c>
      <c r="H197" s="14" t="s">
        <v>515</v>
      </c>
      <c r="I197" s="14" t="s">
        <v>516</v>
      </c>
      <c r="J197" s="16"/>
      <c r="K197" s="14" t="s">
        <v>522</v>
      </c>
      <c r="L197" s="14" t="s">
        <v>1162</v>
      </c>
      <c r="M197" s="14" t="s">
        <v>575</v>
      </c>
      <c r="N197" s="14" t="s">
        <v>531</v>
      </c>
      <c r="O197" s="260"/>
    </row>
    <row r="198" spans="2:15" x14ac:dyDescent="0.4">
      <c r="B198" s="257" t="s">
        <v>348</v>
      </c>
      <c r="C198" s="14" t="s">
        <v>0</v>
      </c>
      <c r="D198" s="187" t="s">
        <v>512</v>
      </c>
      <c r="E198" s="14" t="s">
        <v>897</v>
      </c>
      <c r="F198" s="14" t="s">
        <v>1163</v>
      </c>
      <c r="G198" s="15">
        <v>2</v>
      </c>
      <c r="H198" s="14" t="s">
        <v>515</v>
      </c>
      <c r="I198" s="14" t="s">
        <v>516</v>
      </c>
      <c r="J198" s="16"/>
      <c r="K198" s="14" t="s">
        <v>517</v>
      </c>
      <c r="L198" s="14" t="s">
        <v>1159</v>
      </c>
      <c r="M198" s="14" t="s">
        <v>519</v>
      </c>
      <c r="N198" s="14" t="s">
        <v>520</v>
      </c>
      <c r="O198" s="260"/>
    </row>
    <row r="199" spans="2:15" x14ac:dyDescent="0.4">
      <c r="B199" s="257" t="s">
        <v>349</v>
      </c>
      <c r="C199" s="14" t="s">
        <v>0</v>
      </c>
      <c r="D199" s="14" t="s">
        <v>563</v>
      </c>
      <c r="E199" s="14" t="s">
        <v>898</v>
      </c>
      <c r="F199" s="14" t="s">
        <v>350</v>
      </c>
      <c r="G199" s="15">
        <v>2</v>
      </c>
      <c r="H199" s="14" t="s">
        <v>515</v>
      </c>
      <c r="I199" s="14" t="s">
        <v>516</v>
      </c>
      <c r="J199" s="16"/>
      <c r="K199" s="14" t="s">
        <v>522</v>
      </c>
      <c r="L199" s="14" t="s">
        <v>1164</v>
      </c>
      <c r="M199" s="14" t="s">
        <v>519</v>
      </c>
      <c r="N199" s="14" t="s">
        <v>520</v>
      </c>
      <c r="O199" s="260"/>
    </row>
    <row r="200" spans="2:15" ht="27" x14ac:dyDescent="0.4">
      <c r="B200" s="257" t="s">
        <v>351</v>
      </c>
      <c r="C200" s="14" t="s">
        <v>0</v>
      </c>
      <c r="D200" s="187" t="s">
        <v>512</v>
      </c>
      <c r="E200" s="14" t="s">
        <v>899</v>
      </c>
      <c r="F200" s="14" t="s">
        <v>1165</v>
      </c>
      <c r="G200" s="15">
        <v>2</v>
      </c>
      <c r="H200" s="14" t="s">
        <v>515</v>
      </c>
      <c r="I200" s="14" t="s">
        <v>516</v>
      </c>
      <c r="J200" s="16"/>
      <c r="K200" s="14" t="s">
        <v>517</v>
      </c>
      <c r="L200" s="14" t="s">
        <v>1166</v>
      </c>
      <c r="M200" s="14" t="s">
        <v>519</v>
      </c>
      <c r="N200" s="14" t="s">
        <v>520</v>
      </c>
      <c r="O200" s="260"/>
    </row>
    <row r="201" spans="2:15" x14ac:dyDescent="0.4">
      <c r="B201" s="257" t="s">
        <v>352</v>
      </c>
      <c r="C201" s="14" t="s">
        <v>0</v>
      </c>
      <c r="D201" s="17" t="s">
        <v>560</v>
      </c>
      <c r="E201" s="14" t="s">
        <v>900</v>
      </c>
      <c r="F201" s="14" t="s">
        <v>1167</v>
      </c>
      <c r="G201" s="15">
        <v>2</v>
      </c>
      <c r="H201" s="14" t="s">
        <v>515</v>
      </c>
      <c r="I201" s="14" t="s">
        <v>516</v>
      </c>
      <c r="J201" s="16"/>
      <c r="K201" s="14" t="s">
        <v>517</v>
      </c>
      <c r="L201" s="14" t="s">
        <v>1159</v>
      </c>
      <c r="M201" s="14" t="s">
        <v>519</v>
      </c>
      <c r="N201" s="14" t="s">
        <v>520</v>
      </c>
      <c r="O201" s="260"/>
    </row>
    <row r="202" spans="2:15" x14ac:dyDescent="0.4">
      <c r="B202" s="257" t="s">
        <v>353</v>
      </c>
      <c r="C202" s="14" t="s">
        <v>0</v>
      </c>
      <c r="D202" s="14" t="s">
        <v>563</v>
      </c>
      <c r="E202" s="14" t="s">
        <v>901</v>
      </c>
      <c r="F202" s="14" t="s">
        <v>354</v>
      </c>
      <c r="G202" s="15">
        <v>2</v>
      </c>
      <c r="H202" s="14" t="s">
        <v>515</v>
      </c>
      <c r="I202" s="14" t="s">
        <v>516</v>
      </c>
      <c r="J202" s="16"/>
      <c r="K202" s="14" t="s">
        <v>522</v>
      </c>
      <c r="L202" s="14" t="s">
        <v>1168</v>
      </c>
      <c r="M202" s="14" t="s">
        <v>577</v>
      </c>
      <c r="N202" s="14" t="s">
        <v>531</v>
      </c>
      <c r="O202" s="260"/>
    </row>
    <row r="203" spans="2:15" x14ac:dyDescent="0.4">
      <c r="B203" s="257" t="s">
        <v>355</v>
      </c>
      <c r="C203" s="14" t="s">
        <v>0</v>
      </c>
      <c r="D203" s="14" t="s">
        <v>563</v>
      </c>
      <c r="E203" s="14" t="s">
        <v>902</v>
      </c>
      <c r="F203" s="14" t="s">
        <v>356</v>
      </c>
      <c r="G203" s="15">
        <v>2</v>
      </c>
      <c r="H203" s="14" t="s">
        <v>515</v>
      </c>
      <c r="I203" s="14" t="s">
        <v>516</v>
      </c>
      <c r="J203" s="16"/>
      <c r="K203" s="14" t="s">
        <v>522</v>
      </c>
      <c r="L203" s="14" t="s">
        <v>1169</v>
      </c>
      <c r="M203" s="14" t="s">
        <v>575</v>
      </c>
      <c r="N203" s="14" t="s">
        <v>520</v>
      </c>
      <c r="O203" s="260"/>
    </row>
    <row r="204" spans="2:15" x14ac:dyDescent="0.4">
      <c r="B204" s="257" t="s">
        <v>357</v>
      </c>
      <c r="C204" s="14" t="s">
        <v>0</v>
      </c>
      <c r="D204" s="14" t="s">
        <v>563</v>
      </c>
      <c r="E204" s="14" t="s">
        <v>903</v>
      </c>
      <c r="F204" s="14" t="s">
        <v>288</v>
      </c>
      <c r="G204" s="15">
        <v>2</v>
      </c>
      <c r="H204" s="14" t="s">
        <v>515</v>
      </c>
      <c r="I204" s="14" t="s">
        <v>516</v>
      </c>
      <c r="J204" s="16"/>
      <c r="K204" s="14" t="s">
        <v>522</v>
      </c>
      <c r="L204" s="14" t="s">
        <v>1170</v>
      </c>
      <c r="M204" s="14" t="s">
        <v>575</v>
      </c>
      <c r="N204" s="14" t="s">
        <v>520</v>
      </c>
      <c r="O204" s="260"/>
    </row>
    <row r="205" spans="2:15" ht="27" x14ac:dyDescent="0.4">
      <c r="B205" s="257" t="s">
        <v>358</v>
      </c>
      <c r="C205" s="14" t="s">
        <v>0</v>
      </c>
      <c r="D205" s="14" t="s">
        <v>563</v>
      </c>
      <c r="E205" s="14" t="s">
        <v>904</v>
      </c>
      <c r="F205" s="14" t="s">
        <v>1165</v>
      </c>
      <c r="G205" s="15">
        <v>2</v>
      </c>
      <c r="H205" s="14" t="s">
        <v>667</v>
      </c>
      <c r="I205" s="15">
        <v>1</v>
      </c>
      <c r="J205" s="16"/>
      <c r="K205" s="14" t="s">
        <v>517</v>
      </c>
      <c r="L205" s="14" t="s">
        <v>1171</v>
      </c>
      <c r="M205" s="14" t="s">
        <v>519</v>
      </c>
      <c r="N205" s="14" t="s">
        <v>520</v>
      </c>
      <c r="O205" s="260"/>
    </row>
    <row r="206" spans="2:15" ht="27" x14ac:dyDescent="0.4">
      <c r="B206" s="257" t="s">
        <v>359</v>
      </c>
      <c r="C206" s="14" t="s">
        <v>0</v>
      </c>
      <c r="D206" s="14" t="s">
        <v>563</v>
      </c>
      <c r="E206" s="14" t="s">
        <v>905</v>
      </c>
      <c r="F206" s="14" t="s">
        <v>1165</v>
      </c>
      <c r="G206" s="15">
        <v>2</v>
      </c>
      <c r="H206" s="14" t="s">
        <v>667</v>
      </c>
      <c r="I206" s="15">
        <v>1</v>
      </c>
      <c r="J206" s="16"/>
      <c r="K206" s="14" t="s">
        <v>517</v>
      </c>
      <c r="L206" s="14" t="s">
        <v>1171</v>
      </c>
      <c r="M206" s="14" t="s">
        <v>519</v>
      </c>
      <c r="N206" s="14" t="s">
        <v>531</v>
      </c>
      <c r="O206" s="260"/>
    </row>
    <row r="207" spans="2:15" ht="36" x14ac:dyDescent="0.4">
      <c r="B207" s="257" t="s">
        <v>360</v>
      </c>
      <c r="C207" s="14" t="s">
        <v>0</v>
      </c>
      <c r="D207" s="14" t="s">
        <v>563</v>
      </c>
      <c r="E207" s="14" t="s">
        <v>906</v>
      </c>
      <c r="F207" s="14" t="s">
        <v>1172</v>
      </c>
      <c r="G207" s="15">
        <v>2</v>
      </c>
      <c r="H207" s="14" t="s">
        <v>667</v>
      </c>
      <c r="I207" s="14" t="s">
        <v>1060</v>
      </c>
      <c r="J207" s="14" t="s">
        <v>769</v>
      </c>
      <c r="K207" s="14" t="s">
        <v>517</v>
      </c>
      <c r="L207" s="14" t="s">
        <v>1171</v>
      </c>
      <c r="M207" s="14" t="s">
        <v>519</v>
      </c>
      <c r="N207" s="14" t="s">
        <v>520</v>
      </c>
      <c r="O207" s="260"/>
    </row>
    <row r="208" spans="2:15" ht="36" x14ac:dyDescent="0.4">
      <c r="B208" s="257" t="s">
        <v>361</v>
      </c>
      <c r="C208" s="14" t="s">
        <v>0</v>
      </c>
      <c r="D208" s="14" t="s">
        <v>563</v>
      </c>
      <c r="E208" s="14" t="s">
        <v>907</v>
      </c>
      <c r="F208" s="14" t="s">
        <v>1172</v>
      </c>
      <c r="G208" s="15">
        <v>2</v>
      </c>
      <c r="H208" s="14" t="s">
        <v>667</v>
      </c>
      <c r="I208" s="14" t="s">
        <v>1060</v>
      </c>
      <c r="J208" s="14" t="s">
        <v>769</v>
      </c>
      <c r="K208" s="14" t="s">
        <v>517</v>
      </c>
      <c r="L208" s="14" t="s">
        <v>1171</v>
      </c>
      <c r="M208" s="14" t="s">
        <v>519</v>
      </c>
      <c r="N208" s="14" t="s">
        <v>531</v>
      </c>
      <c r="O208" s="260"/>
    </row>
    <row r="209" spans="2:15" ht="27" x14ac:dyDescent="0.4">
      <c r="B209" s="257" t="s">
        <v>362</v>
      </c>
      <c r="C209" s="14" t="s">
        <v>0</v>
      </c>
      <c r="D209" s="14" t="s">
        <v>563</v>
      </c>
      <c r="E209" s="14" t="s">
        <v>908</v>
      </c>
      <c r="F209" s="14" t="s">
        <v>1165</v>
      </c>
      <c r="G209" s="15">
        <v>2</v>
      </c>
      <c r="H209" s="14" t="s">
        <v>558</v>
      </c>
      <c r="I209" s="14" t="s">
        <v>516</v>
      </c>
      <c r="J209" s="16"/>
      <c r="K209" s="14" t="s">
        <v>517</v>
      </c>
      <c r="L209" s="14" t="s">
        <v>1173</v>
      </c>
      <c r="M209" s="14" t="s">
        <v>519</v>
      </c>
      <c r="N209" s="14" t="s">
        <v>531</v>
      </c>
      <c r="O209" s="260"/>
    </row>
    <row r="210" spans="2:15" ht="27" x14ac:dyDescent="0.4">
      <c r="B210" s="257" t="s">
        <v>363</v>
      </c>
      <c r="C210" s="14" t="s">
        <v>0</v>
      </c>
      <c r="D210" s="14" t="s">
        <v>563</v>
      </c>
      <c r="E210" s="14" t="s">
        <v>909</v>
      </c>
      <c r="F210" s="14" t="s">
        <v>1165</v>
      </c>
      <c r="G210" s="15">
        <v>2</v>
      </c>
      <c r="H210" s="14" t="s">
        <v>558</v>
      </c>
      <c r="I210" s="14" t="s">
        <v>516</v>
      </c>
      <c r="J210" s="16"/>
      <c r="K210" s="14" t="s">
        <v>517</v>
      </c>
      <c r="L210" s="14" t="s">
        <v>1173</v>
      </c>
      <c r="M210" s="14" t="s">
        <v>519</v>
      </c>
      <c r="N210" s="14" t="s">
        <v>520</v>
      </c>
      <c r="O210" s="260"/>
    </row>
    <row r="211" spans="2:15" x14ac:dyDescent="0.4">
      <c r="B211" s="257" t="s">
        <v>364</v>
      </c>
      <c r="C211" s="14" t="s">
        <v>0</v>
      </c>
      <c r="D211" s="14" t="s">
        <v>563</v>
      </c>
      <c r="E211" s="14" t="s">
        <v>910</v>
      </c>
      <c r="F211" s="14" t="s">
        <v>1174</v>
      </c>
      <c r="G211" s="15">
        <v>2</v>
      </c>
      <c r="H211" s="14" t="s">
        <v>667</v>
      </c>
      <c r="I211" s="14" t="s">
        <v>1060</v>
      </c>
      <c r="J211" s="14" t="s">
        <v>769</v>
      </c>
      <c r="K211" s="14" t="s">
        <v>517</v>
      </c>
      <c r="L211" s="14" t="s">
        <v>1175</v>
      </c>
      <c r="M211" s="14" t="s">
        <v>519</v>
      </c>
      <c r="N211" s="14" t="s">
        <v>520</v>
      </c>
      <c r="O211" s="260"/>
    </row>
    <row r="212" spans="2:15" x14ac:dyDescent="0.4">
      <c r="B212" s="257" t="s">
        <v>365</v>
      </c>
      <c r="C212" s="14" t="s">
        <v>0</v>
      </c>
      <c r="D212" s="14" t="s">
        <v>563</v>
      </c>
      <c r="E212" s="14" t="s">
        <v>911</v>
      </c>
      <c r="F212" s="14" t="s">
        <v>1174</v>
      </c>
      <c r="G212" s="15">
        <v>2</v>
      </c>
      <c r="H212" s="14" t="s">
        <v>667</v>
      </c>
      <c r="I212" s="14" t="s">
        <v>1060</v>
      </c>
      <c r="J212" s="14" t="s">
        <v>769</v>
      </c>
      <c r="K212" s="14" t="s">
        <v>517</v>
      </c>
      <c r="L212" s="14" t="s">
        <v>1175</v>
      </c>
      <c r="M212" s="14" t="s">
        <v>519</v>
      </c>
      <c r="N212" s="14" t="s">
        <v>531</v>
      </c>
      <c r="O212" s="260"/>
    </row>
    <row r="213" spans="2:15" ht="27" x14ac:dyDescent="0.4">
      <c r="B213" s="257" t="s">
        <v>366</v>
      </c>
      <c r="C213" s="14" t="s">
        <v>0</v>
      </c>
      <c r="D213" s="187" t="s">
        <v>512</v>
      </c>
      <c r="E213" s="16" t="s">
        <v>1176</v>
      </c>
      <c r="F213" s="14" t="s">
        <v>1165</v>
      </c>
      <c r="G213" s="15">
        <v>4</v>
      </c>
      <c r="H213" s="14" t="s">
        <v>558</v>
      </c>
      <c r="I213" s="14" t="s">
        <v>516</v>
      </c>
      <c r="J213" s="16"/>
      <c r="K213" s="14" t="s">
        <v>517</v>
      </c>
      <c r="L213" s="14" t="s">
        <v>1177</v>
      </c>
      <c r="M213" s="14" t="s">
        <v>519</v>
      </c>
      <c r="N213" s="14" t="s">
        <v>524</v>
      </c>
      <c r="O213" s="260"/>
    </row>
    <row r="214" spans="2:15" ht="27" x14ac:dyDescent="0.4">
      <c r="B214" s="257" t="s">
        <v>367</v>
      </c>
      <c r="C214" s="14" t="s">
        <v>0</v>
      </c>
      <c r="D214" s="187" t="s">
        <v>512</v>
      </c>
      <c r="E214" s="16" t="s">
        <v>1178</v>
      </c>
      <c r="F214" s="14" t="s">
        <v>1165</v>
      </c>
      <c r="G214" s="15">
        <v>2</v>
      </c>
      <c r="H214" s="14" t="s">
        <v>558</v>
      </c>
      <c r="I214" s="14" t="s">
        <v>516</v>
      </c>
      <c r="J214" s="16"/>
      <c r="K214" s="14" t="s">
        <v>517</v>
      </c>
      <c r="L214" s="14" t="s">
        <v>1177</v>
      </c>
      <c r="M214" s="14" t="s">
        <v>519</v>
      </c>
      <c r="N214" s="14" t="s">
        <v>524</v>
      </c>
      <c r="O214" s="260"/>
    </row>
    <row r="215" spans="2:15" ht="27" x14ac:dyDescent="0.4">
      <c r="B215" s="257" t="s">
        <v>368</v>
      </c>
      <c r="C215" s="14" t="s">
        <v>0</v>
      </c>
      <c r="D215" s="187" t="s">
        <v>512</v>
      </c>
      <c r="E215" s="16" t="s">
        <v>1179</v>
      </c>
      <c r="F215" s="14" t="s">
        <v>1165</v>
      </c>
      <c r="G215" s="15">
        <v>1</v>
      </c>
      <c r="H215" s="14" t="s">
        <v>558</v>
      </c>
      <c r="I215" s="14" t="s">
        <v>516</v>
      </c>
      <c r="J215" s="16"/>
      <c r="K215" s="14" t="s">
        <v>517</v>
      </c>
      <c r="L215" s="14" t="s">
        <v>1177</v>
      </c>
      <c r="M215" s="14" t="s">
        <v>519</v>
      </c>
      <c r="N215" s="14" t="s">
        <v>524</v>
      </c>
      <c r="O215" s="260"/>
    </row>
    <row r="216" spans="2:15" x14ac:dyDescent="0.4">
      <c r="B216" s="258"/>
      <c r="C216" s="186"/>
      <c r="D216" s="186" t="s">
        <v>797</v>
      </c>
      <c r="E216" s="186"/>
      <c r="F216" s="186"/>
      <c r="G216" s="186"/>
      <c r="H216" s="186"/>
      <c r="I216" s="186"/>
      <c r="J216" s="186"/>
      <c r="K216" s="186"/>
      <c r="L216" s="186"/>
      <c r="M216" s="186"/>
      <c r="N216" s="186"/>
      <c r="O216" s="262"/>
    </row>
    <row r="217" spans="2:15" x14ac:dyDescent="0.4">
      <c r="B217" s="257" t="s">
        <v>369</v>
      </c>
      <c r="C217" s="14" t="s">
        <v>57</v>
      </c>
      <c r="D217" s="18" t="s">
        <v>565</v>
      </c>
      <c r="E217" s="14" t="s">
        <v>640</v>
      </c>
      <c r="F217" s="14" t="s">
        <v>120</v>
      </c>
      <c r="G217" s="15">
        <v>2</v>
      </c>
      <c r="H217" s="14" t="s">
        <v>515</v>
      </c>
      <c r="I217" s="14" t="s">
        <v>516</v>
      </c>
      <c r="J217" s="16"/>
      <c r="K217" s="14" t="s">
        <v>522</v>
      </c>
      <c r="L217" s="14" t="s">
        <v>641</v>
      </c>
      <c r="M217" s="14" t="s">
        <v>575</v>
      </c>
      <c r="N217" s="14" t="s">
        <v>531</v>
      </c>
      <c r="O217" s="261" t="s">
        <v>602</v>
      </c>
    </row>
    <row r="218" spans="2:15" x14ac:dyDescent="0.4">
      <c r="B218" s="257" t="s">
        <v>370</v>
      </c>
      <c r="C218" s="14" t="s">
        <v>57</v>
      </c>
      <c r="D218" s="18" t="s">
        <v>565</v>
      </c>
      <c r="E218" s="14" t="s">
        <v>642</v>
      </c>
      <c r="F218" s="14" t="s">
        <v>122</v>
      </c>
      <c r="G218" s="15">
        <v>2</v>
      </c>
      <c r="H218" s="14" t="s">
        <v>515</v>
      </c>
      <c r="I218" s="14" t="s">
        <v>516</v>
      </c>
      <c r="J218" s="16"/>
      <c r="K218" s="14" t="s">
        <v>522</v>
      </c>
      <c r="L218" s="14" t="s">
        <v>643</v>
      </c>
      <c r="M218" s="14" t="s">
        <v>577</v>
      </c>
      <c r="N218" s="14" t="s">
        <v>520</v>
      </c>
      <c r="O218" s="261" t="s">
        <v>602</v>
      </c>
    </row>
    <row r="219" spans="2:15" x14ac:dyDescent="0.4">
      <c r="B219" s="257" t="s">
        <v>371</v>
      </c>
      <c r="C219" s="14" t="s">
        <v>57</v>
      </c>
      <c r="D219" s="18" t="s">
        <v>565</v>
      </c>
      <c r="E219" s="14" t="s">
        <v>644</v>
      </c>
      <c r="F219" s="14" t="s">
        <v>124</v>
      </c>
      <c r="G219" s="15">
        <v>2</v>
      </c>
      <c r="H219" s="14" t="s">
        <v>515</v>
      </c>
      <c r="I219" s="14" t="s">
        <v>516</v>
      </c>
      <c r="J219" s="16"/>
      <c r="K219" s="14" t="s">
        <v>522</v>
      </c>
      <c r="L219" s="14" t="s">
        <v>645</v>
      </c>
      <c r="M219" s="14" t="s">
        <v>575</v>
      </c>
      <c r="N219" s="14" t="s">
        <v>520</v>
      </c>
      <c r="O219" s="261" t="s">
        <v>602</v>
      </c>
    </row>
    <row r="220" spans="2:15" x14ac:dyDescent="0.4">
      <c r="B220" s="257" t="s">
        <v>372</v>
      </c>
      <c r="C220" s="14" t="s">
        <v>57</v>
      </c>
      <c r="D220" s="18" t="s">
        <v>565</v>
      </c>
      <c r="E220" s="14" t="s">
        <v>646</v>
      </c>
      <c r="F220" s="14" t="s">
        <v>126</v>
      </c>
      <c r="G220" s="15">
        <v>2</v>
      </c>
      <c r="H220" s="14" t="s">
        <v>515</v>
      </c>
      <c r="I220" s="14" t="s">
        <v>516</v>
      </c>
      <c r="J220" s="16"/>
      <c r="K220" s="14" t="s">
        <v>522</v>
      </c>
      <c r="L220" s="14" t="s">
        <v>647</v>
      </c>
      <c r="M220" s="14" t="s">
        <v>577</v>
      </c>
      <c r="N220" s="14" t="s">
        <v>520</v>
      </c>
      <c r="O220" s="261" t="s">
        <v>602</v>
      </c>
    </row>
    <row r="221" spans="2:15" x14ac:dyDescent="0.4">
      <c r="B221" s="257" t="s">
        <v>373</v>
      </c>
      <c r="C221" s="14" t="s">
        <v>57</v>
      </c>
      <c r="D221" s="18" t="s">
        <v>565</v>
      </c>
      <c r="E221" s="14" t="s">
        <v>648</v>
      </c>
      <c r="F221" s="14" t="s">
        <v>374</v>
      </c>
      <c r="G221" s="15">
        <v>2</v>
      </c>
      <c r="H221" s="14" t="s">
        <v>515</v>
      </c>
      <c r="I221" s="14" t="s">
        <v>516</v>
      </c>
      <c r="J221" s="16"/>
      <c r="K221" s="14" t="s">
        <v>522</v>
      </c>
      <c r="L221" s="14" t="s">
        <v>647</v>
      </c>
      <c r="M221" s="14" t="s">
        <v>575</v>
      </c>
      <c r="N221" s="14" t="s">
        <v>531</v>
      </c>
      <c r="O221" s="261" t="s">
        <v>602</v>
      </c>
    </row>
    <row r="222" spans="2:15" x14ac:dyDescent="0.4">
      <c r="B222" s="257" t="s">
        <v>375</v>
      </c>
      <c r="C222" s="14" t="s">
        <v>57</v>
      </c>
      <c r="D222" s="18" t="s">
        <v>565</v>
      </c>
      <c r="E222" s="14" t="s">
        <v>649</v>
      </c>
      <c r="F222" s="14" t="s">
        <v>128</v>
      </c>
      <c r="G222" s="15">
        <v>2</v>
      </c>
      <c r="H222" s="14" t="s">
        <v>515</v>
      </c>
      <c r="I222" s="14" t="s">
        <v>516</v>
      </c>
      <c r="J222" s="16"/>
      <c r="K222" s="14" t="s">
        <v>522</v>
      </c>
      <c r="L222" s="14" t="s">
        <v>647</v>
      </c>
      <c r="M222" s="14" t="s">
        <v>577</v>
      </c>
      <c r="N222" s="14" t="s">
        <v>531</v>
      </c>
      <c r="O222" s="260"/>
    </row>
    <row r="223" spans="2:15" x14ac:dyDescent="0.4">
      <c r="B223" s="257" t="s">
        <v>376</v>
      </c>
      <c r="C223" s="14" t="s">
        <v>57</v>
      </c>
      <c r="D223" s="17" t="s">
        <v>560</v>
      </c>
      <c r="E223" s="14" t="s">
        <v>650</v>
      </c>
      <c r="F223" s="14" t="s">
        <v>651</v>
      </c>
      <c r="G223" s="15">
        <v>2</v>
      </c>
      <c r="H223" s="14" t="s">
        <v>515</v>
      </c>
      <c r="I223" s="14" t="s">
        <v>516</v>
      </c>
      <c r="J223" s="16"/>
      <c r="K223" s="14" t="s">
        <v>522</v>
      </c>
      <c r="L223" s="14" t="s">
        <v>652</v>
      </c>
      <c r="M223" s="14" t="s">
        <v>519</v>
      </c>
      <c r="N223" s="14" t="s">
        <v>520</v>
      </c>
      <c r="O223" s="260"/>
    </row>
    <row r="224" spans="2:15" x14ac:dyDescent="0.4">
      <c r="B224" s="257" t="s">
        <v>377</v>
      </c>
      <c r="C224" s="14" t="s">
        <v>57</v>
      </c>
      <c r="D224" s="18" t="s">
        <v>565</v>
      </c>
      <c r="E224" s="14" t="s">
        <v>653</v>
      </c>
      <c r="F224" s="14" t="s">
        <v>654</v>
      </c>
      <c r="G224" s="15">
        <v>2</v>
      </c>
      <c r="H224" s="14" t="s">
        <v>515</v>
      </c>
      <c r="I224" s="14" t="s">
        <v>516</v>
      </c>
      <c r="J224" s="16"/>
      <c r="K224" s="14" t="s">
        <v>522</v>
      </c>
      <c r="L224" s="14" t="s">
        <v>655</v>
      </c>
      <c r="M224" s="14" t="s">
        <v>519</v>
      </c>
      <c r="N224" s="14" t="s">
        <v>531</v>
      </c>
      <c r="O224" s="260"/>
    </row>
    <row r="225" spans="2:15" x14ac:dyDescent="0.4">
      <c r="B225" s="257" t="s">
        <v>378</v>
      </c>
      <c r="C225" s="14" t="s">
        <v>57</v>
      </c>
      <c r="D225" s="18" t="s">
        <v>565</v>
      </c>
      <c r="E225" s="14" t="s">
        <v>656</v>
      </c>
      <c r="F225" s="14" t="s">
        <v>379</v>
      </c>
      <c r="G225" s="15">
        <v>2</v>
      </c>
      <c r="H225" s="14" t="s">
        <v>515</v>
      </c>
      <c r="I225" s="14" t="s">
        <v>516</v>
      </c>
      <c r="J225" s="16"/>
      <c r="K225" s="14" t="s">
        <v>522</v>
      </c>
      <c r="L225" s="14" t="s">
        <v>657</v>
      </c>
      <c r="M225" s="14" t="s">
        <v>575</v>
      </c>
      <c r="N225" s="14" t="s">
        <v>520</v>
      </c>
      <c r="O225" s="260"/>
    </row>
    <row r="226" spans="2:15" x14ac:dyDescent="0.4">
      <c r="B226" s="257" t="s">
        <v>380</v>
      </c>
      <c r="C226" s="14" t="s">
        <v>57</v>
      </c>
      <c r="D226" s="18" t="s">
        <v>565</v>
      </c>
      <c r="E226" s="14" t="s">
        <v>658</v>
      </c>
      <c r="F226" s="14" t="s">
        <v>659</v>
      </c>
      <c r="G226" s="15">
        <v>2</v>
      </c>
      <c r="H226" s="14" t="s">
        <v>515</v>
      </c>
      <c r="I226" s="14" t="s">
        <v>516</v>
      </c>
      <c r="J226" s="16"/>
      <c r="K226" s="14" t="s">
        <v>522</v>
      </c>
      <c r="L226" s="14" t="s">
        <v>660</v>
      </c>
      <c r="M226" s="14" t="s">
        <v>519</v>
      </c>
      <c r="N226" s="14" t="s">
        <v>520</v>
      </c>
      <c r="O226" s="260"/>
    </row>
    <row r="227" spans="2:15" x14ac:dyDescent="0.4">
      <c r="B227" s="257" t="s">
        <v>381</v>
      </c>
      <c r="C227" s="14" t="s">
        <v>57</v>
      </c>
      <c r="D227" s="18" t="s">
        <v>565</v>
      </c>
      <c r="E227" s="14" t="s">
        <v>661</v>
      </c>
      <c r="F227" s="14" t="s">
        <v>382</v>
      </c>
      <c r="G227" s="15">
        <v>2</v>
      </c>
      <c r="H227" s="14" t="s">
        <v>515</v>
      </c>
      <c r="I227" s="14" t="s">
        <v>516</v>
      </c>
      <c r="J227" s="16"/>
      <c r="K227" s="14" t="s">
        <v>522</v>
      </c>
      <c r="L227" s="14" t="s">
        <v>662</v>
      </c>
      <c r="M227" s="14" t="s">
        <v>575</v>
      </c>
      <c r="N227" s="14" t="s">
        <v>531</v>
      </c>
      <c r="O227" s="260"/>
    </row>
    <row r="228" spans="2:15" x14ac:dyDescent="0.4">
      <c r="B228" s="257" t="s">
        <v>383</v>
      </c>
      <c r="C228" s="14" t="s">
        <v>57</v>
      </c>
      <c r="D228" s="18" t="s">
        <v>565</v>
      </c>
      <c r="E228" s="14" t="s">
        <v>663</v>
      </c>
      <c r="F228" s="14" t="s">
        <v>384</v>
      </c>
      <c r="G228" s="15">
        <v>2</v>
      </c>
      <c r="H228" s="14" t="s">
        <v>515</v>
      </c>
      <c r="I228" s="14" t="s">
        <v>161</v>
      </c>
      <c r="J228" s="16"/>
      <c r="K228" s="14" t="s">
        <v>522</v>
      </c>
      <c r="L228" s="14" t="s">
        <v>664</v>
      </c>
      <c r="M228" s="14" t="s">
        <v>575</v>
      </c>
      <c r="N228" s="14" t="s">
        <v>531</v>
      </c>
      <c r="O228" s="260"/>
    </row>
    <row r="229" spans="2:15" ht="27" x14ac:dyDescent="0.4">
      <c r="B229" s="257" t="s">
        <v>385</v>
      </c>
      <c r="C229" s="14" t="s">
        <v>57</v>
      </c>
      <c r="D229" s="18" t="s">
        <v>565</v>
      </c>
      <c r="E229" s="16" t="s">
        <v>665</v>
      </c>
      <c r="F229" s="14" t="s">
        <v>666</v>
      </c>
      <c r="G229" s="15">
        <v>2</v>
      </c>
      <c r="H229" s="14" t="s">
        <v>667</v>
      </c>
      <c r="I229" s="14" t="s">
        <v>516</v>
      </c>
      <c r="J229" s="16"/>
      <c r="K229" s="14" t="s">
        <v>517</v>
      </c>
      <c r="L229" s="14" t="s">
        <v>668</v>
      </c>
      <c r="M229" s="14" t="s">
        <v>519</v>
      </c>
      <c r="N229" s="14" t="s">
        <v>524</v>
      </c>
      <c r="O229" s="261" t="s">
        <v>669</v>
      </c>
    </row>
    <row r="230" spans="2:15" ht="27" x14ac:dyDescent="0.4">
      <c r="B230" s="257" t="s">
        <v>386</v>
      </c>
      <c r="C230" s="14" t="s">
        <v>57</v>
      </c>
      <c r="D230" s="18" t="s">
        <v>565</v>
      </c>
      <c r="E230" s="16" t="s">
        <v>670</v>
      </c>
      <c r="F230" s="14" t="s">
        <v>666</v>
      </c>
      <c r="G230" s="15">
        <v>2</v>
      </c>
      <c r="H230" s="14" t="s">
        <v>667</v>
      </c>
      <c r="I230" s="14" t="s">
        <v>516</v>
      </c>
      <c r="J230" s="16"/>
      <c r="K230" s="14" t="s">
        <v>517</v>
      </c>
      <c r="L230" s="14" t="s">
        <v>671</v>
      </c>
      <c r="M230" s="14" t="s">
        <v>519</v>
      </c>
      <c r="N230" s="14" t="s">
        <v>524</v>
      </c>
      <c r="O230" s="261" t="s">
        <v>669</v>
      </c>
    </row>
    <row r="231" spans="2:15" x14ac:dyDescent="0.4">
      <c r="B231" s="257" t="s">
        <v>387</v>
      </c>
      <c r="C231" s="14" t="s">
        <v>57</v>
      </c>
      <c r="D231" s="14" t="s">
        <v>563</v>
      </c>
      <c r="E231" s="14" t="s">
        <v>672</v>
      </c>
      <c r="F231" s="14" t="s">
        <v>388</v>
      </c>
      <c r="G231" s="15">
        <v>2</v>
      </c>
      <c r="H231" s="14" t="s">
        <v>515</v>
      </c>
      <c r="I231" s="14" t="s">
        <v>516</v>
      </c>
      <c r="J231" s="16"/>
      <c r="K231" s="14" t="s">
        <v>522</v>
      </c>
      <c r="L231" s="14" t="s">
        <v>673</v>
      </c>
      <c r="M231" s="14" t="s">
        <v>519</v>
      </c>
      <c r="N231" s="14" t="s">
        <v>531</v>
      </c>
      <c r="O231" s="260"/>
    </row>
    <row r="232" spans="2:15" x14ac:dyDescent="0.4">
      <c r="B232" s="257" t="s">
        <v>389</v>
      </c>
      <c r="C232" s="14" t="s">
        <v>57</v>
      </c>
      <c r="D232" s="14" t="s">
        <v>563</v>
      </c>
      <c r="E232" s="14" t="s">
        <v>674</v>
      </c>
      <c r="F232" s="14" t="s">
        <v>390</v>
      </c>
      <c r="G232" s="15">
        <v>2</v>
      </c>
      <c r="H232" s="14" t="s">
        <v>515</v>
      </c>
      <c r="I232" s="14" t="s">
        <v>516</v>
      </c>
      <c r="J232" s="16"/>
      <c r="K232" s="14" t="s">
        <v>522</v>
      </c>
      <c r="L232" s="14" t="s">
        <v>675</v>
      </c>
      <c r="M232" s="14" t="s">
        <v>519</v>
      </c>
      <c r="N232" s="14" t="s">
        <v>520</v>
      </c>
      <c r="O232" s="260"/>
    </row>
    <row r="233" spans="2:15" x14ac:dyDescent="0.4">
      <c r="B233" s="257" t="s">
        <v>391</v>
      </c>
      <c r="C233" s="14" t="s">
        <v>57</v>
      </c>
      <c r="D233" s="14" t="s">
        <v>563</v>
      </c>
      <c r="E233" s="14" t="s">
        <v>676</v>
      </c>
      <c r="F233" s="14" t="s">
        <v>392</v>
      </c>
      <c r="G233" s="15">
        <v>2</v>
      </c>
      <c r="H233" s="14" t="s">
        <v>515</v>
      </c>
      <c r="I233" s="14" t="s">
        <v>516</v>
      </c>
      <c r="J233" s="16"/>
      <c r="K233" s="14" t="s">
        <v>522</v>
      </c>
      <c r="L233" s="14" t="s">
        <v>652</v>
      </c>
      <c r="M233" s="14" t="s">
        <v>519</v>
      </c>
      <c r="N233" s="14" t="s">
        <v>520</v>
      </c>
      <c r="O233" s="260"/>
    </row>
    <row r="234" spans="2:15" x14ac:dyDescent="0.4">
      <c r="B234" s="257" t="s">
        <v>393</v>
      </c>
      <c r="C234" s="14" t="s">
        <v>57</v>
      </c>
      <c r="D234" s="14" t="s">
        <v>563</v>
      </c>
      <c r="E234" s="14" t="s">
        <v>677</v>
      </c>
      <c r="F234" s="14" t="s">
        <v>394</v>
      </c>
      <c r="G234" s="15">
        <v>2</v>
      </c>
      <c r="H234" s="14" t="s">
        <v>515</v>
      </c>
      <c r="I234" s="14" t="s">
        <v>516</v>
      </c>
      <c r="J234" s="16"/>
      <c r="K234" s="14" t="s">
        <v>522</v>
      </c>
      <c r="L234" s="14" t="s">
        <v>678</v>
      </c>
      <c r="M234" s="14" t="s">
        <v>519</v>
      </c>
      <c r="N234" s="14" t="s">
        <v>531</v>
      </c>
      <c r="O234" s="260"/>
    </row>
    <row r="235" spans="2:15" x14ac:dyDescent="0.4">
      <c r="B235" s="257" t="s">
        <v>434</v>
      </c>
      <c r="C235" s="14" t="s">
        <v>57</v>
      </c>
      <c r="D235" s="14" t="s">
        <v>563</v>
      </c>
      <c r="E235" s="14" t="s">
        <v>722</v>
      </c>
      <c r="F235" s="14" t="s">
        <v>435</v>
      </c>
      <c r="G235" s="15">
        <v>2</v>
      </c>
      <c r="H235" s="14" t="s">
        <v>515</v>
      </c>
      <c r="I235" s="14" t="s">
        <v>516</v>
      </c>
      <c r="J235" s="16"/>
      <c r="K235" s="14" t="s">
        <v>522</v>
      </c>
      <c r="L235" s="14" t="s">
        <v>1180</v>
      </c>
      <c r="M235" s="14" t="s">
        <v>575</v>
      </c>
      <c r="N235" s="14" t="s">
        <v>531</v>
      </c>
      <c r="O235" s="260"/>
    </row>
    <row r="236" spans="2:15" x14ac:dyDescent="0.4">
      <c r="B236" s="257" t="s">
        <v>452</v>
      </c>
      <c r="C236" s="14" t="s">
        <v>57</v>
      </c>
      <c r="D236" s="14" t="s">
        <v>563</v>
      </c>
      <c r="E236" s="14" t="s">
        <v>735</v>
      </c>
      <c r="F236" s="14" t="s">
        <v>453</v>
      </c>
      <c r="G236" s="15">
        <v>2</v>
      </c>
      <c r="H236" s="14" t="s">
        <v>515</v>
      </c>
      <c r="I236" s="14" t="s">
        <v>516</v>
      </c>
      <c r="J236" s="16"/>
      <c r="K236" s="14" t="s">
        <v>522</v>
      </c>
      <c r="L236" s="14" t="s">
        <v>1181</v>
      </c>
      <c r="M236" s="14" t="s">
        <v>577</v>
      </c>
      <c r="N236" s="14" t="s">
        <v>531</v>
      </c>
      <c r="O236" s="260"/>
    </row>
    <row r="237" spans="2:15" x14ac:dyDescent="0.4">
      <c r="B237" s="258"/>
      <c r="C237" s="186"/>
      <c r="D237" s="186" t="s">
        <v>1182</v>
      </c>
      <c r="E237" s="186"/>
      <c r="F237" s="186"/>
      <c r="G237" s="186"/>
      <c r="H237" s="186"/>
      <c r="I237" s="186"/>
      <c r="J237" s="186"/>
      <c r="K237" s="186"/>
      <c r="L237" s="186"/>
      <c r="M237" s="186"/>
      <c r="N237" s="186"/>
      <c r="O237" s="262"/>
    </row>
    <row r="238" spans="2:15" x14ac:dyDescent="0.4">
      <c r="B238" s="257" t="s">
        <v>397</v>
      </c>
      <c r="C238" s="14" t="s">
        <v>1014</v>
      </c>
      <c r="D238" s="18" t="s">
        <v>565</v>
      </c>
      <c r="E238" s="14" t="s">
        <v>912</v>
      </c>
      <c r="F238" s="14" t="s">
        <v>1183</v>
      </c>
      <c r="G238" s="15">
        <v>2</v>
      </c>
      <c r="H238" s="14" t="s">
        <v>667</v>
      </c>
      <c r="I238" s="15">
        <v>1</v>
      </c>
      <c r="J238" s="16"/>
      <c r="K238" s="14" t="s">
        <v>517</v>
      </c>
      <c r="L238" s="14" t="s">
        <v>1184</v>
      </c>
      <c r="M238" s="14" t="s">
        <v>519</v>
      </c>
      <c r="N238" s="14" t="s">
        <v>520</v>
      </c>
      <c r="O238" s="261" t="s">
        <v>769</v>
      </c>
    </row>
    <row r="239" spans="2:15" x14ac:dyDescent="0.4">
      <c r="B239" s="257" t="s">
        <v>398</v>
      </c>
      <c r="C239" s="14" t="s">
        <v>1014</v>
      </c>
      <c r="D239" s="18" t="s">
        <v>565</v>
      </c>
      <c r="E239" s="14" t="s">
        <v>913</v>
      </c>
      <c r="F239" s="14" t="s">
        <v>1183</v>
      </c>
      <c r="G239" s="15">
        <v>2</v>
      </c>
      <c r="H239" s="14" t="s">
        <v>667</v>
      </c>
      <c r="I239" s="15">
        <v>1</v>
      </c>
      <c r="J239" s="16"/>
      <c r="K239" s="14" t="s">
        <v>517</v>
      </c>
      <c r="L239" s="14" t="s">
        <v>1184</v>
      </c>
      <c r="M239" s="14" t="s">
        <v>519</v>
      </c>
      <c r="N239" s="14" t="s">
        <v>531</v>
      </c>
      <c r="O239" s="261" t="s">
        <v>769</v>
      </c>
    </row>
    <row r="240" spans="2:15" x14ac:dyDescent="0.4">
      <c r="B240" s="257" t="s">
        <v>399</v>
      </c>
      <c r="C240" s="14" t="s">
        <v>1014</v>
      </c>
      <c r="D240" s="18" t="s">
        <v>565</v>
      </c>
      <c r="E240" s="14" t="s">
        <v>914</v>
      </c>
      <c r="F240" s="14" t="s">
        <v>1183</v>
      </c>
      <c r="G240" s="15">
        <v>2</v>
      </c>
      <c r="H240" s="14" t="s">
        <v>667</v>
      </c>
      <c r="I240" s="15">
        <v>2</v>
      </c>
      <c r="J240" s="16"/>
      <c r="K240" s="14" t="s">
        <v>517</v>
      </c>
      <c r="L240" s="14" t="s">
        <v>1184</v>
      </c>
      <c r="M240" s="14" t="s">
        <v>519</v>
      </c>
      <c r="N240" s="14" t="s">
        <v>520</v>
      </c>
      <c r="O240" s="261" t="s">
        <v>769</v>
      </c>
    </row>
    <row r="241" spans="2:15" x14ac:dyDescent="0.4">
      <c r="B241" s="257" t="s">
        <v>400</v>
      </c>
      <c r="C241" s="14" t="s">
        <v>1014</v>
      </c>
      <c r="D241" s="18" t="s">
        <v>565</v>
      </c>
      <c r="E241" s="14" t="s">
        <v>915</v>
      </c>
      <c r="F241" s="14" t="s">
        <v>1183</v>
      </c>
      <c r="G241" s="15">
        <v>2</v>
      </c>
      <c r="H241" s="14" t="s">
        <v>667</v>
      </c>
      <c r="I241" s="15">
        <v>2</v>
      </c>
      <c r="J241" s="16"/>
      <c r="K241" s="14" t="s">
        <v>517</v>
      </c>
      <c r="L241" s="14" t="s">
        <v>1184</v>
      </c>
      <c r="M241" s="14" t="s">
        <v>519</v>
      </c>
      <c r="N241" s="14" t="s">
        <v>531</v>
      </c>
      <c r="O241" s="261" t="s">
        <v>769</v>
      </c>
    </row>
    <row r="242" spans="2:15" x14ac:dyDescent="0.4">
      <c r="B242" s="257" t="s">
        <v>401</v>
      </c>
      <c r="C242" s="14" t="s">
        <v>1014</v>
      </c>
      <c r="D242" s="18" t="s">
        <v>565</v>
      </c>
      <c r="E242" s="14" t="s">
        <v>916</v>
      </c>
      <c r="F242" s="14" t="s">
        <v>1183</v>
      </c>
      <c r="G242" s="15">
        <v>2</v>
      </c>
      <c r="H242" s="14" t="s">
        <v>667</v>
      </c>
      <c r="I242" s="15">
        <v>1</v>
      </c>
      <c r="J242" s="14" t="s">
        <v>769</v>
      </c>
      <c r="K242" s="14" t="s">
        <v>517</v>
      </c>
      <c r="L242" s="14" t="s">
        <v>1185</v>
      </c>
      <c r="M242" s="14" t="s">
        <v>519</v>
      </c>
      <c r="N242" s="14" t="s">
        <v>520</v>
      </c>
      <c r="O242" s="261" t="s">
        <v>1186</v>
      </c>
    </row>
    <row r="243" spans="2:15" x14ac:dyDescent="0.4">
      <c r="B243" s="257" t="s">
        <v>402</v>
      </c>
      <c r="C243" s="14" t="s">
        <v>1014</v>
      </c>
      <c r="D243" s="18" t="s">
        <v>565</v>
      </c>
      <c r="E243" s="14" t="s">
        <v>917</v>
      </c>
      <c r="F243" s="14" t="s">
        <v>1183</v>
      </c>
      <c r="G243" s="15">
        <v>2</v>
      </c>
      <c r="H243" s="14" t="s">
        <v>667</v>
      </c>
      <c r="I243" s="15">
        <v>1</v>
      </c>
      <c r="J243" s="14" t="s">
        <v>769</v>
      </c>
      <c r="K243" s="14" t="s">
        <v>517</v>
      </c>
      <c r="L243" s="14" t="s">
        <v>1185</v>
      </c>
      <c r="M243" s="14" t="s">
        <v>519</v>
      </c>
      <c r="N243" s="14" t="s">
        <v>531</v>
      </c>
      <c r="O243" s="261" t="s">
        <v>1186</v>
      </c>
    </row>
    <row r="244" spans="2:15" x14ac:dyDescent="0.4">
      <c r="B244" s="257" t="s">
        <v>403</v>
      </c>
      <c r="C244" s="14" t="s">
        <v>1014</v>
      </c>
      <c r="D244" s="18" t="s">
        <v>565</v>
      </c>
      <c r="E244" s="14" t="s">
        <v>918</v>
      </c>
      <c r="F244" s="14" t="s">
        <v>1183</v>
      </c>
      <c r="G244" s="15">
        <v>2</v>
      </c>
      <c r="H244" s="14" t="s">
        <v>667</v>
      </c>
      <c r="I244" s="15">
        <v>2</v>
      </c>
      <c r="J244" s="14" t="s">
        <v>769</v>
      </c>
      <c r="K244" s="14" t="s">
        <v>517</v>
      </c>
      <c r="L244" s="14" t="s">
        <v>1185</v>
      </c>
      <c r="M244" s="14" t="s">
        <v>519</v>
      </c>
      <c r="N244" s="14" t="s">
        <v>520</v>
      </c>
      <c r="O244" s="261" t="s">
        <v>1186</v>
      </c>
    </row>
    <row r="245" spans="2:15" x14ac:dyDescent="0.4">
      <c r="B245" s="257" t="s">
        <v>404</v>
      </c>
      <c r="C245" s="14" t="s">
        <v>1014</v>
      </c>
      <c r="D245" s="18" t="s">
        <v>565</v>
      </c>
      <c r="E245" s="14" t="s">
        <v>919</v>
      </c>
      <c r="F245" s="14" t="s">
        <v>1183</v>
      </c>
      <c r="G245" s="15">
        <v>2</v>
      </c>
      <c r="H245" s="14" t="s">
        <v>667</v>
      </c>
      <c r="I245" s="15">
        <v>2</v>
      </c>
      <c r="J245" s="14" t="s">
        <v>769</v>
      </c>
      <c r="K245" s="14" t="s">
        <v>517</v>
      </c>
      <c r="L245" s="14" t="s">
        <v>1185</v>
      </c>
      <c r="M245" s="14" t="s">
        <v>519</v>
      </c>
      <c r="N245" s="14" t="s">
        <v>531</v>
      </c>
      <c r="O245" s="261" t="s">
        <v>1186</v>
      </c>
    </row>
    <row r="246" spans="2:15" x14ac:dyDescent="0.4">
      <c r="B246" s="257" t="s">
        <v>405</v>
      </c>
      <c r="C246" s="14" t="s">
        <v>1014</v>
      </c>
      <c r="D246" s="18" t="s">
        <v>565</v>
      </c>
      <c r="E246" s="16" t="s">
        <v>1187</v>
      </c>
      <c r="F246" s="14" t="s">
        <v>1183</v>
      </c>
      <c r="G246" s="15">
        <v>2</v>
      </c>
      <c r="H246" s="14" t="s">
        <v>558</v>
      </c>
      <c r="I246" s="14" t="s">
        <v>516</v>
      </c>
      <c r="J246" s="16"/>
      <c r="K246" s="14" t="s">
        <v>517</v>
      </c>
      <c r="L246" s="14" t="s">
        <v>1188</v>
      </c>
      <c r="M246" s="14" t="s">
        <v>519</v>
      </c>
      <c r="N246" s="14" t="s">
        <v>524</v>
      </c>
      <c r="O246" s="261" t="s">
        <v>769</v>
      </c>
    </row>
    <row r="247" spans="2:15" x14ac:dyDescent="0.4">
      <c r="B247" s="257" t="s">
        <v>406</v>
      </c>
      <c r="C247" s="14" t="s">
        <v>1014</v>
      </c>
      <c r="D247" s="18" t="s">
        <v>565</v>
      </c>
      <c r="E247" s="14" t="s">
        <v>920</v>
      </c>
      <c r="F247" s="14" t="s">
        <v>120</v>
      </c>
      <c r="G247" s="15">
        <v>2</v>
      </c>
      <c r="H247" s="14" t="s">
        <v>667</v>
      </c>
      <c r="I247" s="14" t="s">
        <v>516</v>
      </c>
      <c r="J247" s="16"/>
      <c r="K247" s="14" t="s">
        <v>517</v>
      </c>
      <c r="L247" s="14" t="s">
        <v>1189</v>
      </c>
      <c r="M247" s="14" t="s">
        <v>577</v>
      </c>
      <c r="N247" s="14" t="s">
        <v>520</v>
      </c>
      <c r="O247" s="260"/>
    </row>
    <row r="248" spans="2:15" x14ac:dyDescent="0.4">
      <c r="B248" s="257" t="s">
        <v>407</v>
      </c>
      <c r="C248" s="14" t="s">
        <v>1014</v>
      </c>
      <c r="D248" s="18" t="s">
        <v>565</v>
      </c>
      <c r="E248" s="14" t="s">
        <v>921</v>
      </c>
      <c r="F248" s="14" t="s">
        <v>122</v>
      </c>
      <c r="G248" s="15">
        <v>2</v>
      </c>
      <c r="H248" s="14" t="s">
        <v>667</v>
      </c>
      <c r="I248" s="14" t="s">
        <v>516</v>
      </c>
      <c r="J248" s="16"/>
      <c r="K248" s="14" t="s">
        <v>517</v>
      </c>
      <c r="L248" s="14" t="s">
        <v>1189</v>
      </c>
      <c r="M248" s="14" t="s">
        <v>577</v>
      </c>
      <c r="N248" s="14" t="s">
        <v>531</v>
      </c>
      <c r="O248" s="260"/>
    </row>
    <row r="249" spans="2:15" x14ac:dyDescent="0.4">
      <c r="B249" s="257" t="s">
        <v>408</v>
      </c>
      <c r="C249" s="14" t="s">
        <v>1014</v>
      </c>
      <c r="D249" s="18" t="s">
        <v>565</v>
      </c>
      <c r="E249" s="14" t="s">
        <v>922</v>
      </c>
      <c r="F249" s="14" t="s">
        <v>124</v>
      </c>
      <c r="G249" s="15">
        <v>2</v>
      </c>
      <c r="H249" s="14" t="s">
        <v>667</v>
      </c>
      <c r="I249" s="14" t="s">
        <v>516</v>
      </c>
      <c r="J249" s="16"/>
      <c r="K249" s="14" t="s">
        <v>517</v>
      </c>
      <c r="L249" s="14" t="s">
        <v>1189</v>
      </c>
      <c r="M249" s="14" t="s">
        <v>577</v>
      </c>
      <c r="N249" s="14" t="s">
        <v>531</v>
      </c>
      <c r="O249" s="260"/>
    </row>
    <row r="250" spans="2:15" x14ac:dyDescent="0.4">
      <c r="B250" s="257" t="s">
        <v>409</v>
      </c>
      <c r="C250" s="14" t="s">
        <v>1014</v>
      </c>
      <c r="D250" s="18" t="s">
        <v>565</v>
      </c>
      <c r="E250" s="14" t="s">
        <v>923</v>
      </c>
      <c r="F250" s="14" t="s">
        <v>374</v>
      </c>
      <c r="G250" s="15">
        <v>2</v>
      </c>
      <c r="H250" s="14" t="s">
        <v>667</v>
      </c>
      <c r="I250" s="14" t="s">
        <v>516</v>
      </c>
      <c r="J250" s="16"/>
      <c r="K250" s="14" t="s">
        <v>517</v>
      </c>
      <c r="L250" s="14" t="s">
        <v>1189</v>
      </c>
      <c r="M250" s="14" t="s">
        <v>575</v>
      </c>
      <c r="N250" s="14" t="s">
        <v>520</v>
      </c>
      <c r="O250" s="260"/>
    </row>
    <row r="251" spans="2:15" x14ac:dyDescent="0.4">
      <c r="B251" s="257" t="s">
        <v>410</v>
      </c>
      <c r="C251" s="14" t="s">
        <v>1014</v>
      </c>
      <c r="D251" s="18" t="s">
        <v>565</v>
      </c>
      <c r="E251" s="14" t="s">
        <v>924</v>
      </c>
      <c r="F251" s="14" t="s">
        <v>126</v>
      </c>
      <c r="G251" s="15">
        <v>2</v>
      </c>
      <c r="H251" s="14" t="s">
        <v>667</v>
      </c>
      <c r="I251" s="14" t="s">
        <v>516</v>
      </c>
      <c r="J251" s="16"/>
      <c r="K251" s="14" t="s">
        <v>517</v>
      </c>
      <c r="L251" s="14" t="s">
        <v>1189</v>
      </c>
      <c r="M251" s="14" t="s">
        <v>575</v>
      </c>
      <c r="N251" s="14" t="s">
        <v>531</v>
      </c>
      <c r="O251" s="260"/>
    </row>
    <row r="252" spans="2:15" x14ac:dyDescent="0.4">
      <c r="B252" s="257" t="s">
        <v>411</v>
      </c>
      <c r="C252" s="14" t="s">
        <v>1014</v>
      </c>
      <c r="D252" s="18" t="s">
        <v>565</v>
      </c>
      <c r="E252" s="14" t="s">
        <v>925</v>
      </c>
      <c r="F252" s="14" t="s">
        <v>120</v>
      </c>
      <c r="G252" s="15">
        <v>2</v>
      </c>
      <c r="H252" s="14" t="s">
        <v>667</v>
      </c>
      <c r="I252" s="14" t="s">
        <v>516</v>
      </c>
      <c r="J252" s="16"/>
      <c r="K252" s="14" t="s">
        <v>517</v>
      </c>
      <c r="L252" s="14" t="s">
        <v>1189</v>
      </c>
      <c r="M252" s="14" t="s">
        <v>575</v>
      </c>
      <c r="N252" s="14" t="s">
        <v>520</v>
      </c>
      <c r="O252" s="260"/>
    </row>
    <row r="253" spans="2:15" x14ac:dyDescent="0.4">
      <c r="B253" s="258"/>
      <c r="C253" s="186"/>
      <c r="D253" s="186" t="s">
        <v>1190</v>
      </c>
      <c r="E253" s="186"/>
      <c r="F253" s="186"/>
      <c r="G253" s="186"/>
      <c r="H253" s="186"/>
      <c r="I253" s="186"/>
      <c r="J253" s="186"/>
      <c r="K253" s="186"/>
      <c r="L253" s="186"/>
      <c r="M253" s="186"/>
      <c r="N253" s="186"/>
      <c r="O253" s="262"/>
    </row>
    <row r="254" spans="2:15" x14ac:dyDescent="0.4">
      <c r="B254" s="257" t="s">
        <v>412</v>
      </c>
      <c r="C254" s="14" t="s">
        <v>1014</v>
      </c>
      <c r="D254" s="18" t="s">
        <v>565</v>
      </c>
      <c r="E254" s="14" t="s">
        <v>926</v>
      </c>
      <c r="F254" s="14" t="s">
        <v>83</v>
      </c>
      <c r="G254" s="15">
        <v>2</v>
      </c>
      <c r="H254" s="14" t="s">
        <v>515</v>
      </c>
      <c r="I254" s="14" t="s">
        <v>516</v>
      </c>
      <c r="J254" s="16"/>
      <c r="K254" s="14" t="s">
        <v>522</v>
      </c>
      <c r="L254" s="14" t="s">
        <v>1191</v>
      </c>
      <c r="M254" s="14" t="s">
        <v>577</v>
      </c>
      <c r="N254" s="14" t="s">
        <v>531</v>
      </c>
      <c r="O254" s="261" t="s">
        <v>769</v>
      </c>
    </row>
    <row r="255" spans="2:15" x14ac:dyDescent="0.4">
      <c r="B255" s="257" t="s">
        <v>413</v>
      </c>
      <c r="C255" s="14" t="s">
        <v>1014</v>
      </c>
      <c r="D255" s="18" t="s">
        <v>565</v>
      </c>
      <c r="E255" s="14" t="s">
        <v>927</v>
      </c>
      <c r="F255" s="14" t="s">
        <v>1192</v>
      </c>
      <c r="G255" s="15">
        <v>2</v>
      </c>
      <c r="H255" s="14" t="s">
        <v>515</v>
      </c>
      <c r="I255" s="14" t="s">
        <v>516</v>
      </c>
      <c r="J255" s="16"/>
      <c r="K255" s="14" t="s">
        <v>522</v>
      </c>
      <c r="L255" s="14" t="s">
        <v>1193</v>
      </c>
      <c r="M255" s="14" t="s">
        <v>519</v>
      </c>
      <c r="N255" s="14" t="s">
        <v>531</v>
      </c>
      <c r="O255" s="261" t="s">
        <v>769</v>
      </c>
    </row>
    <row r="256" spans="2:15" x14ac:dyDescent="0.4">
      <c r="B256" s="257" t="s">
        <v>414</v>
      </c>
      <c r="C256" s="14" t="s">
        <v>1014</v>
      </c>
      <c r="D256" s="18" t="s">
        <v>565</v>
      </c>
      <c r="E256" s="14" t="s">
        <v>928</v>
      </c>
      <c r="F256" s="14" t="s">
        <v>415</v>
      </c>
      <c r="G256" s="15">
        <v>2</v>
      </c>
      <c r="H256" s="14" t="s">
        <v>515</v>
      </c>
      <c r="I256" s="14" t="s">
        <v>516</v>
      </c>
      <c r="J256" s="16"/>
      <c r="K256" s="14" t="s">
        <v>522</v>
      </c>
      <c r="L256" s="14" t="s">
        <v>1194</v>
      </c>
      <c r="M256" s="14" t="s">
        <v>575</v>
      </c>
      <c r="N256" s="14" t="s">
        <v>531</v>
      </c>
      <c r="O256" s="261" t="s">
        <v>769</v>
      </c>
    </row>
    <row r="257" spans="1:15" x14ac:dyDescent="0.4">
      <c r="B257" s="257" t="s">
        <v>416</v>
      </c>
      <c r="C257" s="14" t="s">
        <v>1014</v>
      </c>
      <c r="D257" s="18" t="s">
        <v>565</v>
      </c>
      <c r="E257" s="14" t="s">
        <v>929</v>
      </c>
      <c r="F257" s="14" t="s">
        <v>417</v>
      </c>
      <c r="G257" s="15">
        <v>2</v>
      </c>
      <c r="H257" s="14" t="s">
        <v>515</v>
      </c>
      <c r="I257" s="14" t="s">
        <v>516</v>
      </c>
      <c r="J257" s="16"/>
      <c r="K257" s="14" t="s">
        <v>522</v>
      </c>
      <c r="L257" s="14" t="s">
        <v>1195</v>
      </c>
      <c r="M257" s="14" t="s">
        <v>577</v>
      </c>
      <c r="N257" s="14" t="s">
        <v>520</v>
      </c>
      <c r="O257" s="261" t="s">
        <v>769</v>
      </c>
    </row>
    <row r="258" spans="1:15" x14ac:dyDescent="0.4">
      <c r="B258" s="257" t="s">
        <v>418</v>
      </c>
      <c r="C258" s="14" t="s">
        <v>1014</v>
      </c>
      <c r="D258" s="18" t="s">
        <v>565</v>
      </c>
      <c r="E258" s="14" t="s">
        <v>930</v>
      </c>
      <c r="F258" s="14" t="s">
        <v>419</v>
      </c>
      <c r="G258" s="15">
        <v>2</v>
      </c>
      <c r="H258" s="14" t="s">
        <v>515</v>
      </c>
      <c r="I258" s="14" t="s">
        <v>516</v>
      </c>
      <c r="J258" s="16"/>
      <c r="K258" s="14" t="s">
        <v>522</v>
      </c>
      <c r="L258" s="14" t="s">
        <v>1196</v>
      </c>
      <c r="M258" s="14" t="s">
        <v>577</v>
      </c>
      <c r="N258" s="14" t="s">
        <v>520</v>
      </c>
      <c r="O258" s="261" t="s">
        <v>769</v>
      </c>
    </row>
    <row r="259" spans="1:15" x14ac:dyDescent="0.4">
      <c r="B259" s="257" t="s">
        <v>420</v>
      </c>
      <c r="C259" s="14" t="s">
        <v>1014</v>
      </c>
      <c r="D259" s="18" t="s">
        <v>565</v>
      </c>
      <c r="E259" s="14" t="s">
        <v>931</v>
      </c>
      <c r="F259" s="14" t="s">
        <v>421</v>
      </c>
      <c r="G259" s="15">
        <v>2</v>
      </c>
      <c r="H259" s="14" t="s">
        <v>515</v>
      </c>
      <c r="I259" s="14" t="s">
        <v>516</v>
      </c>
      <c r="J259" s="16"/>
      <c r="K259" s="14" t="s">
        <v>517</v>
      </c>
      <c r="L259" s="14" t="s">
        <v>1191</v>
      </c>
      <c r="M259" s="14" t="s">
        <v>519</v>
      </c>
      <c r="N259" s="14" t="s">
        <v>531</v>
      </c>
      <c r="O259" s="261" t="s">
        <v>769</v>
      </c>
    </row>
    <row r="260" spans="1:15" x14ac:dyDescent="0.4">
      <c r="B260" s="257" t="s">
        <v>422</v>
      </c>
      <c r="C260" s="14" t="s">
        <v>1014</v>
      </c>
      <c r="D260" s="18" t="s">
        <v>565</v>
      </c>
      <c r="E260" s="14" t="s">
        <v>932</v>
      </c>
      <c r="F260" s="14" t="s">
        <v>1197</v>
      </c>
      <c r="G260" s="15">
        <v>2</v>
      </c>
      <c r="H260" s="14" t="s">
        <v>515</v>
      </c>
      <c r="I260" s="14" t="s">
        <v>516</v>
      </c>
      <c r="J260" s="16"/>
      <c r="K260" s="14" t="s">
        <v>517</v>
      </c>
      <c r="L260" s="14" t="s">
        <v>1196</v>
      </c>
      <c r="M260" s="14" t="s">
        <v>519</v>
      </c>
      <c r="N260" s="14" t="s">
        <v>531</v>
      </c>
      <c r="O260" s="261" t="s">
        <v>769</v>
      </c>
    </row>
    <row r="261" spans="1:15" x14ac:dyDescent="0.4">
      <c r="B261" s="257" t="s">
        <v>423</v>
      </c>
      <c r="C261" s="14" t="s">
        <v>1014</v>
      </c>
      <c r="D261" s="187" t="s">
        <v>512</v>
      </c>
      <c r="E261" s="14" t="s">
        <v>933</v>
      </c>
      <c r="F261" s="14" t="s">
        <v>1198</v>
      </c>
      <c r="G261" s="15">
        <v>2</v>
      </c>
      <c r="H261" s="14" t="s">
        <v>515</v>
      </c>
      <c r="I261" s="15">
        <v>1</v>
      </c>
      <c r="J261" s="16"/>
      <c r="K261" s="14" t="s">
        <v>517</v>
      </c>
      <c r="L261" s="14" t="s">
        <v>1199</v>
      </c>
      <c r="M261" s="14" t="s">
        <v>519</v>
      </c>
      <c r="N261" s="14" t="s">
        <v>934</v>
      </c>
      <c r="O261" s="261" t="s">
        <v>769</v>
      </c>
    </row>
    <row r="262" spans="1:15" x14ac:dyDescent="0.4">
      <c r="B262" s="257" t="s">
        <v>424</v>
      </c>
      <c r="C262" s="14" t="s">
        <v>1014</v>
      </c>
      <c r="D262" s="18" t="s">
        <v>565</v>
      </c>
      <c r="E262" s="14" t="s">
        <v>935</v>
      </c>
      <c r="F262" s="14" t="s">
        <v>1200</v>
      </c>
      <c r="G262" s="15">
        <v>2</v>
      </c>
      <c r="H262" s="14" t="s">
        <v>515</v>
      </c>
      <c r="I262" s="14" t="s">
        <v>161</v>
      </c>
      <c r="J262" s="16"/>
      <c r="K262" s="14" t="s">
        <v>517</v>
      </c>
      <c r="L262" s="14" t="s">
        <v>1201</v>
      </c>
      <c r="M262" s="14" t="s">
        <v>519</v>
      </c>
      <c r="N262" s="14" t="s">
        <v>520</v>
      </c>
      <c r="O262" s="261" t="s">
        <v>769</v>
      </c>
    </row>
    <row r="263" spans="1:15" x14ac:dyDescent="0.4">
      <c r="B263" s="257" t="s">
        <v>425</v>
      </c>
      <c r="C263" s="14" t="s">
        <v>1014</v>
      </c>
      <c r="D263" s="18" t="s">
        <v>565</v>
      </c>
      <c r="E263" s="14" t="s">
        <v>936</v>
      </c>
      <c r="F263" s="14" t="s">
        <v>426</v>
      </c>
      <c r="G263" s="15">
        <v>2</v>
      </c>
      <c r="H263" s="14" t="s">
        <v>667</v>
      </c>
      <c r="I263" s="15">
        <v>1</v>
      </c>
      <c r="J263" s="14" t="s">
        <v>769</v>
      </c>
      <c r="K263" s="14" t="s">
        <v>517</v>
      </c>
      <c r="L263" s="14" t="s">
        <v>1202</v>
      </c>
      <c r="M263" s="14" t="s">
        <v>519</v>
      </c>
      <c r="N263" s="14" t="s">
        <v>520</v>
      </c>
      <c r="O263" s="261" t="s">
        <v>1186</v>
      </c>
    </row>
    <row r="264" spans="1:15" x14ac:dyDescent="0.4">
      <c r="B264" s="257" t="s">
        <v>427</v>
      </c>
      <c r="C264" s="14" t="s">
        <v>1014</v>
      </c>
      <c r="D264" s="18" t="s">
        <v>565</v>
      </c>
      <c r="E264" s="14" t="s">
        <v>937</v>
      </c>
      <c r="F264" s="14" t="s">
        <v>426</v>
      </c>
      <c r="G264" s="15">
        <v>2</v>
      </c>
      <c r="H264" s="14" t="s">
        <v>667</v>
      </c>
      <c r="I264" s="15">
        <v>1</v>
      </c>
      <c r="J264" s="14" t="s">
        <v>769</v>
      </c>
      <c r="K264" s="14" t="s">
        <v>517</v>
      </c>
      <c r="L264" s="14" t="s">
        <v>1202</v>
      </c>
      <c r="M264" s="14" t="s">
        <v>519</v>
      </c>
      <c r="N264" s="14" t="s">
        <v>531</v>
      </c>
      <c r="O264" s="261" t="s">
        <v>1186</v>
      </c>
    </row>
    <row r="265" spans="1:15" x14ac:dyDescent="0.4">
      <c r="A265" s="307"/>
      <c r="B265" s="257" t="s">
        <v>1947</v>
      </c>
      <c r="C265" s="14" t="s">
        <v>1014</v>
      </c>
      <c r="D265" s="18" t="s">
        <v>2263</v>
      </c>
      <c r="E265" s="14" t="s">
        <v>1948</v>
      </c>
      <c r="F265" s="14" t="s">
        <v>1944</v>
      </c>
      <c r="G265" s="308">
        <v>2</v>
      </c>
      <c r="H265" s="14" t="s">
        <v>2264</v>
      </c>
      <c r="I265" s="308">
        <v>2</v>
      </c>
      <c r="J265" s="14" t="s">
        <v>2265</v>
      </c>
      <c r="K265" s="14" t="s">
        <v>2266</v>
      </c>
      <c r="L265" s="14" t="s">
        <v>2267</v>
      </c>
      <c r="M265" s="14" t="s">
        <v>2268</v>
      </c>
      <c r="N265" s="14" t="s">
        <v>1261</v>
      </c>
      <c r="O265" s="261" t="s">
        <v>1186</v>
      </c>
    </row>
    <row r="266" spans="1:15" x14ac:dyDescent="0.4">
      <c r="A266" s="307"/>
      <c r="B266" s="257" t="s">
        <v>1949</v>
      </c>
      <c r="C266" s="14" t="s">
        <v>1014</v>
      </c>
      <c r="D266" s="18" t="s">
        <v>2263</v>
      </c>
      <c r="E266" s="14" t="s">
        <v>1950</v>
      </c>
      <c r="F266" s="14" t="s">
        <v>1944</v>
      </c>
      <c r="G266" s="308">
        <v>2</v>
      </c>
      <c r="H266" s="14" t="s">
        <v>2264</v>
      </c>
      <c r="I266" s="308">
        <v>2</v>
      </c>
      <c r="J266" s="14" t="s">
        <v>2265</v>
      </c>
      <c r="K266" s="14" t="s">
        <v>2266</v>
      </c>
      <c r="L266" s="14" t="s">
        <v>2267</v>
      </c>
      <c r="M266" s="14" t="s">
        <v>2268</v>
      </c>
      <c r="N266" s="14" t="s">
        <v>1217</v>
      </c>
      <c r="O266" s="261" t="s">
        <v>1186</v>
      </c>
    </row>
    <row r="267" spans="1:15" x14ac:dyDescent="0.4">
      <c r="A267" s="307"/>
      <c r="B267" s="257" t="s">
        <v>1951</v>
      </c>
      <c r="C267" s="14" t="s">
        <v>1014</v>
      </c>
      <c r="D267" s="18" t="s">
        <v>2263</v>
      </c>
      <c r="E267" s="14" t="s">
        <v>1952</v>
      </c>
      <c r="F267" s="14" t="s">
        <v>1944</v>
      </c>
      <c r="G267" s="308">
        <v>2</v>
      </c>
      <c r="H267" s="14" t="s">
        <v>2264</v>
      </c>
      <c r="I267" s="14" t="s">
        <v>2269</v>
      </c>
      <c r="J267" s="309"/>
      <c r="K267" s="14" t="s">
        <v>2266</v>
      </c>
      <c r="L267" s="14" t="s">
        <v>2270</v>
      </c>
      <c r="M267" s="14" t="s">
        <v>2268</v>
      </c>
      <c r="N267" s="14" t="s">
        <v>1261</v>
      </c>
      <c r="O267" s="261" t="s">
        <v>769</v>
      </c>
    </row>
    <row r="268" spans="1:15" x14ac:dyDescent="0.4">
      <c r="A268" s="307"/>
      <c r="B268" s="257" t="s">
        <v>1953</v>
      </c>
      <c r="C268" s="14" t="s">
        <v>1014</v>
      </c>
      <c r="D268" s="18" t="s">
        <v>2263</v>
      </c>
      <c r="E268" s="14" t="s">
        <v>1954</v>
      </c>
      <c r="F268" s="14" t="s">
        <v>1944</v>
      </c>
      <c r="G268" s="308">
        <v>2</v>
      </c>
      <c r="H268" s="14" t="s">
        <v>2264</v>
      </c>
      <c r="I268" s="14" t="s">
        <v>2269</v>
      </c>
      <c r="J268" s="309"/>
      <c r="K268" s="14" t="s">
        <v>2266</v>
      </c>
      <c r="L268" s="14" t="s">
        <v>2270</v>
      </c>
      <c r="M268" s="14" t="s">
        <v>2268</v>
      </c>
      <c r="N268" s="14" t="s">
        <v>1217</v>
      </c>
      <c r="O268" s="261" t="s">
        <v>769</v>
      </c>
    </row>
    <row r="269" spans="1:15" x14ac:dyDescent="0.4">
      <c r="A269" s="307"/>
      <c r="B269" s="257" t="s">
        <v>1955</v>
      </c>
      <c r="C269" s="14" t="s">
        <v>1014</v>
      </c>
      <c r="D269" s="187" t="s">
        <v>2271</v>
      </c>
      <c r="E269" s="14" t="s">
        <v>1956</v>
      </c>
      <c r="F269" s="14" t="s">
        <v>1944</v>
      </c>
      <c r="G269" s="308">
        <v>1</v>
      </c>
      <c r="H269" s="14" t="s">
        <v>2272</v>
      </c>
      <c r="I269" s="308">
        <v>1</v>
      </c>
      <c r="J269" s="309"/>
      <c r="K269" s="14" t="s">
        <v>2273</v>
      </c>
      <c r="L269" s="14" t="s">
        <v>2274</v>
      </c>
      <c r="M269" s="14" t="s">
        <v>2268</v>
      </c>
      <c r="N269" s="14" t="s">
        <v>1937</v>
      </c>
      <c r="O269" s="261" t="s">
        <v>1061</v>
      </c>
    </row>
    <row r="270" spans="1:15" x14ac:dyDescent="0.4">
      <c r="A270" s="307"/>
      <c r="B270" s="257" t="s">
        <v>1957</v>
      </c>
      <c r="C270" s="14" t="s">
        <v>1014</v>
      </c>
      <c r="D270" s="187" t="s">
        <v>2271</v>
      </c>
      <c r="E270" s="309" t="s">
        <v>2275</v>
      </c>
      <c r="F270" s="14" t="s">
        <v>1944</v>
      </c>
      <c r="G270" s="308">
        <v>4</v>
      </c>
      <c r="H270" s="14" t="s">
        <v>2272</v>
      </c>
      <c r="I270" s="14" t="s">
        <v>2269</v>
      </c>
      <c r="J270" s="309"/>
      <c r="K270" s="14" t="s">
        <v>2266</v>
      </c>
      <c r="L270" s="14" t="s">
        <v>2276</v>
      </c>
      <c r="M270" s="14" t="s">
        <v>2268</v>
      </c>
      <c r="N270" s="14" t="s">
        <v>2277</v>
      </c>
      <c r="O270" s="261" t="s">
        <v>769</v>
      </c>
    </row>
    <row r="271" spans="1:15" x14ac:dyDescent="0.4">
      <c r="A271" s="307"/>
      <c r="B271" s="257" t="s">
        <v>1960</v>
      </c>
      <c r="C271" s="14" t="s">
        <v>1014</v>
      </c>
      <c r="D271" s="187" t="s">
        <v>2271</v>
      </c>
      <c r="E271" s="309" t="s">
        <v>2278</v>
      </c>
      <c r="F271" s="14" t="s">
        <v>1944</v>
      </c>
      <c r="G271" s="308">
        <v>2</v>
      </c>
      <c r="H271" s="14" t="s">
        <v>2272</v>
      </c>
      <c r="I271" s="14" t="s">
        <v>2269</v>
      </c>
      <c r="J271" s="309"/>
      <c r="K271" s="14" t="s">
        <v>2266</v>
      </c>
      <c r="L271" s="14" t="s">
        <v>2276</v>
      </c>
      <c r="M271" s="14" t="s">
        <v>2268</v>
      </c>
      <c r="N271" s="14" t="s">
        <v>2277</v>
      </c>
      <c r="O271" s="261" t="s">
        <v>769</v>
      </c>
    </row>
    <row r="272" spans="1:15" x14ac:dyDescent="0.4">
      <c r="A272" s="307"/>
      <c r="B272" s="257" t="s">
        <v>1963</v>
      </c>
      <c r="C272" s="14" t="s">
        <v>1014</v>
      </c>
      <c r="D272" s="187" t="s">
        <v>2271</v>
      </c>
      <c r="E272" s="309" t="s">
        <v>2279</v>
      </c>
      <c r="F272" s="14" t="s">
        <v>1944</v>
      </c>
      <c r="G272" s="308">
        <v>1</v>
      </c>
      <c r="H272" s="14" t="s">
        <v>2272</v>
      </c>
      <c r="I272" s="14" t="s">
        <v>2269</v>
      </c>
      <c r="J272" s="309"/>
      <c r="K272" s="14" t="s">
        <v>2266</v>
      </c>
      <c r="L272" s="14" t="s">
        <v>2276</v>
      </c>
      <c r="M272" s="14" t="s">
        <v>2268</v>
      </c>
      <c r="N272" s="14" t="s">
        <v>2277</v>
      </c>
      <c r="O272" s="261" t="s">
        <v>769</v>
      </c>
    </row>
    <row r="273" spans="1:15" ht="36" x14ac:dyDescent="0.4">
      <c r="A273" s="307"/>
      <c r="B273" s="258"/>
      <c r="C273" s="186"/>
      <c r="D273" s="186" t="s">
        <v>2280</v>
      </c>
      <c r="E273" s="186"/>
      <c r="F273" s="186"/>
      <c r="G273" s="186"/>
      <c r="H273" s="186"/>
      <c r="I273" s="186"/>
      <c r="J273" s="186"/>
      <c r="K273" s="186"/>
      <c r="L273" s="186"/>
      <c r="M273" s="186"/>
      <c r="N273" s="186"/>
      <c r="O273" s="262"/>
    </row>
    <row r="274" spans="1:15" x14ac:dyDescent="0.4">
      <c r="A274" s="307"/>
      <c r="B274" s="257" t="s">
        <v>1966</v>
      </c>
      <c r="C274" s="14" t="s">
        <v>1014</v>
      </c>
      <c r="D274" s="18" t="s">
        <v>2263</v>
      </c>
      <c r="E274" s="14" t="s">
        <v>1878</v>
      </c>
      <c r="F274" s="14" t="s">
        <v>1879</v>
      </c>
      <c r="G274" s="308">
        <v>2</v>
      </c>
      <c r="H274" s="14" t="s">
        <v>2281</v>
      </c>
      <c r="I274" s="14" t="s">
        <v>2269</v>
      </c>
      <c r="J274" s="309"/>
      <c r="K274" s="14" t="s">
        <v>2273</v>
      </c>
      <c r="L274" s="14" t="s">
        <v>2282</v>
      </c>
      <c r="M274" s="14" t="s">
        <v>2268</v>
      </c>
      <c r="N274" s="14" t="s">
        <v>1261</v>
      </c>
      <c r="O274" s="261" t="s">
        <v>769</v>
      </c>
    </row>
    <row r="275" spans="1:15" x14ac:dyDescent="0.4">
      <c r="A275" s="307"/>
      <c r="B275" s="257" t="s">
        <v>1967</v>
      </c>
      <c r="C275" s="14" t="s">
        <v>1014</v>
      </c>
      <c r="D275" s="14" t="s">
        <v>2283</v>
      </c>
      <c r="E275" s="14" t="s">
        <v>1968</v>
      </c>
      <c r="F275" s="14" t="s">
        <v>1969</v>
      </c>
      <c r="G275" s="308">
        <v>2</v>
      </c>
      <c r="H275" s="14" t="s">
        <v>2281</v>
      </c>
      <c r="I275" s="14" t="s">
        <v>2269</v>
      </c>
      <c r="J275" s="309"/>
      <c r="K275" s="14" t="s">
        <v>2273</v>
      </c>
      <c r="L275" s="14" t="s">
        <v>2284</v>
      </c>
      <c r="M275" s="14" t="s">
        <v>2268</v>
      </c>
      <c r="N275" s="14" t="s">
        <v>1261</v>
      </c>
      <c r="O275" s="261" t="s">
        <v>769</v>
      </c>
    </row>
    <row r="276" spans="1:15" x14ac:dyDescent="0.4">
      <c r="A276" s="307"/>
      <c r="B276" s="257" t="s">
        <v>1970</v>
      </c>
      <c r="C276" s="14" t="s">
        <v>1014</v>
      </c>
      <c r="D276" s="14" t="s">
        <v>2283</v>
      </c>
      <c r="E276" s="14" t="s">
        <v>1971</v>
      </c>
      <c r="F276" s="14" t="s">
        <v>2285</v>
      </c>
      <c r="G276" s="308">
        <v>2</v>
      </c>
      <c r="H276" s="14" t="s">
        <v>2281</v>
      </c>
      <c r="I276" s="14" t="s">
        <v>2269</v>
      </c>
      <c r="J276" s="309"/>
      <c r="K276" s="14" t="s">
        <v>2273</v>
      </c>
      <c r="L276" s="14" t="s">
        <v>2286</v>
      </c>
      <c r="M276" s="14" t="s">
        <v>2287</v>
      </c>
      <c r="N276" s="14" t="s">
        <v>1217</v>
      </c>
      <c r="O276" s="261" t="s">
        <v>769</v>
      </c>
    </row>
    <row r="277" spans="1:15" x14ac:dyDescent="0.4">
      <c r="A277" s="307"/>
      <c r="B277" s="257" t="s">
        <v>1973</v>
      </c>
      <c r="C277" s="14" t="s">
        <v>1014</v>
      </c>
      <c r="D277" s="17" t="s">
        <v>2288</v>
      </c>
      <c r="E277" s="14" t="s">
        <v>1974</v>
      </c>
      <c r="F277" s="14" t="s">
        <v>1975</v>
      </c>
      <c r="G277" s="308">
        <v>2</v>
      </c>
      <c r="H277" s="14" t="s">
        <v>2281</v>
      </c>
      <c r="I277" s="14" t="s">
        <v>2269</v>
      </c>
      <c r="J277" s="309"/>
      <c r="K277" s="14" t="s">
        <v>2266</v>
      </c>
      <c r="L277" s="14" t="s">
        <v>2289</v>
      </c>
      <c r="M277" s="14" t="s">
        <v>2268</v>
      </c>
      <c r="N277" s="14" t="s">
        <v>1261</v>
      </c>
      <c r="O277" s="261" t="s">
        <v>769</v>
      </c>
    </row>
    <row r="278" spans="1:15" x14ac:dyDescent="0.4">
      <c r="A278" s="307"/>
      <c r="B278" s="257" t="s">
        <v>1976</v>
      </c>
      <c r="C278" s="14" t="s">
        <v>1014</v>
      </c>
      <c r="D278" s="17" t="s">
        <v>2288</v>
      </c>
      <c r="E278" s="14" t="s">
        <v>1977</v>
      </c>
      <c r="F278" s="14" t="s">
        <v>1978</v>
      </c>
      <c r="G278" s="308">
        <v>2</v>
      </c>
      <c r="H278" s="14" t="s">
        <v>2281</v>
      </c>
      <c r="I278" s="14" t="s">
        <v>2269</v>
      </c>
      <c r="J278" s="309"/>
      <c r="K278" s="14" t="s">
        <v>2273</v>
      </c>
      <c r="L278" s="14" t="s">
        <v>2289</v>
      </c>
      <c r="M278" s="14" t="s">
        <v>2268</v>
      </c>
      <c r="N278" s="14" t="s">
        <v>1217</v>
      </c>
      <c r="O278" s="261" t="s">
        <v>769</v>
      </c>
    </row>
    <row r="279" spans="1:15" x14ac:dyDescent="0.4">
      <c r="A279" s="307"/>
      <c r="B279" s="257" t="s">
        <v>1979</v>
      </c>
      <c r="C279" s="14" t="s">
        <v>1014</v>
      </c>
      <c r="D279" s="14" t="s">
        <v>2283</v>
      </c>
      <c r="E279" s="14" t="s">
        <v>1980</v>
      </c>
      <c r="F279" s="14" t="s">
        <v>1981</v>
      </c>
      <c r="G279" s="308">
        <v>2</v>
      </c>
      <c r="H279" s="14" t="s">
        <v>2281</v>
      </c>
      <c r="I279" s="14" t="s">
        <v>2269</v>
      </c>
      <c r="J279" s="309"/>
      <c r="K279" s="14" t="s">
        <v>2273</v>
      </c>
      <c r="L279" s="14" t="s">
        <v>2289</v>
      </c>
      <c r="M279" s="14" t="s">
        <v>2268</v>
      </c>
      <c r="N279" s="14" t="s">
        <v>1261</v>
      </c>
      <c r="O279" s="261" t="s">
        <v>769</v>
      </c>
    </row>
    <row r="280" spans="1:15" x14ac:dyDescent="0.4">
      <c r="A280" s="307"/>
      <c r="B280" s="257" t="s">
        <v>1982</v>
      </c>
      <c r="C280" s="14" t="s">
        <v>1014</v>
      </c>
      <c r="D280" s="17" t="s">
        <v>2288</v>
      </c>
      <c r="E280" s="14" t="s">
        <v>1983</v>
      </c>
      <c r="F280" s="14" t="s">
        <v>1984</v>
      </c>
      <c r="G280" s="308">
        <v>2</v>
      </c>
      <c r="H280" s="14" t="s">
        <v>2281</v>
      </c>
      <c r="I280" s="14" t="s">
        <v>2269</v>
      </c>
      <c r="J280" s="309"/>
      <c r="K280" s="14" t="s">
        <v>2266</v>
      </c>
      <c r="L280" s="14" t="s">
        <v>2289</v>
      </c>
      <c r="M280" s="14" t="s">
        <v>2268</v>
      </c>
      <c r="N280" s="14" t="s">
        <v>1217</v>
      </c>
      <c r="O280" s="261" t="s">
        <v>769</v>
      </c>
    </row>
    <row r="281" spans="1:15" x14ac:dyDescent="0.4">
      <c r="A281" s="307"/>
      <c r="B281" s="257" t="s">
        <v>1985</v>
      </c>
      <c r="C281" s="14" t="s">
        <v>1014</v>
      </c>
      <c r="D281" s="18" t="s">
        <v>2263</v>
      </c>
      <c r="E281" s="14" t="s">
        <v>1986</v>
      </c>
      <c r="F281" s="14" t="s">
        <v>1987</v>
      </c>
      <c r="G281" s="308">
        <v>2</v>
      </c>
      <c r="H281" s="14" t="s">
        <v>2281</v>
      </c>
      <c r="I281" s="14" t="s">
        <v>2269</v>
      </c>
      <c r="J281" s="309"/>
      <c r="K281" s="14" t="s">
        <v>2266</v>
      </c>
      <c r="L281" s="14" t="s">
        <v>2284</v>
      </c>
      <c r="M281" s="14" t="s">
        <v>2290</v>
      </c>
      <c r="N281" s="14" t="s">
        <v>1261</v>
      </c>
      <c r="O281" s="261" t="s">
        <v>769</v>
      </c>
    </row>
    <row r="282" spans="1:15" x14ac:dyDescent="0.4">
      <c r="A282" s="307"/>
      <c r="B282" s="257" t="s">
        <v>1988</v>
      </c>
      <c r="C282" s="14" t="s">
        <v>1014</v>
      </c>
      <c r="D282" s="14" t="s">
        <v>2283</v>
      </c>
      <c r="E282" s="14" t="s">
        <v>1989</v>
      </c>
      <c r="F282" s="14" t="s">
        <v>1990</v>
      </c>
      <c r="G282" s="308">
        <v>2</v>
      </c>
      <c r="H282" s="14" t="s">
        <v>2281</v>
      </c>
      <c r="I282" s="14" t="s">
        <v>2269</v>
      </c>
      <c r="J282" s="309"/>
      <c r="K282" s="14" t="s">
        <v>2266</v>
      </c>
      <c r="L282" s="14" t="s">
        <v>2286</v>
      </c>
      <c r="M282" s="14" t="s">
        <v>2268</v>
      </c>
      <c r="N282" s="14" t="s">
        <v>1217</v>
      </c>
      <c r="O282" s="261" t="s">
        <v>769</v>
      </c>
    </row>
    <row r="283" spans="1:15" x14ac:dyDescent="0.4">
      <c r="A283" s="307"/>
      <c r="B283" s="257" t="s">
        <v>1991</v>
      </c>
      <c r="C283" s="14" t="s">
        <v>1014</v>
      </c>
      <c r="D283" s="14" t="s">
        <v>2283</v>
      </c>
      <c r="E283" s="14" t="s">
        <v>1992</v>
      </c>
      <c r="F283" s="14" t="s">
        <v>1993</v>
      </c>
      <c r="G283" s="308">
        <v>2</v>
      </c>
      <c r="H283" s="14" t="s">
        <v>2281</v>
      </c>
      <c r="I283" s="14" t="s">
        <v>2269</v>
      </c>
      <c r="J283" s="309"/>
      <c r="K283" s="14" t="s">
        <v>2273</v>
      </c>
      <c r="L283" s="14" t="s">
        <v>2291</v>
      </c>
      <c r="M283" s="14" t="s">
        <v>2268</v>
      </c>
      <c r="N283" s="14" t="s">
        <v>1261</v>
      </c>
      <c r="O283" s="261" t="s">
        <v>769</v>
      </c>
    </row>
    <row r="284" spans="1:15" x14ac:dyDescent="0.4">
      <c r="A284" s="307"/>
      <c r="B284" s="257" t="s">
        <v>1994</v>
      </c>
      <c r="C284" s="14" t="s">
        <v>1014</v>
      </c>
      <c r="D284" s="17" t="s">
        <v>2288</v>
      </c>
      <c r="E284" s="14" t="s">
        <v>1995</v>
      </c>
      <c r="F284" s="14" t="s">
        <v>2292</v>
      </c>
      <c r="G284" s="308">
        <v>2</v>
      </c>
      <c r="H284" s="14" t="s">
        <v>2281</v>
      </c>
      <c r="I284" s="14" t="s">
        <v>2269</v>
      </c>
      <c r="J284" s="309"/>
      <c r="K284" s="14" t="s">
        <v>2273</v>
      </c>
      <c r="L284" s="14" t="s">
        <v>2293</v>
      </c>
      <c r="M284" s="14" t="s">
        <v>2268</v>
      </c>
      <c r="N284" s="14" t="s">
        <v>1261</v>
      </c>
      <c r="O284" s="261" t="s">
        <v>769</v>
      </c>
    </row>
    <row r="285" spans="1:15" x14ac:dyDescent="0.4">
      <c r="A285" s="307"/>
      <c r="B285" s="257" t="s">
        <v>1997</v>
      </c>
      <c r="C285" s="14" t="s">
        <v>1014</v>
      </c>
      <c r="D285" s="14" t="s">
        <v>2283</v>
      </c>
      <c r="E285" s="14" t="s">
        <v>1998</v>
      </c>
      <c r="F285" s="14" t="s">
        <v>1999</v>
      </c>
      <c r="G285" s="308">
        <v>2</v>
      </c>
      <c r="H285" s="14" t="s">
        <v>2281</v>
      </c>
      <c r="I285" s="14" t="s">
        <v>2269</v>
      </c>
      <c r="J285" s="309"/>
      <c r="K285" s="14" t="s">
        <v>2273</v>
      </c>
      <c r="L285" s="14" t="s">
        <v>2284</v>
      </c>
      <c r="M285" s="14" t="s">
        <v>2268</v>
      </c>
      <c r="N285" s="14" t="s">
        <v>1261</v>
      </c>
      <c r="O285" s="261" t="s">
        <v>769</v>
      </c>
    </row>
    <row r="286" spans="1:15" x14ac:dyDescent="0.4">
      <c r="A286" s="307"/>
      <c r="B286" s="257" t="s">
        <v>2000</v>
      </c>
      <c r="C286" s="14" t="s">
        <v>1014</v>
      </c>
      <c r="D286" s="18" t="s">
        <v>2263</v>
      </c>
      <c r="E286" s="14" t="s">
        <v>2001</v>
      </c>
      <c r="F286" s="14" t="s">
        <v>2002</v>
      </c>
      <c r="G286" s="308">
        <v>2</v>
      </c>
      <c r="H286" s="14" t="s">
        <v>2281</v>
      </c>
      <c r="I286" s="14" t="s">
        <v>2269</v>
      </c>
      <c r="J286" s="309"/>
      <c r="K286" s="14" t="s">
        <v>2273</v>
      </c>
      <c r="L286" s="14" t="s">
        <v>2286</v>
      </c>
      <c r="M286" s="14" t="s">
        <v>2268</v>
      </c>
      <c r="N286" s="14" t="s">
        <v>1261</v>
      </c>
      <c r="O286" s="261" t="s">
        <v>769</v>
      </c>
    </row>
    <row r="287" spans="1:15" x14ac:dyDescent="0.4">
      <c r="A287" s="307"/>
      <c r="B287" s="257" t="s">
        <v>2003</v>
      </c>
      <c r="C287" s="14" t="s">
        <v>1014</v>
      </c>
      <c r="D287" s="14" t="s">
        <v>2283</v>
      </c>
      <c r="E287" s="14" t="s">
        <v>2004</v>
      </c>
      <c r="F287" s="14" t="s">
        <v>2005</v>
      </c>
      <c r="G287" s="308">
        <v>2</v>
      </c>
      <c r="H287" s="14" t="s">
        <v>2281</v>
      </c>
      <c r="I287" s="14" t="s">
        <v>2269</v>
      </c>
      <c r="J287" s="309"/>
      <c r="K287" s="14" t="s">
        <v>2273</v>
      </c>
      <c r="L287" s="14" t="s">
        <v>2289</v>
      </c>
      <c r="M287" s="14" t="s">
        <v>2287</v>
      </c>
      <c r="N287" s="14" t="s">
        <v>1217</v>
      </c>
      <c r="O287" s="261" t="s">
        <v>769</v>
      </c>
    </row>
    <row r="288" spans="1:15" x14ac:dyDescent="0.4">
      <c r="A288" s="307"/>
      <c r="B288" s="257" t="s">
        <v>2006</v>
      </c>
      <c r="C288" s="14" t="s">
        <v>1014</v>
      </c>
      <c r="D288" s="14" t="s">
        <v>2283</v>
      </c>
      <c r="E288" s="14" t="s">
        <v>2007</v>
      </c>
      <c r="F288" s="14" t="s">
        <v>2008</v>
      </c>
      <c r="G288" s="308">
        <v>2</v>
      </c>
      <c r="H288" s="14" t="s">
        <v>2281</v>
      </c>
      <c r="I288" s="14" t="s">
        <v>2269</v>
      </c>
      <c r="J288" s="309"/>
      <c r="K288" s="14" t="s">
        <v>2273</v>
      </c>
      <c r="L288" s="14" t="s">
        <v>2284</v>
      </c>
      <c r="M288" s="14" t="s">
        <v>2268</v>
      </c>
      <c r="N288" s="14" t="s">
        <v>1261</v>
      </c>
      <c r="O288" s="261" t="s">
        <v>769</v>
      </c>
    </row>
    <row r="289" spans="1:15" x14ac:dyDescent="0.4">
      <c r="A289" s="307"/>
      <c r="B289" s="257" t="s">
        <v>2009</v>
      </c>
      <c r="C289" s="14" t="s">
        <v>1014</v>
      </c>
      <c r="D289" s="17" t="s">
        <v>2288</v>
      </c>
      <c r="E289" s="14" t="s">
        <v>2010</v>
      </c>
      <c r="F289" s="14" t="s">
        <v>2011</v>
      </c>
      <c r="G289" s="308">
        <v>2</v>
      </c>
      <c r="H289" s="14" t="s">
        <v>2281</v>
      </c>
      <c r="I289" s="14" t="s">
        <v>2269</v>
      </c>
      <c r="J289" s="309"/>
      <c r="K289" s="14" t="s">
        <v>2273</v>
      </c>
      <c r="L289" s="14" t="s">
        <v>2294</v>
      </c>
      <c r="M289" s="14" t="s">
        <v>2268</v>
      </c>
      <c r="N289" s="14" t="s">
        <v>1217</v>
      </c>
      <c r="O289" s="261" t="s">
        <v>769</v>
      </c>
    </row>
    <row r="290" spans="1:15" x14ac:dyDescent="0.4">
      <c r="A290" s="307"/>
      <c r="B290" s="257" t="s">
        <v>2012</v>
      </c>
      <c r="C290" s="14" t="s">
        <v>1014</v>
      </c>
      <c r="D290" s="14" t="s">
        <v>2283</v>
      </c>
      <c r="E290" s="14" t="s">
        <v>2013</v>
      </c>
      <c r="F290" s="14" t="s">
        <v>2295</v>
      </c>
      <c r="G290" s="308">
        <v>2</v>
      </c>
      <c r="H290" s="14" t="s">
        <v>2281</v>
      </c>
      <c r="I290" s="308">
        <v>1</v>
      </c>
      <c r="J290" s="309"/>
      <c r="K290" s="14" t="s">
        <v>2273</v>
      </c>
      <c r="L290" s="14" t="s">
        <v>2286</v>
      </c>
      <c r="M290" s="14" t="s">
        <v>2268</v>
      </c>
      <c r="N290" s="14" t="s">
        <v>1217</v>
      </c>
      <c r="O290" s="261" t="s">
        <v>1061</v>
      </c>
    </row>
    <row r="291" spans="1:15" x14ac:dyDescent="0.4">
      <c r="A291" s="307"/>
      <c r="B291" s="257" t="s">
        <v>2015</v>
      </c>
      <c r="C291" s="14" t="s">
        <v>1014</v>
      </c>
      <c r="D291" s="14" t="s">
        <v>2283</v>
      </c>
      <c r="E291" s="14" t="s">
        <v>2016</v>
      </c>
      <c r="F291" s="14" t="s">
        <v>2295</v>
      </c>
      <c r="G291" s="308">
        <v>2</v>
      </c>
      <c r="H291" s="14" t="s">
        <v>2281</v>
      </c>
      <c r="I291" s="308">
        <v>2</v>
      </c>
      <c r="J291" s="309"/>
      <c r="K291" s="14" t="s">
        <v>2273</v>
      </c>
      <c r="L291" s="14" t="s">
        <v>2286</v>
      </c>
      <c r="M291" s="14" t="s">
        <v>2268</v>
      </c>
      <c r="N291" s="14" t="s">
        <v>1217</v>
      </c>
      <c r="O291" s="261" t="s">
        <v>769</v>
      </c>
    </row>
    <row r="292" spans="1:15" x14ac:dyDescent="0.4">
      <c r="A292" s="307"/>
      <c r="B292" s="257" t="s">
        <v>2017</v>
      </c>
      <c r="C292" s="14" t="s">
        <v>1014</v>
      </c>
      <c r="D292" s="17" t="s">
        <v>2288</v>
      </c>
      <c r="E292" s="14" t="s">
        <v>2018</v>
      </c>
      <c r="F292" s="14" t="s">
        <v>2295</v>
      </c>
      <c r="G292" s="308">
        <v>2</v>
      </c>
      <c r="H292" s="14" t="s">
        <v>2281</v>
      </c>
      <c r="I292" s="308">
        <v>1</v>
      </c>
      <c r="J292" s="309"/>
      <c r="K292" s="14" t="s">
        <v>2273</v>
      </c>
      <c r="L292" s="14" t="s">
        <v>2296</v>
      </c>
      <c r="M292" s="14" t="s">
        <v>2268</v>
      </c>
      <c r="N292" s="14" t="s">
        <v>1217</v>
      </c>
      <c r="O292" s="260"/>
    </row>
    <row r="293" spans="1:15" x14ac:dyDescent="0.4">
      <c r="A293" s="307"/>
      <c r="B293" s="257" t="s">
        <v>2019</v>
      </c>
      <c r="C293" s="14" t="s">
        <v>1014</v>
      </c>
      <c r="D293" s="17" t="s">
        <v>2288</v>
      </c>
      <c r="E293" s="14" t="s">
        <v>2020</v>
      </c>
      <c r="F293" s="14" t="s">
        <v>2295</v>
      </c>
      <c r="G293" s="308">
        <v>2</v>
      </c>
      <c r="H293" s="14" t="s">
        <v>2281</v>
      </c>
      <c r="I293" s="308">
        <v>2</v>
      </c>
      <c r="J293" s="309"/>
      <c r="K293" s="14" t="s">
        <v>2273</v>
      </c>
      <c r="L293" s="14" t="s">
        <v>2296</v>
      </c>
      <c r="M293" s="14" t="s">
        <v>2268</v>
      </c>
      <c r="N293" s="14" t="s">
        <v>1217</v>
      </c>
      <c r="O293" s="260"/>
    </row>
    <row r="294" spans="1:15" x14ac:dyDescent="0.4">
      <c r="A294" s="307"/>
      <c r="B294" s="257" t="s">
        <v>2021</v>
      </c>
      <c r="C294" s="14" t="s">
        <v>1014</v>
      </c>
      <c r="D294" s="14" t="s">
        <v>2283</v>
      </c>
      <c r="E294" s="14" t="s">
        <v>2022</v>
      </c>
      <c r="F294" s="14" t="s">
        <v>2295</v>
      </c>
      <c r="G294" s="308">
        <v>2</v>
      </c>
      <c r="H294" s="14" t="s">
        <v>2281</v>
      </c>
      <c r="I294" s="308">
        <v>1</v>
      </c>
      <c r="J294" s="309"/>
      <c r="K294" s="14" t="s">
        <v>2273</v>
      </c>
      <c r="L294" s="14" t="s">
        <v>2289</v>
      </c>
      <c r="M294" s="14" t="s">
        <v>2268</v>
      </c>
      <c r="N294" s="14" t="s">
        <v>1217</v>
      </c>
      <c r="O294" s="260"/>
    </row>
    <row r="295" spans="1:15" x14ac:dyDescent="0.4">
      <c r="A295" s="307"/>
      <c r="B295" s="257" t="s">
        <v>2023</v>
      </c>
      <c r="C295" s="14" t="s">
        <v>1014</v>
      </c>
      <c r="D295" s="14" t="s">
        <v>2283</v>
      </c>
      <c r="E295" s="14" t="s">
        <v>2024</v>
      </c>
      <c r="F295" s="14" t="s">
        <v>2295</v>
      </c>
      <c r="G295" s="308">
        <v>2</v>
      </c>
      <c r="H295" s="14" t="s">
        <v>2281</v>
      </c>
      <c r="I295" s="308">
        <v>2</v>
      </c>
      <c r="J295" s="309"/>
      <c r="K295" s="14" t="s">
        <v>2273</v>
      </c>
      <c r="L295" s="14" t="s">
        <v>2289</v>
      </c>
      <c r="M295" s="14" t="s">
        <v>2268</v>
      </c>
      <c r="N295" s="14" t="s">
        <v>1217</v>
      </c>
      <c r="O295" s="260"/>
    </row>
    <row r="296" spans="1:15" x14ac:dyDescent="0.4">
      <c r="A296" s="307"/>
      <c r="B296" s="257" t="s">
        <v>2025</v>
      </c>
      <c r="C296" s="14" t="s">
        <v>1014</v>
      </c>
      <c r="D296" s="14" t="s">
        <v>2283</v>
      </c>
      <c r="E296" s="14" t="s">
        <v>2026</v>
      </c>
      <c r="F296" s="14" t="s">
        <v>2027</v>
      </c>
      <c r="G296" s="308">
        <v>2</v>
      </c>
      <c r="H296" s="14" t="s">
        <v>2281</v>
      </c>
      <c r="I296" s="14" t="s">
        <v>1405</v>
      </c>
      <c r="J296" s="309"/>
      <c r="K296" s="14" t="s">
        <v>2273</v>
      </c>
      <c r="L296" s="14" t="s">
        <v>2289</v>
      </c>
      <c r="M296" s="14" t="s">
        <v>2268</v>
      </c>
      <c r="N296" s="14" t="s">
        <v>1261</v>
      </c>
      <c r="O296" s="260"/>
    </row>
    <row r="297" spans="1:15" x14ac:dyDescent="0.4">
      <c r="A297" s="307"/>
      <c r="B297" s="257" t="s">
        <v>2028</v>
      </c>
      <c r="C297" s="14" t="s">
        <v>1014</v>
      </c>
      <c r="D297" s="14" t="s">
        <v>2283</v>
      </c>
      <c r="E297" s="14" t="s">
        <v>2029</v>
      </c>
      <c r="F297" s="14" t="s">
        <v>2030</v>
      </c>
      <c r="G297" s="308">
        <v>2</v>
      </c>
      <c r="H297" s="14" t="s">
        <v>2281</v>
      </c>
      <c r="I297" s="14" t="s">
        <v>1405</v>
      </c>
      <c r="J297" s="309"/>
      <c r="K297" s="14" t="s">
        <v>2273</v>
      </c>
      <c r="L297" s="14" t="s">
        <v>2297</v>
      </c>
      <c r="M297" s="14" t="s">
        <v>2268</v>
      </c>
      <c r="N297" s="14" t="s">
        <v>1261</v>
      </c>
      <c r="O297" s="261" t="s">
        <v>769</v>
      </c>
    </row>
    <row r="298" spans="1:15" x14ac:dyDescent="0.4">
      <c r="A298" s="307"/>
      <c r="B298" s="257" t="s">
        <v>2031</v>
      </c>
      <c r="C298" s="14" t="s">
        <v>1014</v>
      </c>
      <c r="D298" s="17" t="s">
        <v>2288</v>
      </c>
      <c r="E298" s="14" t="s">
        <v>2032</v>
      </c>
      <c r="F298" s="14" t="s">
        <v>2033</v>
      </c>
      <c r="G298" s="308">
        <v>2</v>
      </c>
      <c r="H298" s="14" t="s">
        <v>2281</v>
      </c>
      <c r="I298" s="14" t="s">
        <v>1405</v>
      </c>
      <c r="J298" s="309"/>
      <c r="K298" s="14" t="s">
        <v>2273</v>
      </c>
      <c r="L298" s="14" t="s">
        <v>2298</v>
      </c>
      <c r="M298" s="14" t="s">
        <v>2268</v>
      </c>
      <c r="N298" s="14" t="s">
        <v>1217</v>
      </c>
      <c r="O298" s="261" t="s">
        <v>769</v>
      </c>
    </row>
    <row r="299" spans="1:15" x14ac:dyDescent="0.4">
      <c r="A299" s="307"/>
      <c r="B299" s="257" t="s">
        <v>2034</v>
      </c>
      <c r="C299" s="14" t="s">
        <v>1014</v>
      </c>
      <c r="D299" s="14" t="s">
        <v>2283</v>
      </c>
      <c r="E299" s="14" t="s">
        <v>2035</v>
      </c>
      <c r="F299" s="14" t="s">
        <v>2036</v>
      </c>
      <c r="G299" s="308">
        <v>2</v>
      </c>
      <c r="H299" s="14" t="s">
        <v>2281</v>
      </c>
      <c r="I299" s="14" t="s">
        <v>2269</v>
      </c>
      <c r="J299" s="309"/>
      <c r="K299" s="14" t="s">
        <v>2273</v>
      </c>
      <c r="L299" s="14" t="s">
        <v>2299</v>
      </c>
      <c r="M299" s="14" t="s">
        <v>2268</v>
      </c>
      <c r="N299" s="14" t="s">
        <v>1261</v>
      </c>
      <c r="O299" s="261" t="s">
        <v>769</v>
      </c>
    </row>
    <row r="300" spans="1:15" x14ac:dyDescent="0.4">
      <c r="A300" s="307"/>
      <c r="B300" s="257" t="s">
        <v>2037</v>
      </c>
      <c r="C300" s="14" t="s">
        <v>1014</v>
      </c>
      <c r="D300" s="17" t="s">
        <v>2288</v>
      </c>
      <c r="E300" s="14" t="s">
        <v>2038</v>
      </c>
      <c r="F300" s="14" t="s">
        <v>2039</v>
      </c>
      <c r="G300" s="308">
        <v>2</v>
      </c>
      <c r="H300" s="14" t="s">
        <v>2281</v>
      </c>
      <c r="I300" s="14" t="s">
        <v>2269</v>
      </c>
      <c r="J300" s="309"/>
      <c r="K300" s="14" t="s">
        <v>2273</v>
      </c>
      <c r="L300" s="14" t="s">
        <v>1204</v>
      </c>
      <c r="M300" s="14" t="s">
        <v>2268</v>
      </c>
      <c r="N300" s="14" t="s">
        <v>1261</v>
      </c>
      <c r="O300" s="261" t="s">
        <v>769</v>
      </c>
    </row>
    <row r="301" spans="1:15" x14ac:dyDescent="0.4">
      <c r="A301" s="307"/>
      <c r="B301" s="257" t="s">
        <v>2040</v>
      </c>
      <c r="C301" s="14" t="s">
        <v>1014</v>
      </c>
      <c r="D301" s="187" t="s">
        <v>2271</v>
      </c>
      <c r="E301" s="14" t="s">
        <v>2041</v>
      </c>
      <c r="F301" s="14" t="s">
        <v>2300</v>
      </c>
      <c r="G301" s="308">
        <v>2</v>
      </c>
      <c r="H301" s="14" t="s">
        <v>2272</v>
      </c>
      <c r="I301" s="14" t="s">
        <v>2269</v>
      </c>
      <c r="J301" s="309"/>
      <c r="K301" s="14" t="s">
        <v>2266</v>
      </c>
      <c r="L301" s="14" t="s">
        <v>2301</v>
      </c>
      <c r="M301" s="14" t="s">
        <v>2268</v>
      </c>
      <c r="N301" s="14" t="s">
        <v>1261</v>
      </c>
      <c r="O301" s="261" t="s">
        <v>769</v>
      </c>
    </row>
    <row r="302" spans="1:15" x14ac:dyDescent="0.4">
      <c r="A302" s="307"/>
      <c r="B302" s="257" t="s">
        <v>2043</v>
      </c>
      <c r="C302" s="14" t="s">
        <v>1014</v>
      </c>
      <c r="D302" s="187" t="s">
        <v>2271</v>
      </c>
      <c r="E302" s="14" t="s">
        <v>2044</v>
      </c>
      <c r="F302" s="14" t="s">
        <v>2302</v>
      </c>
      <c r="G302" s="308">
        <v>2</v>
      </c>
      <c r="H302" s="14" t="s">
        <v>2272</v>
      </c>
      <c r="I302" s="14" t="s">
        <v>2269</v>
      </c>
      <c r="J302" s="309"/>
      <c r="K302" s="14" t="s">
        <v>2266</v>
      </c>
      <c r="L302" s="14" t="s">
        <v>2303</v>
      </c>
      <c r="M302" s="14" t="s">
        <v>2268</v>
      </c>
      <c r="N302" s="14" t="s">
        <v>1261</v>
      </c>
      <c r="O302" s="260"/>
    </row>
    <row r="303" spans="1:15" x14ac:dyDescent="0.4">
      <c r="A303" s="307"/>
      <c r="B303" s="257" t="s">
        <v>2046</v>
      </c>
      <c r="C303" s="14" t="s">
        <v>1014</v>
      </c>
      <c r="D303" s="187" t="s">
        <v>2271</v>
      </c>
      <c r="E303" s="14" t="s">
        <v>2047</v>
      </c>
      <c r="F303" s="14" t="s">
        <v>2304</v>
      </c>
      <c r="G303" s="308">
        <v>2</v>
      </c>
      <c r="H303" s="14" t="s">
        <v>2272</v>
      </c>
      <c r="I303" s="14" t="s">
        <v>2269</v>
      </c>
      <c r="J303" s="309"/>
      <c r="K303" s="14" t="s">
        <v>2266</v>
      </c>
      <c r="L303" s="14" t="s">
        <v>2305</v>
      </c>
      <c r="M303" s="14" t="s">
        <v>2268</v>
      </c>
      <c r="N303" s="14" t="s">
        <v>1261</v>
      </c>
      <c r="O303" s="260"/>
    </row>
    <row r="304" spans="1:15" x14ac:dyDescent="0.4">
      <c r="A304" s="307"/>
      <c r="B304" s="257" t="s">
        <v>2049</v>
      </c>
      <c r="C304" s="14" t="s">
        <v>1014</v>
      </c>
      <c r="D304" s="14" t="s">
        <v>2283</v>
      </c>
      <c r="E304" s="14" t="s">
        <v>2050</v>
      </c>
      <c r="F304" s="14" t="s">
        <v>2051</v>
      </c>
      <c r="G304" s="308">
        <v>2</v>
      </c>
      <c r="H304" s="14" t="s">
        <v>2264</v>
      </c>
      <c r="I304" s="308">
        <v>1</v>
      </c>
      <c r="J304" s="14" t="s">
        <v>2265</v>
      </c>
      <c r="K304" s="14" t="s">
        <v>2266</v>
      </c>
      <c r="L304" s="14" t="s">
        <v>2306</v>
      </c>
      <c r="M304" s="14" t="s">
        <v>2268</v>
      </c>
      <c r="N304" s="14" t="s">
        <v>1261</v>
      </c>
      <c r="O304" s="261" t="s">
        <v>1186</v>
      </c>
    </row>
    <row r="305" spans="1:15" x14ac:dyDescent="0.4">
      <c r="A305" s="307"/>
      <c r="B305" s="257" t="s">
        <v>2052</v>
      </c>
      <c r="C305" s="14" t="s">
        <v>1014</v>
      </c>
      <c r="D305" s="14" t="s">
        <v>2283</v>
      </c>
      <c r="E305" s="14" t="s">
        <v>2053</v>
      </c>
      <c r="F305" s="14" t="s">
        <v>2051</v>
      </c>
      <c r="G305" s="308">
        <v>2</v>
      </c>
      <c r="H305" s="14" t="s">
        <v>2264</v>
      </c>
      <c r="I305" s="308">
        <v>1</v>
      </c>
      <c r="J305" s="14" t="s">
        <v>2265</v>
      </c>
      <c r="K305" s="14" t="s">
        <v>2266</v>
      </c>
      <c r="L305" s="14" t="s">
        <v>2306</v>
      </c>
      <c r="M305" s="14" t="s">
        <v>2268</v>
      </c>
      <c r="N305" s="14" t="s">
        <v>1217</v>
      </c>
      <c r="O305" s="261" t="s">
        <v>1186</v>
      </c>
    </row>
    <row r="306" spans="1:15" x14ac:dyDescent="0.4">
      <c r="A306" s="307"/>
      <c r="B306" s="257" t="s">
        <v>2054</v>
      </c>
      <c r="C306" s="14" t="s">
        <v>1014</v>
      </c>
      <c r="D306" s="14" t="s">
        <v>2283</v>
      </c>
      <c r="E306" s="14" t="s">
        <v>2055</v>
      </c>
      <c r="F306" s="14" t="s">
        <v>2051</v>
      </c>
      <c r="G306" s="308">
        <v>2</v>
      </c>
      <c r="H306" s="14" t="s">
        <v>2264</v>
      </c>
      <c r="I306" s="308">
        <v>2</v>
      </c>
      <c r="J306" s="14" t="s">
        <v>2265</v>
      </c>
      <c r="K306" s="14" t="s">
        <v>2266</v>
      </c>
      <c r="L306" s="14" t="s">
        <v>2306</v>
      </c>
      <c r="M306" s="14" t="s">
        <v>2268</v>
      </c>
      <c r="N306" s="14" t="s">
        <v>1261</v>
      </c>
      <c r="O306" s="261" t="s">
        <v>1186</v>
      </c>
    </row>
    <row r="307" spans="1:15" x14ac:dyDescent="0.4">
      <c r="A307" s="307"/>
      <c r="B307" s="257" t="s">
        <v>2056</v>
      </c>
      <c r="C307" s="14" t="s">
        <v>1014</v>
      </c>
      <c r="D307" s="14" t="s">
        <v>2283</v>
      </c>
      <c r="E307" s="14" t="s">
        <v>2057</v>
      </c>
      <c r="F307" s="14" t="s">
        <v>2051</v>
      </c>
      <c r="G307" s="308">
        <v>2</v>
      </c>
      <c r="H307" s="14" t="s">
        <v>2264</v>
      </c>
      <c r="I307" s="308">
        <v>2</v>
      </c>
      <c r="J307" s="14" t="s">
        <v>2265</v>
      </c>
      <c r="K307" s="14" t="s">
        <v>2266</v>
      </c>
      <c r="L307" s="14" t="s">
        <v>2306</v>
      </c>
      <c r="M307" s="14" t="s">
        <v>2268</v>
      </c>
      <c r="N307" s="14" t="s">
        <v>1217</v>
      </c>
      <c r="O307" s="261" t="s">
        <v>1186</v>
      </c>
    </row>
    <row r="308" spans="1:15" x14ac:dyDescent="0.4">
      <c r="A308" s="307"/>
      <c r="B308" s="257" t="s">
        <v>2058</v>
      </c>
      <c r="C308" s="14" t="s">
        <v>1014</v>
      </c>
      <c r="D308" s="17" t="s">
        <v>2288</v>
      </c>
      <c r="E308" s="14" t="s">
        <v>2059</v>
      </c>
      <c r="F308" s="14" t="s">
        <v>2060</v>
      </c>
      <c r="G308" s="308">
        <v>2</v>
      </c>
      <c r="H308" s="14" t="s">
        <v>2264</v>
      </c>
      <c r="I308" s="308">
        <v>1</v>
      </c>
      <c r="J308" s="14" t="s">
        <v>2265</v>
      </c>
      <c r="K308" s="14" t="s">
        <v>2266</v>
      </c>
      <c r="L308" s="14" t="s">
        <v>2307</v>
      </c>
      <c r="M308" s="14" t="s">
        <v>2268</v>
      </c>
      <c r="N308" s="14" t="s">
        <v>1261</v>
      </c>
      <c r="O308" s="260"/>
    </row>
    <row r="309" spans="1:15" x14ac:dyDescent="0.4">
      <c r="A309" s="307"/>
      <c r="B309" s="257" t="s">
        <v>2061</v>
      </c>
      <c r="C309" s="14" t="s">
        <v>1014</v>
      </c>
      <c r="D309" s="17" t="s">
        <v>2288</v>
      </c>
      <c r="E309" s="14" t="s">
        <v>2062</v>
      </c>
      <c r="F309" s="14" t="s">
        <v>2060</v>
      </c>
      <c r="G309" s="308">
        <v>2</v>
      </c>
      <c r="H309" s="14" t="s">
        <v>2264</v>
      </c>
      <c r="I309" s="308">
        <v>1</v>
      </c>
      <c r="J309" s="14" t="s">
        <v>2265</v>
      </c>
      <c r="K309" s="14" t="s">
        <v>2266</v>
      </c>
      <c r="L309" s="14" t="s">
        <v>2307</v>
      </c>
      <c r="M309" s="14" t="s">
        <v>2268</v>
      </c>
      <c r="N309" s="14" t="s">
        <v>1217</v>
      </c>
      <c r="O309" s="260"/>
    </row>
    <row r="310" spans="1:15" x14ac:dyDescent="0.4">
      <c r="A310" s="307"/>
      <c r="B310" s="257" t="s">
        <v>2063</v>
      </c>
      <c r="C310" s="14" t="s">
        <v>1014</v>
      </c>
      <c r="D310" s="17" t="s">
        <v>2288</v>
      </c>
      <c r="E310" s="14" t="s">
        <v>2064</v>
      </c>
      <c r="F310" s="14" t="s">
        <v>2060</v>
      </c>
      <c r="G310" s="308">
        <v>2</v>
      </c>
      <c r="H310" s="14" t="s">
        <v>2264</v>
      </c>
      <c r="I310" s="308">
        <v>2</v>
      </c>
      <c r="J310" s="14" t="s">
        <v>2265</v>
      </c>
      <c r="K310" s="14" t="s">
        <v>2266</v>
      </c>
      <c r="L310" s="14" t="s">
        <v>2307</v>
      </c>
      <c r="M310" s="14" t="s">
        <v>2268</v>
      </c>
      <c r="N310" s="14" t="s">
        <v>1261</v>
      </c>
      <c r="O310" s="260"/>
    </row>
    <row r="311" spans="1:15" x14ac:dyDescent="0.4">
      <c r="A311" s="307"/>
      <c r="B311" s="257" t="s">
        <v>2065</v>
      </c>
      <c r="C311" s="14" t="s">
        <v>1014</v>
      </c>
      <c r="D311" s="17" t="s">
        <v>2288</v>
      </c>
      <c r="E311" s="14" t="s">
        <v>2066</v>
      </c>
      <c r="F311" s="14" t="s">
        <v>2060</v>
      </c>
      <c r="G311" s="308">
        <v>2</v>
      </c>
      <c r="H311" s="14" t="s">
        <v>2264</v>
      </c>
      <c r="I311" s="308">
        <v>2</v>
      </c>
      <c r="J311" s="14" t="s">
        <v>2265</v>
      </c>
      <c r="K311" s="14" t="s">
        <v>2266</v>
      </c>
      <c r="L311" s="14" t="s">
        <v>2307</v>
      </c>
      <c r="M311" s="14" t="s">
        <v>2268</v>
      </c>
      <c r="N311" s="14" t="s">
        <v>1217</v>
      </c>
      <c r="O311" s="260"/>
    </row>
    <row r="312" spans="1:15" x14ac:dyDescent="0.4">
      <c r="A312" s="307"/>
      <c r="B312" s="257" t="s">
        <v>2067</v>
      </c>
      <c r="C312" s="14" t="s">
        <v>1014</v>
      </c>
      <c r="D312" s="14" t="s">
        <v>2283</v>
      </c>
      <c r="E312" s="14" t="s">
        <v>2068</v>
      </c>
      <c r="F312" s="14" t="s">
        <v>2069</v>
      </c>
      <c r="G312" s="308">
        <v>2</v>
      </c>
      <c r="H312" s="14" t="s">
        <v>2264</v>
      </c>
      <c r="I312" s="308">
        <v>1</v>
      </c>
      <c r="J312" s="14" t="s">
        <v>2265</v>
      </c>
      <c r="K312" s="14" t="s">
        <v>2266</v>
      </c>
      <c r="L312" s="14" t="s">
        <v>2308</v>
      </c>
      <c r="M312" s="14" t="s">
        <v>2268</v>
      </c>
      <c r="N312" s="14" t="s">
        <v>1261</v>
      </c>
      <c r="O312" s="260"/>
    </row>
    <row r="313" spans="1:15" x14ac:dyDescent="0.4">
      <c r="A313" s="307"/>
      <c r="B313" s="257" t="s">
        <v>2070</v>
      </c>
      <c r="C313" s="14" t="s">
        <v>1014</v>
      </c>
      <c r="D313" s="14" t="s">
        <v>2283</v>
      </c>
      <c r="E313" s="14" t="s">
        <v>2071</v>
      </c>
      <c r="F313" s="14" t="s">
        <v>2069</v>
      </c>
      <c r="G313" s="308">
        <v>2</v>
      </c>
      <c r="H313" s="14" t="s">
        <v>2264</v>
      </c>
      <c r="I313" s="308">
        <v>1</v>
      </c>
      <c r="J313" s="14" t="s">
        <v>2265</v>
      </c>
      <c r="K313" s="14" t="s">
        <v>2266</v>
      </c>
      <c r="L313" s="14" t="s">
        <v>2308</v>
      </c>
      <c r="M313" s="14" t="s">
        <v>2268</v>
      </c>
      <c r="N313" s="14" t="s">
        <v>1217</v>
      </c>
      <c r="O313" s="260"/>
    </row>
    <row r="314" spans="1:15" x14ac:dyDescent="0.4">
      <c r="A314" s="307"/>
      <c r="B314" s="257" t="s">
        <v>2072</v>
      </c>
      <c r="C314" s="14" t="s">
        <v>1014</v>
      </c>
      <c r="D314" s="14" t="s">
        <v>2283</v>
      </c>
      <c r="E314" s="14" t="s">
        <v>2073</v>
      </c>
      <c r="F314" s="14" t="s">
        <v>2069</v>
      </c>
      <c r="G314" s="308">
        <v>2</v>
      </c>
      <c r="H314" s="14" t="s">
        <v>2264</v>
      </c>
      <c r="I314" s="308">
        <v>2</v>
      </c>
      <c r="J314" s="14" t="s">
        <v>2265</v>
      </c>
      <c r="K314" s="14" t="s">
        <v>2266</v>
      </c>
      <c r="L314" s="14" t="s">
        <v>2308</v>
      </c>
      <c r="M314" s="14" t="s">
        <v>2268</v>
      </c>
      <c r="N314" s="14" t="s">
        <v>1261</v>
      </c>
      <c r="O314" s="260"/>
    </row>
    <row r="315" spans="1:15" x14ac:dyDescent="0.4">
      <c r="A315" s="307"/>
      <c r="B315" s="257" t="s">
        <v>2074</v>
      </c>
      <c r="C315" s="14" t="s">
        <v>1014</v>
      </c>
      <c r="D315" s="14" t="s">
        <v>2283</v>
      </c>
      <c r="E315" s="14" t="s">
        <v>2075</v>
      </c>
      <c r="F315" s="14" t="s">
        <v>2069</v>
      </c>
      <c r="G315" s="308">
        <v>2</v>
      </c>
      <c r="H315" s="14" t="s">
        <v>2264</v>
      </c>
      <c r="I315" s="308">
        <v>2</v>
      </c>
      <c r="J315" s="14" t="s">
        <v>2265</v>
      </c>
      <c r="K315" s="14" t="s">
        <v>2266</v>
      </c>
      <c r="L315" s="14" t="s">
        <v>2308</v>
      </c>
      <c r="M315" s="14" t="s">
        <v>2268</v>
      </c>
      <c r="N315" s="14" t="s">
        <v>1217</v>
      </c>
      <c r="O315" s="260"/>
    </row>
    <row r="316" spans="1:15" x14ac:dyDescent="0.4">
      <c r="A316" s="307"/>
      <c r="B316" s="257" t="s">
        <v>2076</v>
      </c>
      <c r="C316" s="14" t="s">
        <v>1014</v>
      </c>
      <c r="D316" s="187" t="s">
        <v>2271</v>
      </c>
      <c r="E316" s="309" t="s">
        <v>2309</v>
      </c>
      <c r="F316" s="14" t="s">
        <v>2300</v>
      </c>
      <c r="G316" s="308">
        <v>4</v>
      </c>
      <c r="H316" s="14" t="s">
        <v>2272</v>
      </c>
      <c r="I316" s="14" t="s">
        <v>2269</v>
      </c>
      <c r="J316" s="309"/>
      <c r="K316" s="14" t="s">
        <v>2273</v>
      </c>
      <c r="L316" s="14" t="s">
        <v>2301</v>
      </c>
      <c r="M316" s="14" t="s">
        <v>2268</v>
      </c>
      <c r="N316" s="14" t="s">
        <v>2277</v>
      </c>
      <c r="O316" s="261" t="s">
        <v>769</v>
      </c>
    </row>
    <row r="317" spans="1:15" x14ac:dyDescent="0.4">
      <c r="A317" s="307"/>
      <c r="B317" s="257" t="s">
        <v>2079</v>
      </c>
      <c r="C317" s="14" t="s">
        <v>1014</v>
      </c>
      <c r="D317" s="187" t="s">
        <v>2271</v>
      </c>
      <c r="E317" s="309" t="s">
        <v>2310</v>
      </c>
      <c r="F317" s="14" t="s">
        <v>2300</v>
      </c>
      <c r="G317" s="308">
        <v>2</v>
      </c>
      <c r="H317" s="14" t="s">
        <v>2272</v>
      </c>
      <c r="I317" s="14" t="s">
        <v>2269</v>
      </c>
      <c r="J317" s="309"/>
      <c r="K317" s="14" t="s">
        <v>2273</v>
      </c>
      <c r="L317" s="14" t="s">
        <v>2301</v>
      </c>
      <c r="M317" s="14" t="s">
        <v>2268</v>
      </c>
      <c r="N317" s="14" t="s">
        <v>2277</v>
      </c>
      <c r="O317" s="261" t="s">
        <v>769</v>
      </c>
    </row>
    <row r="318" spans="1:15" x14ac:dyDescent="0.4">
      <c r="A318" s="307"/>
      <c r="B318" s="257" t="s">
        <v>2082</v>
      </c>
      <c r="C318" s="14" t="s">
        <v>1014</v>
      </c>
      <c r="D318" s="187" t="s">
        <v>2271</v>
      </c>
      <c r="E318" s="309" t="s">
        <v>2311</v>
      </c>
      <c r="F318" s="14" t="s">
        <v>2300</v>
      </c>
      <c r="G318" s="308">
        <v>1</v>
      </c>
      <c r="H318" s="14" t="s">
        <v>2272</v>
      </c>
      <c r="I318" s="14" t="s">
        <v>2269</v>
      </c>
      <c r="J318" s="309"/>
      <c r="K318" s="14" t="s">
        <v>2273</v>
      </c>
      <c r="L318" s="14" t="s">
        <v>2301</v>
      </c>
      <c r="M318" s="14" t="s">
        <v>2268</v>
      </c>
      <c r="N318" s="14" t="s">
        <v>2277</v>
      </c>
      <c r="O318" s="261" t="s">
        <v>769</v>
      </c>
    </row>
    <row r="319" spans="1:15" x14ac:dyDescent="0.4">
      <c r="A319" s="307"/>
      <c r="B319" s="257" t="s">
        <v>2085</v>
      </c>
      <c r="C319" s="14" t="s">
        <v>1014</v>
      </c>
      <c r="D319" s="187" t="s">
        <v>2271</v>
      </c>
      <c r="E319" s="309" t="s">
        <v>2312</v>
      </c>
      <c r="F319" s="14" t="s">
        <v>2302</v>
      </c>
      <c r="G319" s="308">
        <v>4</v>
      </c>
      <c r="H319" s="14" t="s">
        <v>2272</v>
      </c>
      <c r="I319" s="14" t="s">
        <v>2269</v>
      </c>
      <c r="J319" s="309"/>
      <c r="K319" s="14" t="s">
        <v>2273</v>
      </c>
      <c r="L319" s="14" t="s">
        <v>2303</v>
      </c>
      <c r="M319" s="14" t="s">
        <v>2268</v>
      </c>
      <c r="N319" s="14" t="s">
        <v>2277</v>
      </c>
      <c r="O319" s="260"/>
    </row>
    <row r="320" spans="1:15" x14ac:dyDescent="0.4">
      <c r="A320" s="307"/>
      <c r="B320" s="257" t="s">
        <v>2088</v>
      </c>
      <c r="C320" s="14" t="s">
        <v>1014</v>
      </c>
      <c r="D320" s="187" t="s">
        <v>2271</v>
      </c>
      <c r="E320" s="309" t="s">
        <v>2313</v>
      </c>
      <c r="F320" s="14" t="s">
        <v>2302</v>
      </c>
      <c r="G320" s="308">
        <v>2</v>
      </c>
      <c r="H320" s="14" t="s">
        <v>2272</v>
      </c>
      <c r="I320" s="14" t="s">
        <v>2269</v>
      </c>
      <c r="J320" s="309"/>
      <c r="K320" s="14" t="s">
        <v>2273</v>
      </c>
      <c r="L320" s="14" t="s">
        <v>2303</v>
      </c>
      <c r="M320" s="14" t="s">
        <v>2268</v>
      </c>
      <c r="N320" s="14" t="s">
        <v>2277</v>
      </c>
      <c r="O320" s="260"/>
    </row>
    <row r="321" spans="1:15" x14ac:dyDescent="0.4">
      <c r="A321" s="307"/>
      <c r="B321" s="257" t="s">
        <v>2091</v>
      </c>
      <c r="C321" s="14" t="s">
        <v>1014</v>
      </c>
      <c r="D321" s="187" t="s">
        <v>2271</v>
      </c>
      <c r="E321" s="309" t="s">
        <v>2314</v>
      </c>
      <c r="F321" s="14" t="s">
        <v>2302</v>
      </c>
      <c r="G321" s="308">
        <v>1</v>
      </c>
      <c r="H321" s="14" t="s">
        <v>2272</v>
      </c>
      <c r="I321" s="14" t="s">
        <v>2269</v>
      </c>
      <c r="J321" s="309"/>
      <c r="K321" s="14" t="s">
        <v>2273</v>
      </c>
      <c r="L321" s="14" t="s">
        <v>2303</v>
      </c>
      <c r="M321" s="14" t="s">
        <v>2268</v>
      </c>
      <c r="N321" s="14" t="s">
        <v>2277</v>
      </c>
      <c r="O321" s="260"/>
    </row>
    <row r="322" spans="1:15" x14ac:dyDescent="0.4">
      <c r="A322" s="307"/>
      <c r="B322" s="257" t="s">
        <v>2094</v>
      </c>
      <c r="C322" s="14" t="s">
        <v>1014</v>
      </c>
      <c r="D322" s="187" t="s">
        <v>2271</v>
      </c>
      <c r="E322" s="309" t="s">
        <v>2315</v>
      </c>
      <c r="F322" s="14" t="s">
        <v>2304</v>
      </c>
      <c r="G322" s="308">
        <v>4</v>
      </c>
      <c r="H322" s="14" t="s">
        <v>2272</v>
      </c>
      <c r="I322" s="14" t="s">
        <v>2269</v>
      </c>
      <c r="J322" s="309"/>
      <c r="K322" s="14" t="s">
        <v>2273</v>
      </c>
      <c r="L322" s="14" t="s">
        <v>2305</v>
      </c>
      <c r="M322" s="14" t="s">
        <v>2268</v>
      </c>
      <c r="N322" s="14" t="s">
        <v>2277</v>
      </c>
      <c r="O322" s="260"/>
    </row>
    <row r="323" spans="1:15" x14ac:dyDescent="0.4">
      <c r="A323" s="307"/>
      <c r="B323" s="257" t="s">
        <v>2097</v>
      </c>
      <c r="C323" s="14" t="s">
        <v>1014</v>
      </c>
      <c r="D323" s="187" t="s">
        <v>2271</v>
      </c>
      <c r="E323" s="309" t="s">
        <v>2316</v>
      </c>
      <c r="F323" s="14" t="s">
        <v>2304</v>
      </c>
      <c r="G323" s="308">
        <v>2</v>
      </c>
      <c r="H323" s="14" t="s">
        <v>2272</v>
      </c>
      <c r="I323" s="14" t="s">
        <v>2269</v>
      </c>
      <c r="J323" s="309"/>
      <c r="K323" s="14" t="s">
        <v>2273</v>
      </c>
      <c r="L323" s="14" t="s">
        <v>2305</v>
      </c>
      <c r="M323" s="14" t="s">
        <v>2268</v>
      </c>
      <c r="N323" s="14" t="s">
        <v>2277</v>
      </c>
      <c r="O323" s="260"/>
    </row>
    <row r="324" spans="1:15" x14ac:dyDescent="0.4">
      <c r="A324" s="307"/>
      <c r="B324" s="257" t="s">
        <v>2100</v>
      </c>
      <c r="C324" s="14" t="s">
        <v>1014</v>
      </c>
      <c r="D324" s="187" t="s">
        <v>2271</v>
      </c>
      <c r="E324" s="309" t="s">
        <v>2317</v>
      </c>
      <c r="F324" s="14" t="s">
        <v>2304</v>
      </c>
      <c r="G324" s="308">
        <v>1</v>
      </c>
      <c r="H324" s="14" t="s">
        <v>2272</v>
      </c>
      <c r="I324" s="14" t="s">
        <v>2269</v>
      </c>
      <c r="J324" s="309"/>
      <c r="K324" s="14" t="s">
        <v>2273</v>
      </c>
      <c r="L324" s="14" t="s">
        <v>2305</v>
      </c>
      <c r="M324" s="14" t="s">
        <v>2268</v>
      </c>
      <c r="N324" s="14" t="s">
        <v>2277</v>
      </c>
      <c r="O324" s="260"/>
    </row>
    <row r="325" spans="1:15" x14ac:dyDescent="0.4">
      <c r="A325" s="307"/>
      <c r="B325" s="310" t="s">
        <v>2137</v>
      </c>
      <c r="C325" s="14" t="s">
        <v>1014</v>
      </c>
      <c r="D325" s="14" t="s">
        <v>1010</v>
      </c>
      <c r="E325" s="23" t="s">
        <v>2138</v>
      </c>
      <c r="F325" s="23" t="s">
        <v>2139</v>
      </c>
      <c r="G325" s="308">
        <v>1</v>
      </c>
      <c r="H325" s="14" t="s">
        <v>2281</v>
      </c>
      <c r="I325" s="14" t="s">
        <v>2269</v>
      </c>
      <c r="J325" s="309"/>
      <c r="K325" s="14" t="s">
        <v>1018</v>
      </c>
      <c r="L325" s="14" t="s">
        <v>2168</v>
      </c>
      <c r="M325" s="14" t="s">
        <v>2268</v>
      </c>
      <c r="N325" s="23" t="s">
        <v>1404</v>
      </c>
      <c r="O325" s="260"/>
    </row>
    <row r="326" spans="1:15" x14ac:dyDescent="0.4">
      <c r="A326" s="307"/>
      <c r="B326" s="311" t="s">
        <v>2165</v>
      </c>
      <c r="C326" s="269" t="s">
        <v>1014</v>
      </c>
      <c r="D326" s="269" t="s">
        <v>1010</v>
      </c>
      <c r="E326" s="312" t="s">
        <v>2166</v>
      </c>
      <c r="F326" s="312" t="s">
        <v>2167</v>
      </c>
      <c r="G326" s="313">
        <v>1</v>
      </c>
      <c r="H326" s="269" t="s">
        <v>2281</v>
      </c>
      <c r="I326" s="269" t="s">
        <v>2269</v>
      </c>
      <c r="J326" s="314"/>
      <c r="K326" s="269" t="s">
        <v>1018</v>
      </c>
      <c r="L326" s="269" t="s">
        <v>2168</v>
      </c>
      <c r="M326" s="269" t="s">
        <v>2268</v>
      </c>
      <c r="N326" s="312" t="s">
        <v>2173</v>
      </c>
      <c r="O326" s="315"/>
    </row>
    <row r="327" spans="1:15" x14ac:dyDescent="0.4">
      <c r="A327" s="307"/>
      <c r="B327" s="310" t="s">
        <v>2113</v>
      </c>
      <c r="C327" s="14" t="s">
        <v>1014</v>
      </c>
      <c r="D327" s="14" t="s">
        <v>1010</v>
      </c>
      <c r="E327" s="23" t="s">
        <v>2114</v>
      </c>
      <c r="F327" s="23" t="s">
        <v>2115</v>
      </c>
      <c r="G327" s="308">
        <v>1</v>
      </c>
      <c r="H327" s="14" t="s">
        <v>2281</v>
      </c>
      <c r="I327" s="14" t="s">
        <v>2269</v>
      </c>
      <c r="J327" s="309"/>
      <c r="K327" s="14" t="s">
        <v>1018</v>
      </c>
      <c r="L327" s="14" t="s">
        <v>2168</v>
      </c>
      <c r="M327" s="14" t="s">
        <v>2268</v>
      </c>
      <c r="N327" s="23" t="s">
        <v>1404</v>
      </c>
      <c r="O327" s="260"/>
    </row>
    <row r="328" spans="1:15" x14ac:dyDescent="0.4">
      <c r="A328" s="307"/>
      <c r="B328" s="310" t="s">
        <v>2147</v>
      </c>
      <c r="C328" s="14" t="s">
        <v>1014</v>
      </c>
      <c r="D328" s="14" t="s">
        <v>1010</v>
      </c>
      <c r="E328" s="23" t="s">
        <v>2148</v>
      </c>
      <c r="F328" s="23" t="s">
        <v>2115</v>
      </c>
      <c r="G328" s="308">
        <v>1</v>
      </c>
      <c r="H328" s="14" t="s">
        <v>2281</v>
      </c>
      <c r="I328" s="14" t="s">
        <v>2269</v>
      </c>
      <c r="J328" s="309"/>
      <c r="K328" s="14" t="s">
        <v>1018</v>
      </c>
      <c r="L328" s="14" t="s">
        <v>2168</v>
      </c>
      <c r="M328" s="14" t="s">
        <v>2268</v>
      </c>
      <c r="N328" s="23" t="s">
        <v>2173</v>
      </c>
      <c r="O328" s="260"/>
    </row>
    <row r="329" spans="1:15" x14ac:dyDescent="0.4">
      <c r="A329" s="307"/>
      <c r="B329" s="310" t="s">
        <v>2116</v>
      </c>
      <c r="C329" s="14" t="s">
        <v>1014</v>
      </c>
      <c r="D329" s="14" t="s">
        <v>1010</v>
      </c>
      <c r="E329" s="23" t="s">
        <v>2117</v>
      </c>
      <c r="F329" s="23" t="s">
        <v>2118</v>
      </c>
      <c r="G329" s="308">
        <v>1</v>
      </c>
      <c r="H329" s="14" t="s">
        <v>2281</v>
      </c>
      <c r="I329" s="14" t="s">
        <v>2269</v>
      </c>
      <c r="J329" s="309"/>
      <c r="K329" s="14" t="s">
        <v>1018</v>
      </c>
      <c r="L329" s="14" t="s">
        <v>2168</v>
      </c>
      <c r="M329" s="14" t="s">
        <v>2268</v>
      </c>
      <c r="N329" s="23" t="s">
        <v>1404</v>
      </c>
      <c r="O329" s="260"/>
    </row>
    <row r="330" spans="1:15" x14ac:dyDescent="0.4">
      <c r="A330" s="307"/>
      <c r="B330" s="310" t="s">
        <v>2140</v>
      </c>
      <c r="C330" s="14" t="s">
        <v>1014</v>
      </c>
      <c r="D330" s="14" t="s">
        <v>1010</v>
      </c>
      <c r="E330" s="23" t="s">
        <v>2141</v>
      </c>
      <c r="F330" s="23" t="s">
        <v>2106</v>
      </c>
      <c r="G330" s="308">
        <v>1</v>
      </c>
      <c r="H330" s="14" t="s">
        <v>2281</v>
      </c>
      <c r="I330" s="14" t="s">
        <v>2269</v>
      </c>
      <c r="J330" s="309"/>
      <c r="K330" s="14" t="s">
        <v>1018</v>
      </c>
      <c r="L330" s="14" t="s">
        <v>2168</v>
      </c>
      <c r="M330" s="14" t="s">
        <v>2268</v>
      </c>
      <c r="N330" s="23" t="s">
        <v>2173</v>
      </c>
      <c r="O330" s="260"/>
    </row>
    <row r="331" spans="1:15" x14ac:dyDescent="0.4">
      <c r="A331" s="307"/>
      <c r="B331" s="310" t="s">
        <v>2318</v>
      </c>
      <c r="C331" s="269" t="s">
        <v>1014</v>
      </c>
      <c r="D331" s="269" t="s">
        <v>1010</v>
      </c>
      <c r="E331" s="23" t="s">
        <v>2319</v>
      </c>
      <c r="F331" s="23" t="s">
        <v>2320</v>
      </c>
      <c r="G331" s="313">
        <v>1</v>
      </c>
      <c r="H331" s="269" t="s">
        <v>2281</v>
      </c>
      <c r="I331" s="14" t="s">
        <v>2321</v>
      </c>
      <c r="J331" s="314"/>
      <c r="K331" s="269" t="s">
        <v>1018</v>
      </c>
      <c r="L331" s="269" t="s">
        <v>2168</v>
      </c>
      <c r="M331" s="269" t="s">
        <v>2268</v>
      </c>
      <c r="N331" s="23" t="s">
        <v>2177</v>
      </c>
      <c r="O331" s="260"/>
    </row>
    <row r="332" spans="1:15" x14ac:dyDescent="0.4">
      <c r="A332" s="307"/>
      <c r="B332" s="310" t="s">
        <v>2322</v>
      </c>
      <c r="C332" s="269" t="s">
        <v>1014</v>
      </c>
      <c r="D332" s="269" t="s">
        <v>1010</v>
      </c>
      <c r="E332" s="23" t="s">
        <v>2323</v>
      </c>
      <c r="F332" s="23" t="s">
        <v>2130</v>
      </c>
      <c r="G332" s="313">
        <v>1</v>
      </c>
      <c r="H332" s="269" t="s">
        <v>2281</v>
      </c>
      <c r="I332" s="269" t="s">
        <v>2321</v>
      </c>
      <c r="J332" s="314"/>
      <c r="K332" s="269" t="s">
        <v>1018</v>
      </c>
      <c r="L332" s="269" t="s">
        <v>2168</v>
      </c>
      <c r="M332" s="269" t="s">
        <v>2268</v>
      </c>
      <c r="N332" s="23" t="s">
        <v>2178</v>
      </c>
      <c r="O332" s="260"/>
    </row>
    <row r="333" spans="1:15" x14ac:dyDescent="0.4">
      <c r="A333" s="307"/>
      <c r="B333" s="310" t="s">
        <v>2159</v>
      </c>
      <c r="C333" s="14" t="s">
        <v>1014</v>
      </c>
      <c r="D333" s="14" t="s">
        <v>1010</v>
      </c>
      <c r="E333" s="23" t="s">
        <v>2160</v>
      </c>
      <c r="F333" s="23" t="s">
        <v>2127</v>
      </c>
      <c r="G333" s="308">
        <v>1</v>
      </c>
      <c r="H333" s="14" t="s">
        <v>2281</v>
      </c>
      <c r="I333" s="14" t="s">
        <v>2269</v>
      </c>
      <c r="J333" s="309"/>
      <c r="K333" s="14" t="s">
        <v>1018</v>
      </c>
      <c r="L333" s="14" t="s">
        <v>2168</v>
      </c>
      <c r="M333" s="14" t="s">
        <v>2268</v>
      </c>
      <c r="N333" s="23" t="s">
        <v>2173</v>
      </c>
      <c r="O333" s="260"/>
    </row>
    <row r="334" spans="1:15" x14ac:dyDescent="0.4">
      <c r="A334" s="307"/>
      <c r="B334" s="310" t="s">
        <v>2324</v>
      </c>
      <c r="C334" s="269" t="s">
        <v>1014</v>
      </c>
      <c r="D334" s="269" t="s">
        <v>1010</v>
      </c>
      <c r="E334" s="23" t="s">
        <v>2325</v>
      </c>
      <c r="F334" s="23" t="s">
        <v>2326</v>
      </c>
      <c r="G334" s="313">
        <v>1</v>
      </c>
      <c r="H334" s="269" t="s">
        <v>2281</v>
      </c>
      <c r="I334" s="269" t="s">
        <v>2321</v>
      </c>
      <c r="J334" s="314"/>
      <c r="K334" s="269" t="s">
        <v>1018</v>
      </c>
      <c r="L334" s="269" t="s">
        <v>2168</v>
      </c>
      <c r="M334" s="269" t="s">
        <v>2268</v>
      </c>
      <c r="N334" s="23" t="s">
        <v>2177</v>
      </c>
      <c r="O334" s="260"/>
    </row>
    <row r="335" spans="1:15" x14ac:dyDescent="0.4">
      <c r="A335" s="307"/>
      <c r="B335" s="310" t="s">
        <v>2327</v>
      </c>
      <c r="C335" s="269" t="s">
        <v>1014</v>
      </c>
      <c r="D335" s="269" t="s">
        <v>1010</v>
      </c>
      <c r="E335" s="316" t="s">
        <v>2328</v>
      </c>
      <c r="F335" s="23" t="s">
        <v>2329</v>
      </c>
      <c r="G335" s="313">
        <v>1</v>
      </c>
      <c r="H335" s="269" t="s">
        <v>2281</v>
      </c>
      <c r="I335" s="14" t="s">
        <v>2321</v>
      </c>
      <c r="J335" s="314"/>
      <c r="K335" s="269" t="s">
        <v>1018</v>
      </c>
      <c r="L335" s="269" t="s">
        <v>2168</v>
      </c>
      <c r="M335" s="269" t="s">
        <v>2268</v>
      </c>
      <c r="N335" s="23" t="s">
        <v>2177</v>
      </c>
      <c r="O335" s="260"/>
    </row>
    <row r="336" spans="1:15" x14ac:dyDescent="0.4">
      <c r="A336" s="307"/>
      <c r="B336" s="310" t="s">
        <v>2330</v>
      </c>
      <c r="C336" s="269" t="s">
        <v>1014</v>
      </c>
      <c r="D336" s="269" t="s">
        <v>1010</v>
      </c>
      <c r="E336" s="316" t="s">
        <v>2331</v>
      </c>
      <c r="F336" s="23" t="s">
        <v>2329</v>
      </c>
      <c r="G336" s="313">
        <v>1</v>
      </c>
      <c r="H336" s="269" t="s">
        <v>2281</v>
      </c>
      <c r="I336" s="269" t="s">
        <v>2321</v>
      </c>
      <c r="J336" s="314"/>
      <c r="K336" s="269" t="s">
        <v>1018</v>
      </c>
      <c r="L336" s="269" t="s">
        <v>2168</v>
      </c>
      <c r="M336" s="269" t="s">
        <v>2268</v>
      </c>
      <c r="N336" s="23" t="s">
        <v>2177</v>
      </c>
      <c r="O336" s="260"/>
    </row>
    <row r="337" spans="1:15" x14ac:dyDescent="0.4">
      <c r="A337" s="307"/>
      <c r="B337" s="310" t="s">
        <v>2131</v>
      </c>
      <c r="C337" s="14" t="s">
        <v>1014</v>
      </c>
      <c r="D337" s="14" t="s">
        <v>1010</v>
      </c>
      <c r="E337" s="23" t="s">
        <v>2132</v>
      </c>
      <c r="F337" s="23" t="s">
        <v>2133</v>
      </c>
      <c r="G337" s="308">
        <v>1</v>
      </c>
      <c r="H337" s="14" t="s">
        <v>2281</v>
      </c>
      <c r="I337" s="14" t="s">
        <v>2269</v>
      </c>
      <c r="J337" s="309"/>
      <c r="K337" s="14" t="s">
        <v>1018</v>
      </c>
      <c r="L337" s="14" t="s">
        <v>2168</v>
      </c>
      <c r="M337" s="14" t="s">
        <v>2268</v>
      </c>
      <c r="N337" s="23" t="s">
        <v>2332</v>
      </c>
      <c r="O337" s="260"/>
    </row>
    <row r="338" spans="1:15" x14ac:dyDescent="0.4">
      <c r="A338" s="307"/>
      <c r="B338" s="310" t="s">
        <v>2157</v>
      </c>
      <c r="C338" s="14" t="s">
        <v>1014</v>
      </c>
      <c r="D338" s="14" t="s">
        <v>1010</v>
      </c>
      <c r="E338" s="23" t="s">
        <v>2158</v>
      </c>
      <c r="F338" s="23" t="s">
        <v>2133</v>
      </c>
      <c r="G338" s="308">
        <v>1</v>
      </c>
      <c r="H338" s="14" t="s">
        <v>2281</v>
      </c>
      <c r="I338" s="14" t="s">
        <v>2269</v>
      </c>
      <c r="J338" s="309"/>
      <c r="K338" s="14" t="s">
        <v>1018</v>
      </c>
      <c r="L338" s="14" t="s">
        <v>2168</v>
      </c>
      <c r="M338" s="14" t="s">
        <v>2268</v>
      </c>
      <c r="N338" s="23" t="s">
        <v>2173</v>
      </c>
      <c r="O338" s="260"/>
    </row>
    <row r="339" spans="1:15" x14ac:dyDescent="0.4">
      <c r="A339" s="307"/>
      <c r="B339" s="310" t="s">
        <v>2125</v>
      </c>
      <c r="C339" s="14" t="s">
        <v>1014</v>
      </c>
      <c r="D339" s="14" t="s">
        <v>1010</v>
      </c>
      <c r="E339" s="23" t="s">
        <v>2126</v>
      </c>
      <c r="F339" s="23" t="s">
        <v>2127</v>
      </c>
      <c r="G339" s="308">
        <v>1</v>
      </c>
      <c r="H339" s="14" t="s">
        <v>2281</v>
      </c>
      <c r="I339" s="14" t="s">
        <v>2269</v>
      </c>
      <c r="J339" s="309"/>
      <c r="K339" s="14" t="s">
        <v>1018</v>
      </c>
      <c r="L339" s="14" t="s">
        <v>2168</v>
      </c>
      <c r="M339" s="14" t="s">
        <v>2268</v>
      </c>
      <c r="N339" s="23" t="s">
        <v>1404</v>
      </c>
      <c r="O339" s="260"/>
    </row>
    <row r="340" spans="1:15" x14ac:dyDescent="0.4">
      <c r="A340" s="307"/>
      <c r="B340" s="310" t="s">
        <v>2333</v>
      </c>
      <c r="C340" s="269" t="s">
        <v>1014</v>
      </c>
      <c r="D340" s="269" t="s">
        <v>1010</v>
      </c>
      <c r="E340" s="316" t="s">
        <v>2334</v>
      </c>
      <c r="F340" s="23" t="s">
        <v>2335</v>
      </c>
      <c r="G340" s="313">
        <v>1</v>
      </c>
      <c r="H340" s="269" t="s">
        <v>2281</v>
      </c>
      <c r="I340" s="269" t="s">
        <v>2321</v>
      </c>
      <c r="J340" s="314"/>
      <c r="K340" s="269" t="s">
        <v>1018</v>
      </c>
      <c r="L340" s="269" t="s">
        <v>2168</v>
      </c>
      <c r="M340" s="269" t="s">
        <v>2268</v>
      </c>
      <c r="N340" s="23" t="s">
        <v>2177</v>
      </c>
      <c r="O340" s="260"/>
    </row>
    <row r="341" spans="1:15" x14ac:dyDescent="0.4">
      <c r="A341" s="307"/>
      <c r="B341" s="310" t="s">
        <v>2119</v>
      </c>
      <c r="C341" s="14" t="s">
        <v>1014</v>
      </c>
      <c r="D341" s="14" t="s">
        <v>1010</v>
      </c>
      <c r="E341" s="23" t="s">
        <v>2120</v>
      </c>
      <c r="F341" s="23" t="s">
        <v>2121</v>
      </c>
      <c r="G341" s="308">
        <v>1</v>
      </c>
      <c r="H341" s="14" t="s">
        <v>2281</v>
      </c>
      <c r="I341" s="14" t="s">
        <v>2269</v>
      </c>
      <c r="J341" s="309"/>
      <c r="K341" s="14" t="s">
        <v>1018</v>
      </c>
      <c r="L341" s="14" t="s">
        <v>2168</v>
      </c>
      <c r="M341" s="14" t="s">
        <v>2268</v>
      </c>
      <c r="N341" s="23" t="s">
        <v>1404</v>
      </c>
      <c r="O341" s="260"/>
    </row>
    <row r="342" spans="1:15" x14ac:dyDescent="0.4">
      <c r="A342" s="307"/>
      <c r="B342" s="310" t="s">
        <v>2336</v>
      </c>
      <c r="C342" s="269" t="s">
        <v>1014</v>
      </c>
      <c r="D342" s="269" t="s">
        <v>1010</v>
      </c>
      <c r="E342" s="316" t="s">
        <v>2337</v>
      </c>
      <c r="F342" s="23" t="s">
        <v>2338</v>
      </c>
      <c r="G342" s="313">
        <v>1</v>
      </c>
      <c r="H342" s="269" t="s">
        <v>2281</v>
      </c>
      <c r="I342" s="269" t="s">
        <v>2321</v>
      </c>
      <c r="J342" s="314"/>
      <c r="K342" s="269" t="s">
        <v>1018</v>
      </c>
      <c r="L342" s="269" t="s">
        <v>2168</v>
      </c>
      <c r="M342" s="269" t="s">
        <v>2268</v>
      </c>
      <c r="N342" s="23" t="s">
        <v>2177</v>
      </c>
      <c r="O342" s="260"/>
    </row>
    <row r="343" spans="1:15" x14ac:dyDescent="0.4">
      <c r="A343" s="307"/>
      <c r="B343" s="310" t="s">
        <v>2339</v>
      </c>
      <c r="C343" s="269" t="s">
        <v>1014</v>
      </c>
      <c r="D343" s="269" t="s">
        <v>1010</v>
      </c>
      <c r="E343" s="316" t="s">
        <v>2340</v>
      </c>
      <c r="F343" s="23" t="s">
        <v>2109</v>
      </c>
      <c r="G343" s="313">
        <v>1</v>
      </c>
      <c r="H343" s="269" t="s">
        <v>2281</v>
      </c>
      <c r="I343" s="14" t="s">
        <v>2321</v>
      </c>
      <c r="J343" s="314"/>
      <c r="K343" s="269" t="s">
        <v>1018</v>
      </c>
      <c r="L343" s="269" t="s">
        <v>2168</v>
      </c>
      <c r="M343" s="269" t="s">
        <v>2268</v>
      </c>
      <c r="N343" s="23" t="s">
        <v>2177</v>
      </c>
      <c r="O343" s="260"/>
    </row>
    <row r="344" spans="1:15" x14ac:dyDescent="0.4">
      <c r="A344" s="307"/>
      <c r="B344" s="310" t="s">
        <v>2341</v>
      </c>
      <c r="C344" s="269" t="s">
        <v>1014</v>
      </c>
      <c r="D344" s="269" t="s">
        <v>1010</v>
      </c>
      <c r="E344" s="316" t="s">
        <v>2342</v>
      </c>
      <c r="F344" s="23" t="s">
        <v>2109</v>
      </c>
      <c r="G344" s="313">
        <v>1</v>
      </c>
      <c r="H344" s="269" t="s">
        <v>2281</v>
      </c>
      <c r="I344" s="269" t="s">
        <v>2321</v>
      </c>
      <c r="J344" s="314"/>
      <c r="K344" s="269" t="s">
        <v>1018</v>
      </c>
      <c r="L344" s="269" t="s">
        <v>2168</v>
      </c>
      <c r="M344" s="269" t="s">
        <v>2268</v>
      </c>
      <c r="N344" s="23" t="s">
        <v>2178</v>
      </c>
      <c r="O344" s="260"/>
    </row>
    <row r="345" spans="1:15" x14ac:dyDescent="0.4">
      <c r="A345" s="307"/>
      <c r="B345" s="310" t="s">
        <v>2107</v>
      </c>
      <c r="C345" s="14" t="s">
        <v>1014</v>
      </c>
      <c r="D345" s="14" t="s">
        <v>1010</v>
      </c>
      <c r="E345" s="23" t="s">
        <v>2108</v>
      </c>
      <c r="F345" s="23" t="s">
        <v>2109</v>
      </c>
      <c r="G345" s="308">
        <v>1</v>
      </c>
      <c r="H345" s="14" t="s">
        <v>2281</v>
      </c>
      <c r="I345" s="14" t="s">
        <v>2269</v>
      </c>
      <c r="J345" s="309"/>
      <c r="K345" s="14" t="s">
        <v>1018</v>
      </c>
      <c r="L345" s="14" t="s">
        <v>2168</v>
      </c>
      <c r="M345" s="14" t="s">
        <v>2268</v>
      </c>
      <c r="N345" s="23" t="s">
        <v>1404</v>
      </c>
      <c r="O345" s="260"/>
    </row>
    <row r="346" spans="1:15" x14ac:dyDescent="0.4">
      <c r="A346" s="307"/>
      <c r="B346" s="310" t="s">
        <v>2144</v>
      </c>
      <c r="C346" s="14" t="s">
        <v>1014</v>
      </c>
      <c r="D346" s="14" t="s">
        <v>1010</v>
      </c>
      <c r="E346" s="23" t="s">
        <v>2145</v>
      </c>
      <c r="F346" s="23" t="s">
        <v>2146</v>
      </c>
      <c r="G346" s="308">
        <v>1</v>
      </c>
      <c r="H346" s="14" t="s">
        <v>2281</v>
      </c>
      <c r="I346" s="14" t="s">
        <v>2269</v>
      </c>
      <c r="J346" s="309"/>
      <c r="K346" s="14" t="s">
        <v>1018</v>
      </c>
      <c r="L346" s="14" t="s">
        <v>2168</v>
      </c>
      <c r="M346" s="14" t="s">
        <v>2268</v>
      </c>
      <c r="N346" s="23" t="s">
        <v>2173</v>
      </c>
      <c r="O346" s="260"/>
    </row>
    <row r="347" spans="1:15" x14ac:dyDescent="0.4">
      <c r="A347" s="307"/>
      <c r="B347" s="310" t="s">
        <v>2343</v>
      </c>
      <c r="C347" s="269" t="s">
        <v>1014</v>
      </c>
      <c r="D347" s="269" t="s">
        <v>1010</v>
      </c>
      <c r="E347" s="316" t="s">
        <v>2344</v>
      </c>
      <c r="F347" s="23" t="s">
        <v>2345</v>
      </c>
      <c r="G347" s="313">
        <v>1</v>
      </c>
      <c r="H347" s="269" t="s">
        <v>2281</v>
      </c>
      <c r="I347" s="14" t="s">
        <v>2321</v>
      </c>
      <c r="J347" s="314"/>
      <c r="K347" s="269" t="s">
        <v>1018</v>
      </c>
      <c r="L347" s="269" t="s">
        <v>2168</v>
      </c>
      <c r="M347" s="269" t="s">
        <v>2268</v>
      </c>
      <c r="N347" s="23" t="s">
        <v>2177</v>
      </c>
      <c r="O347" s="260"/>
    </row>
    <row r="348" spans="1:15" x14ac:dyDescent="0.4">
      <c r="A348" s="307"/>
      <c r="B348" s="310" t="s">
        <v>2110</v>
      </c>
      <c r="C348" s="14" t="s">
        <v>1014</v>
      </c>
      <c r="D348" s="14" t="s">
        <v>1010</v>
      </c>
      <c r="E348" s="23" t="s">
        <v>2111</v>
      </c>
      <c r="F348" s="23" t="s">
        <v>2112</v>
      </c>
      <c r="G348" s="308">
        <v>1</v>
      </c>
      <c r="H348" s="14" t="s">
        <v>2281</v>
      </c>
      <c r="I348" s="14" t="s">
        <v>2269</v>
      </c>
      <c r="J348" s="309"/>
      <c r="K348" s="14" t="s">
        <v>1018</v>
      </c>
      <c r="L348" s="14" t="s">
        <v>2168</v>
      </c>
      <c r="M348" s="14" t="s">
        <v>2268</v>
      </c>
      <c r="N348" s="23" t="s">
        <v>1404</v>
      </c>
      <c r="O348" s="260"/>
    </row>
    <row r="349" spans="1:15" x14ac:dyDescent="0.4">
      <c r="A349" s="307"/>
      <c r="B349" s="310" t="s">
        <v>2346</v>
      </c>
      <c r="C349" s="269" t="s">
        <v>1014</v>
      </c>
      <c r="D349" s="269" t="s">
        <v>1010</v>
      </c>
      <c r="E349" s="316" t="s">
        <v>2347</v>
      </c>
      <c r="F349" s="23" t="s">
        <v>2139</v>
      </c>
      <c r="G349" s="313">
        <v>1</v>
      </c>
      <c r="H349" s="269" t="s">
        <v>2281</v>
      </c>
      <c r="I349" s="14" t="s">
        <v>2321</v>
      </c>
      <c r="J349" s="314"/>
      <c r="K349" s="269" t="s">
        <v>1018</v>
      </c>
      <c r="L349" s="269" t="s">
        <v>2168</v>
      </c>
      <c r="M349" s="269" t="s">
        <v>2268</v>
      </c>
      <c r="N349" s="23" t="s">
        <v>2175</v>
      </c>
      <c r="O349" s="260"/>
    </row>
    <row r="350" spans="1:15" x14ac:dyDescent="0.4">
      <c r="A350" s="307"/>
      <c r="B350" s="310" t="s">
        <v>2348</v>
      </c>
      <c r="C350" s="269" t="s">
        <v>1014</v>
      </c>
      <c r="D350" s="269" t="s">
        <v>1010</v>
      </c>
      <c r="E350" s="316" t="s">
        <v>2349</v>
      </c>
      <c r="F350" s="23" t="s">
        <v>2139</v>
      </c>
      <c r="G350" s="313">
        <v>1</v>
      </c>
      <c r="H350" s="269" t="s">
        <v>2281</v>
      </c>
      <c r="I350" s="269" t="s">
        <v>2321</v>
      </c>
      <c r="J350" s="314"/>
      <c r="K350" s="269" t="s">
        <v>1018</v>
      </c>
      <c r="L350" s="269" t="s">
        <v>2168</v>
      </c>
      <c r="M350" s="269" t="s">
        <v>2268</v>
      </c>
      <c r="N350" s="23" t="s">
        <v>2176</v>
      </c>
      <c r="O350" s="260"/>
    </row>
    <row r="351" spans="1:15" x14ac:dyDescent="0.4">
      <c r="A351" s="307"/>
      <c r="B351" s="310" t="s">
        <v>2122</v>
      </c>
      <c r="C351" s="14" t="s">
        <v>1014</v>
      </c>
      <c r="D351" s="14" t="s">
        <v>1010</v>
      </c>
      <c r="E351" s="23" t="s">
        <v>2123</v>
      </c>
      <c r="F351" s="23" t="s">
        <v>2124</v>
      </c>
      <c r="G351" s="308">
        <v>1</v>
      </c>
      <c r="H351" s="14" t="s">
        <v>2281</v>
      </c>
      <c r="I351" s="14" t="s">
        <v>2269</v>
      </c>
      <c r="J351" s="309"/>
      <c r="K351" s="14" t="s">
        <v>1018</v>
      </c>
      <c r="L351" s="14" t="s">
        <v>2168</v>
      </c>
      <c r="M351" s="14" t="s">
        <v>2268</v>
      </c>
      <c r="N351" s="23" t="s">
        <v>1404</v>
      </c>
      <c r="O351" s="260"/>
    </row>
    <row r="352" spans="1:15" x14ac:dyDescent="0.4">
      <c r="A352" s="307"/>
      <c r="B352" s="310" t="s">
        <v>2128</v>
      </c>
      <c r="C352" s="14" t="s">
        <v>1014</v>
      </c>
      <c r="D352" s="14" t="s">
        <v>1010</v>
      </c>
      <c r="E352" s="23" t="s">
        <v>2129</v>
      </c>
      <c r="F352" s="23" t="s">
        <v>2130</v>
      </c>
      <c r="G352" s="308">
        <v>1</v>
      </c>
      <c r="H352" s="14" t="s">
        <v>2281</v>
      </c>
      <c r="I352" s="14" t="s">
        <v>2269</v>
      </c>
      <c r="J352" s="309"/>
      <c r="K352" s="14" t="s">
        <v>1018</v>
      </c>
      <c r="L352" s="14" t="s">
        <v>2168</v>
      </c>
      <c r="M352" s="14" t="s">
        <v>2268</v>
      </c>
      <c r="N352" s="23" t="s">
        <v>1404</v>
      </c>
      <c r="O352" s="260"/>
    </row>
    <row r="353" spans="1:15" x14ac:dyDescent="0.4">
      <c r="A353" s="307"/>
      <c r="B353" s="310" t="s">
        <v>2350</v>
      </c>
      <c r="C353" s="269" t="s">
        <v>1014</v>
      </c>
      <c r="D353" s="269" t="s">
        <v>1010</v>
      </c>
      <c r="E353" s="316" t="s">
        <v>2351</v>
      </c>
      <c r="F353" s="23" t="s">
        <v>2352</v>
      </c>
      <c r="G353" s="313">
        <v>1</v>
      </c>
      <c r="H353" s="269" t="s">
        <v>2281</v>
      </c>
      <c r="I353" s="14" t="s">
        <v>2321</v>
      </c>
      <c r="J353" s="314"/>
      <c r="K353" s="269" t="s">
        <v>1018</v>
      </c>
      <c r="L353" s="269" t="s">
        <v>2168</v>
      </c>
      <c r="M353" s="269" t="s">
        <v>2268</v>
      </c>
      <c r="N353" s="23" t="s">
        <v>2177</v>
      </c>
      <c r="O353" s="260"/>
    </row>
    <row r="354" spans="1:15" x14ac:dyDescent="0.4">
      <c r="A354" s="307"/>
      <c r="B354" s="310" t="s">
        <v>2353</v>
      </c>
      <c r="C354" s="269" t="s">
        <v>1014</v>
      </c>
      <c r="D354" s="269" t="s">
        <v>1010</v>
      </c>
      <c r="E354" s="316" t="s">
        <v>2354</v>
      </c>
      <c r="F354" s="23" t="s">
        <v>2355</v>
      </c>
      <c r="G354" s="313">
        <v>1</v>
      </c>
      <c r="H354" s="269" t="s">
        <v>2281</v>
      </c>
      <c r="I354" s="269" t="s">
        <v>2321</v>
      </c>
      <c r="J354" s="314"/>
      <c r="K354" s="269" t="s">
        <v>1018</v>
      </c>
      <c r="L354" s="269" t="s">
        <v>2168</v>
      </c>
      <c r="M354" s="269" t="s">
        <v>2268</v>
      </c>
      <c r="N354" s="23" t="s">
        <v>2177</v>
      </c>
      <c r="O354" s="260"/>
    </row>
    <row r="355" spans="1:15" x14ac:dyDescent="0.4">
      <c r="A355" s="307"/>
      <c r="B355" s="310" t="s">
        <v>2356</v>
      </c>
      <c r="C355" s="269" t="s">
        <v>1014</v>
      </c>
      <c r="D355" s="269" t="s">
        <v>1010</v>
      </c>
      <c r="E355" s="316" t="s">
        <v>2357</v>
      </c>
      <c r="F355" s="23" t="s">
        <v>2358</v>
      </c>
      <c r="G355" s="313">
        <v>1</v>
      </c>
      <c r="H355" s="269" t="s">
        <v>2281</v>
      </c>
      <c r="I355" s="14" t="s">
        <v>2321</v>
      </c>
      <c r="J355" s="314"/>
      <c r="K355" s="269" t="s">
        <v>1018</v>
      </c>
      <c r="L355" s="269" t="s">
        <v>2168</v>
      </c>
      <c r="M355" s="269" t="s">
        <v>2268</v>
      </c>
      <c r="N355" s="23" t="s">
        <v>2177</v>
      </c>
      <c r="O355" s="260"/>
    </row>
    <row r="356" spans="1:15" x14ac:dyDescent="0.4">
      <c r="A356" s="307"/>
      <c r="B356" s="310" t="s">
        <v>2104</v>
      </c>
      <c r="C356" s="14" t="s">
        <v>1014</v>
      </c>
      <c r="D356" s="14" t="s">
        <v>1010</v>
      </c>
      <c r="E356" s="23" t="s">
        <v>2105</v>
      </c>
      <c r="F356" s="23" t="s">
        <v>2106</v>
      </c>
      <c r="G356" s="308">
        <v>1</v>
      </c>
      <c r="H356" s="14" t="s">
        <v>2281</v>
      </c>
      <c r="I356" s="14" t="s">
        <v>2269</v>
      </c>
      <c r="J356" s="309"/>
      <c r="K356" s="14" t="s">
        <v>1018</v>
      </c>
      <c r="L356" s="14" t="s">
        <v>2168</v>
      </c>
      <c r="M356" s="14" t="s">
        <v>2268</v>
      </c>
      <c r="N356" s="23" t="s">
        <v>1404</v>
      </c>
      <c r="O356" s="260"/>
    </row>
    <row r="357" spans="1:15" x14ac:dyDescent="0.4">
      <c r="A357" s="307"/>
      <c r="B357" s="310" t="s">
        <v>2359</v>
      </c>
      <c r="C357" s="269" t="s">
        <v>1014</v>
      </c>
      <c r="D357" s="269" t="s">
        <v>1010</v>
      </c>
      <c r="E357" s="316" t="s">
        <v>2360</v>
      </c>
      <c r="F357" s="23" t="s">
        <v>2154</v>
      </c>
      <c r="G357" s="313">
        <v>1</v>
      </c>
      <c r="H357" s="269" t="s">
        <v>2281</v>
      </c>
      <c r="I357" s="14" t="s">
        <v>2321</v>
      </c>
      <c r="J357" s="314"/>
      <c r="K357" s="269" t="s">
        <v>1018</v>
      </c>
      <c r="L357" s="269" t="s">
        <v>2168</v>
      </c>
      <c r="M357" s="269" t="s">
        <v>2268</v>
      </c>
      <c r="N357" s="23" t="s">
        <v>2177</v>
      </c>
      <c r="O357" s="260"/>
    </row>
    <row r="358" spans="1:15" x14ac:dyDescent="0.4">
      <c r="A358" s="307"/>
      <c r="B358" s="310" t="s">
        <v>2361</v>
      </c>
      <c r="C358" s="269" t="s">
        <v>1014</v>
      </c>
      <c r="D358" s="269" t="s">
        <v>1010</v>
      </c>
      <c r="E358" s="316" t="s">
        <v>2362</v>
      </c>
      <c r="F358" s="23" t="s">
        <v>2335</v>
      </c>
      <c r="G358" s="313">
        <v>1</v>
      </c>
      <c r="H358" s="269" t="s">
        <v>2281</v>
      </c>
      <c r="I358" s="269" t="s">
        <v>2321</v>
      </c>
      <c r="J358" s="314"/>
      <c r="K358" s="269" t="s">
        <v>1018</v>
      </c>
      <c r="L358" s="269" t="s">
        <v>2168</v>
      </c>
      <c r="M358" s="269" t="s">
        <v>2268</v>
      </c>
      <c r="N358" s="23" t="s">
        <v>2178</v>
      </c>
      <c r="O358" s="260"/>
    </row>
    <row r="359" spans="1:15" x14ac:dyDescent="0.4">
      <c r="A359" s="307"/>
      <c r="B359" s="310" t="s">
        <v>2363</v>
      </c>
      <c r="C359" s="269" t="s">
        <v>1014</v>
      </c>
      <c r="D359" s="269" t="s">
        <v>1010</v>
      </c>
      <c r="E359" s="316" t="s">
        <v>2364</v>
      </c>
      <c r="F359" s="23" t="s">
        <v>2365</v>
      </c>
      <c r="G359" s="313">
        <v>1</v>
      </c>
      <c r="H359" s="269" t="s">
        <v>2281</v>
      </c>
      <c r="I359" s="14" t="s">
        <v>2321</v>
      </c>
      <c r="J359" s="314"/>
      <c r="K359" s="269" t="s">
        <v>1018</v>
      </c>
      <c r="L359" s="269" t="s">
        <v>2168</v>
      </c>
      <c r="M359" s="269" t="s">
        <v>2268</v>
      </c>
      <c r="N359" s="23" t="s">
        <v>2175</v>
      </c>
      <c r="O359" s="260"/>
    </row>
    <row r="360" spans="1:15" ht="19.5" thickBot="1" x14ac:dyDescent="0.45">
      <c r="A360" s="307"/>
      <c r="B360" s="310" t="s">
        <v>2149</v>
      </c>
      <c r="C360" s="14" t="s">
        <v>1014</v>
      </c>
      <c r="D360" s="14" t="s">
        <v>1010</v>
      </c>
      <c r="E360" s="23" t="s">
        <v>2150</v>
      </c>
      <c r="F360" s="23" t="s">
        <v>2151</v>
      </c>
      <c r="G360" s="308">
        <v>1</v>
      </c>
      <c r="H360" s="14" t="s">
        <v>2281</v>
      </c>
      <c r="I360" s="14" t="s">
        <v>2269</v>
      </c>
      <c r="J360" s="309"/>
      <c r="K360" s="14" t="s">
        <v>1018</v>
      </c>
      <c r="L360" s="14" t="s">
        <v>2168</v>
      </c>
      <c r="M360" s="14" t="s">
        <v>2268</v>
      </c>
      <c r="N360" s="23" t="s">
        <v>2173</v>
      </c>
      <c r="O360" s="260"/>
    </row>
    <row r="361" spans="1:15" ht="19.5" thickBot="1" x14ac:dyDescent="0.45">
      <c r="A361" s="307"/>
      <c r="B361" s="310" t="s">
        <v>2366</v>
      </c>
      <c r="C361" s="269" t="s">
        <v>1014</v>
      </c>
      <c r="D361" s="269" t="s">
        <v>1010</v>
      </c>
      <c r="E361" s="317" t="s">
        <v>2367</v>
      </c>
      <c r="F361" s="23" t="s">
        <v>2338</v>
      </c>
      <c r="G361" s="313">
        <v>1</v>
      </c>
      <c r="H361" s="269" t="s">
        <v>2281</v>
      </c>
      <c r="I361" s="14" t="s">
        <v>2321</v>
      </c>
      <c r="J361" s="314"/>
      <c r="K361" s="269" t="s">
        <v>1018</v>
      </c>
      <c r="L361" s="269" t="s">
        <v>2168</v>
      </c>
      <c r="M361" s="269" t="s">
        <v>2268</v>
      </c>
      <c r="N361" s="23" t="s">
        <v>2178</v>
      </c>
      <c r="O361" s="260"/>
    </row>
    <row r="362" spans="1:15" x14ac:dyDescent="0.4">
      <c r="A362" s="307"/>
      <c r="B362" s="310" t="s">
        <v>2368</v>
      </c>
      <c r="C362" s="269" t="s">
        <v>1014</v>
      </c>
      <c r="D362" s="269" t="s">
        <v>1010</v>
      </c>
      <c r="E362" s="316" t="s">
        <v>2369</v>
      </c>
      <c r="F362" s="23" t="s">
        <v>2345</v>
      </c>
      <c r="G362" s="313">
        <v>1</v>
      </c>
      <c r="H362" s="269" t="s">
        <v>2281</v>
      </c>
      <c r="I362" s="269" t="s">
        <v>2321</v>
      </c>
      <c r="J362" s="314"/>
      <c r="K362" s="269" t="s">
        <v>1018</v>
      </c>
      <c r="L362" s="269" t="s">
        <v>2168</v>
      </c>
      <c r="M362" s="269" t="s">
        <v>2268</v>
      </c>
      <c r="N362" s="23" t="s">
        <v>2178</v>
      </c>
      <c r="O362" s="260"/>
    </row>
    <row r="363" spans="1:15" x14ac:dyDescent="0.4">
      <c r="A363" s="307"/>
      <c r="B363" s="310" t="s">
        <v>2155</v>
      </c>
      <c r="C363" s="14" t="s">
        <v>1014</v>
      </c>
      <c r="D363" s="14" t="s">
        <v>1010</v>
      </c>
      <c r="E363" s="23" t="s">
        <v>2156</v>
      </c>
      <c r="F363" s="23" t="s">
        <v>2112</v>
      </c>
      <c r="G363" s="308">
        <v>1</v>
      </c>
      <c r="H363" s="14" t="s">
        <v>2281</v>
      </c>
      <c r="I363" s="14" t="s">
        <v>2269</v>
      </c>
      <c r="J363" s="309"/>
      <c r="K363" s="14" t="s">
        <v>1018</v>
      </c>
      <c r="L363" s="14" t="s">
        <v>2168</v>
      </c>
      <c r="M363" s="14" t="s">
        <v>2268</v>
      </c>
      <c r="N363" s="23" t="s">
        <v>2173</v>
      </c>
      <c r="O363" s="260"/>
    </row>
    <row r="364" spans="1:15" x14ac:dyDescent="0.4">
      <c r="A364" s="307"/>
      <c r="B364" s="310" t="s">
        <v>2152</v>
      </c>
      <c r="C364" s="14" t="s">
        <v>1014</v>
      </c>
      <c r="D364" s="14" t="s">
        <v>1010</v>
      </c>
      <c r="E364" s="23" t="s">
        <v>2153</v>
      </c>
      <c r="F364" s="23" t="s">
        <v>2154</v>
      </c>
      <c r="G364" s="308">
        <v>1</v>
      </c>
      <c r="H364" s="14" t="s">
        <v>2281</v>
      </c>
      <c r="I364" s="14" t="s">
        <v>2269</v>
      </c>
      <c r="J364" s="309"/>
      <c r="K364" s="14" t="s">
        <v>1018</v>
      </c>
      <c r="L364" s="14" t="s">
        <v>2168</v>
      </c>
      <c r="M364" s="14" t="s">
        <v>2268</v>
      </c>
      <c r="N364" s="23" t="s">
        <v>2173</v>
      </c>
      <c r="O364" s="260"/>
    </row>
    <row r="365" spans="1:15" x14ac:dyDescent="0.4">
      <c r="A365" s="307"/>
      <c r="B365" s="310" t="s">
        <v>2161</v>
      </c>
      <c r="C365" s="14" t="s">
        <v>1014</v>
      </c>
      <c r="D365" s="14" t="s">
        <v>1010</v>
      </c>
      <c r="E365" s="23" t="s">
        <v>2162</v>
      </c>
      <c r="F365" s="23" t="s">
        <v>2130</v>
      </c>
      <c r="G365" s="308">
        <v>1</v>
      </c>
      <c r="H365" s="14" t="s">
        <v>2281</v>
      </c>
      <c r="I365" s="14" t="s">
        <v>2269</v>
      </c>
      <c r="J365" s="309"/>
      <c r="K365" s="14" t="s">
        <v>1018</v>
      </c>
      <c r="L365" s="14" t="s">
        <v>2168</v>
      </c>
      <c r="M365" s="14" t="s">
        <v>2268</v>
      </c>
      <c r="N365" s="23" t="s">
        <v>2173</v>
      </c>
      <c r="O365" s="260"/>
    </row>
    <row r="366" spans="1:15" x14ac:dyDescent="0.4">
      <c r="A366" s="307"/>
      <c r="B366" s="310" t="s">
        <v>2370</v>
      </c>
      <c r="C366" s="269" t="s">
        <v>1014</v>
      </c>
      <c r="D366" s="269" t="s">
        <v>1010</v>
      </c>
      <c r="E366" s="316" t="s">
        <v>2371</v>
      </c>
      <c r="F366" s="23" t="s">
        <v>2352</v>
      </c>
      <c r="G366" s="313">
        <v>1</v>
      </c>
      <c r="H366" s="269" t="s">
        <v>2281</v>
      </c>
      <c r="I366" s="269" t="s">
        <v>2321</v>
      </c>
      <c r="J366" s="314"/>
      <c r="K366" s="269" t="s">
        <v>1018</v>
      </c>
      <c r="L366" s="269" t="s">
        <v>2168</v>
      </c>
      <c r="M366" s="269" t="s">
        <v>2268</v>
      </c>
      <c r="N366" s="23" t="s">
        <v>2178</v>
      </c>
      <c r="O366" s="260"/>
    </row>
    <row r="367" spans="1:15" x14ac:dyDescent="0.4">
      <c r="A367" s="307"/>
      <c r="B367" s="310" t="s">
        <v>2372</v>
      </c>
      <c r="C367" s="269" t="s">
        <v>1014</v>
      </c>
      <c r="D367" s="269" t="s">
        <v>1010</v>
      </c>
      <c r="E367" s="316" t="s">
        <v>2373</v>
      </c>
      <c r="F367" s="23" t="s">
        <v>2355</v>
      </c>
      <c r="G367" s="313">
        <v>1</v>
      </c>
      <c r="H367" s="269" t="s">
        <v>2281</v>
      </c>
      <c r="I367" s="14" t="s">
        <v>2321</v>
      </c>
      <c r="J367" s="314"/>
      <c r="K367" s="269" t="s">
        <v>1018</v>
      </c>
      <c r="L367" s="269" t="s">
        <v>2168</v>
      </c>
      <c r="M367" s="269" t="s">
        <v>2268</v>
      </c>
      <c r="N367" s="23" t="s">
        <v>2178</v>
      </c>
      <c r="O367" s="260"/>
    </row>
    <row r="368" spans="1:15" x14ac:dyDescent="0.4">
      <c r="A368" s="307"/>
      <c r="B368" s="310" t="s">
        <v>2374</v>
      </c>
      <c r="C368" s="269" t="s">
        <v>1014</v>
      </c>
      <c r="D368" s="269" t="s">
        <v>1010</v>
      </c>
      <c r="E368" s="316" t="s">
        <v>2375</v>
      </c>
      <c r="F368" s="23" t="s">
        <v>2358</v>
      </c>
      <c r="G368" s="313">
        <v>1</v>
      </c>
      <c r="H368" s="269" t="s">
        <v>2281</v>
      </c>
      <c r="I368" s="269" t="s">
        <v>2321</v>
      </c>
      <c r="J368" s="314"/>
      <c r="K368" s="269" t="s">
        <v>1018</v>
      </c>
      <c r="L368" s="269" t="s">
        <v>2168</v>
      </c>
      <c r="M368" s="269" t="s">
        <v>2268</v>
      </c>
      <c r="N368" s="23" t="s">
        <v>2178</v>
      </c>
      <c r="O368" s="260"/>
    </row>
    <row r="369" spans="1:15" x14ac:dyDescent="0.4">
      <c r="A369" s="307"/>
      <c r="B369" s="310" t="s">
        <v>2142</v>
      </c>
      <c r="C369" s="14" t="s">
        <v>1014</v>
      </c>
      <c r="D369" s="14" t="s">
        <v>1010</v>
      </c>
      <c r="E369" s="23" t="s">
        <v>2143</v>
      </c>
      <c r="F369" s="23" t="s">
        <v>2106</v>
      </c>
      <c r="G369" s="308">
        <v>1</v>
      </c>
      <c r="H369" s="14" t="s">
        <v>2281</v>
      </c>
      <c r="I369" s="14" t="s">
        <v>2269</v>
      </c>
      <c r="J369" s="309"/>
      <c r="K369" s="14" t="s">
        <v>1018</v>
      </c>
      <c r="L369" s="14" t="s">
        <v>2168</v>
      </c>
      <c r="M369" s="14" t="s">
        <v>2268</v>
      </c>
      <c r="N369" s="23" t="s">
        <v>2173</v>
      </c>
      <c r="O369" s="260"/>
    </row>
    <row r="370" spans="1:15" x14ac:dyDescent="0.4">
      <c r="A370" s="307"/>
      <c r="B370" s="310" t="s">
        <v>2376</v>
      </c>
      <c r="C370" s="269" t="s">
        <v>1014</v>
      </c>
      <c r="D370" s="269" t="s">
        <v>1010</v>
      </c>
      <c r="E370" s="316" t="s">
        <v>2377</v>
      </c>
      <c r="F370" s="23" t="s">
        <v>2154</v>
      </c>
      <c r="G370" s="313">
        <v>1</v>
      </c>
      <c r="H370" s="269" t="s">
        <v>2281</v>
      </c>
      <c r="I370" s="269" t="s">
        <v>2321</v>
      </c>
      <c r="J370" s="314"/>
      <c r="K370" s="269" t="s">
        <v>1018</v>
      </c>
      <c r="L370" s="269" t="s">
        <v>2168</v>
      </c>
      <c r="M370" s="269" t="s">
        <v>2268</v>
      </c>
      <c r="N370" s="23" t="s">
        <v>2178</v>
      </c>
      <c r="O370" s="260"/>
    </row>
    <row r="371" spans="1:15" x14ac:dyDescent="0.4">
      <c r="A371" s="307"/>
      <c r="B371" s="310" t="s">
        <v>2134</v>
      </c>
      <c r="C371" s="14" t="s">
        <v>1014</v>
      </c>
      <c r="D371" s="14" t="s">
        <v>1010</v>
      </c>
      <c r="E371" s="23" t="s">
        <v>2135</v>
      </c>
      <c r="F371" s="23" t="s">
        <v>2136</v>
      </c>
      <c r="G371" s="308">
        <v>1</v>
      </c>
      <c r="H371" s="14" t="s">
        <v>2281</v>
      </c>
      <c r="I371" s="14" t="s">
        <v>2269</v>
      </c>
      <c r="J371" s="309"/>
      <c r="K371" s="14" t="s">
        <v>1018</v>
      </c>
      <c r="L371" s="14" t="s">
        <v>2168</v>
      </c>
      <c r="M371" s="14" t="s">
        <v>2268</v>
      </c>
      <c r="N371" s="23" t="s">
        <v>1404</v>
      </c>
      <c r="O371" s="260"/>
    </row>
    <row r="372" spans="1:15" x14ac:dyDescent="0.4">
      <c r="A372" s="307"/>
      <c r="B372" s="310" t="s">
        <v>2163</v>
      </c>
      <c r="C372" s="14" t="s">
        <v>1014</v>
      </c>
      <c r="D372" s="14" t="s">
        <v>1010</v>
      </c>
      <c r="E372" s="316" t="s">
        <v>2164</v>
      </c>
      <c r="F372" s="23" t="s">
        <v>2136</v>
      </c>
      <c r="G372" s="308">
        <v>1</v>
      </c>
      <c r="H372" s="14" t="s">
        <v>2281</v>
      </c>
      <c r="I372" s="14" t="s">
        <v>2269</v>
      </c>
      <c r="J372" s="309"/>
      <c r="K372" s="14" t="s">
        <v>1018</v>
      </c>
      <c r="L372" s="14" t="s">
        <v>2168</v>
      </c>
      <c r="M372" s="14" t="s">
        <v>2268</v>
      </c>
      <c r="N372" s="23" t="s">
        <v>2173</v>
      </c>
      <c r="O372" s="260"/>
    </row>
    <row r="373" spans="1:15" x14ac:dyDescent="0.4">
      <c r="A373" s="307"/>
      <c r="B373" s="310" t="s">
        <v>2378</v>
      </c>
      <c r="C373" s="269" t="s">
        <v>1014</v>
      </c>
      <c r="D373" s="269" t="s">
        <v>1010</v>
      </c>
      <c r="E373" s="316" t="s">
        <v>2379</v>
      </c>
      <c r="F373" s="23" t="s">
        <v>2136</v>
      </c>
      <c r="G373" s="313">
        <v>1</v>
      </c>
      <c r="H373" s="269" t="s">
        <v>2281</v>
      </c>
      <c r="I373" s="14" t="s">
        <v>2321</v>
      </c>
      <c r="J373" s="314"/>
      <c r="K373" s="269" t="s">
        <v>1018</v>
      </c>
      <c r="L373" s="269" t="s">
        <v>2168</v>
      </c>
      <c r="M373" s="269" t="s">
        <v>2268</v>
      </c>
      <c r="N373" s="23" t="s">
        <v>2177</v>
      </c>
      <c r="O373" s="260"/>
    </row>
    <row r="374" spans="1:15" x14ac:dyDescent="0.4">
      <c r="A374" s="307"/>
      <c r="B374" s="310" t="s">
        <v>2380</v>
      </c>
      <c r="C374" s="269" t="s">
        <v>1014</v>
      </c>
      <c r="D374" s="269" t="s">
        <v>1010</v>
      </c>
      <c r="E374" s="316" t="s">
        <v>2381</v>
      </c>
      <c r="F374" s="23" t="s">
        <v>2136</v>
      </c>
      <c r="G374" s="313">
        <v>1</v>
      </c>
      <c r="H374" s="269" t="s">
        <v>2281</v>
      </c>
      <c r="I374" s="269" t="s">
        <v>2321</v>
      </c>
      <c r="J374" s="314"/>
      <c r="K374" s="269" t="s">
        <v>1018</v>
      </c>
      <c r="L374" s="269" t="s">
        <v>2168</v>
      </c>
      <c r="M374" s="269" t="s">
        <v>2268</v>
      </c>
      <c r="N374" s="23" t="s">
        <v>2178</v>
      </c>
      <c r="O374" s="260"/>
    </row>
  </sheetData>
  <phoneticPr fontId="5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FB45-8D88-460B-A639-2E6379C5E845}">
  <sheetPr>
    <tabColor theme="5" tint="0.79998168889431442"/>
  </sheetPr>
  <dimension ref="A1:P431"/>
  <sheetViews>
    <sheetView zoomScale="151" zoomScaleNormal="130" workbookViewId="0">
      <pane ySplit="10" topLeftCell="A283" activePane="bottomLeft" state="frozen"/>
      <selection activeCell="N325" sqref="N325:N374"/>
      <selection pane="bottomLeft" activeCell="D292" sqref="D292"/>
    </sheetView>
  </sheetViews>
  <sheetFormatPr defaultColWidth="0" defaultRowHeight="18.75" x14ac:dyDescent="0.4"/>
  <cols>
    <col min="1" max="1" width="0.875" style="55" customWidth="1"/>
    <col min="2" max="9" width="13.375" style="5" customWidth="1"/>
    <col min="10" max="10" width="0.875" style="55" customWidth="1"/>
    <col min="11" max="16" width="0" style="55" hidden="1" customWidth="1"/>
    <col min="17" max="16384" width="8.625" style="55" hidden="1"/>
  </cols>
  <sheetData>
    <row r="1" spans="1:13" ht="5.45" customHeight="1" x14ac:dyDescent="0.4"/>
    <row r="2" spans="1:13" ht="24" x14ac:dyDescent="0.4">
      <c r="B2" s="362" t="str">
        <f ca="1">LEFT(RIGHT(CELL("filename",A1),LEN(CELL("filename",A1))-FIND("]",CELL("filename",A1))),4)&amp;"年度"&amp;RIGHT(RIGHT(CELL("filename",A1),LEN(CELL("filename",A1))-FIND("]",CELL("filename",A1))),5)</f>
        <v>2020年度時間割一覧</v>
      </c>
      <c r="C2" s="43"/>
      <c r="D2" s="362"/>
      <c r="E2" s="362"/>
      <c r="F2" s="362"/>
      <c r="G2" s="362"/>
      <c r="H2" s="362"/>
      <c r="I2" s="362"/>
    </row>
    <row r="3" spans="1:13" ht="24" hidden="1" x14ac:dyDescent="0.4">
      <c r="B3" s="44" t="s">
        <v>950</v>
      </c>
      <c r="C3" s="49"/>
      <c r="D3" s="45"/>
      <c r="E3" s="33"/>
      <c r="F3" s="33"/>
      <c r="G3" s="33"/>
      <c r="H3" s="33"/>
      <c r="I3" s="34"/>
    </row>
    <row r="4" spans="1:13" ht="18" hidden="1" customHeight="1" x14ac:dyDescent="0.4">
      <c r="B4" s="46" t="s">
        <v>951</v>
      </c>
      <c r="C4" s="363"/>
      <c r="D4" s="364"/>
      <c r="E4" s="365"/>
      <c r="F4" s="365"/>
      <c r="G4" s="365"/>
      <c r="H4" s="365"/>
      <c r="I4" s="37"/>
      <c r="J4" s="366"/>
      <c r="K4" s="366"/>
      <c r="L4" s="366"/>
      <c r="M4" s="366"/>
    </row>
    <row r="5" spans="1:13" ht="18" hidden="1" customHeight="1" x14ac:dyDescent="0.4">
      <c r="A5" s="3"/>
      <c r="B5" s="46" t="s">
        <v>952</v>
      </c>
      <c r="C5" s="363"/>
      <c r="D5" s="367"/>
      <c r="E5" s="368"/>
      <c r="F5" s="368"/>
      <c r="G5" s="368"/>
      <c r="H5" s="368"/>
      <c r="I5" s="38"/>
      <c r="J5" s="3"/>
      <c r="K5" s="3"/>
      <c r="L5" s="3"/>
    </row>
    <row r="6" spans="1:13" ht="18" hidden="1" customHeight="1" x14ac:dyDescent="0.4">
      <c r="A6" s="3"/>
      <c r="B6" s="46" t="s">
        <v>956</v>
      </c>
      <c r="C6" s="363"/>
      <c r="D6" s="367"/>
      <c r="E6" s="368"/>
      <c r="F6" s="368"/>
      <c r="G6" s="368"/>
      <c r="H6" s="368"/>
      <c r="I6" s="38"/>
      <c r="J6" s="3"/>
      <c r="K6" s="3"/>
      <c r="L6" s="3"/>
    </row>
    <row r="7" spans="1:13" ht="19.5" hidden="1" thickBot="1" x14ac:dyDescent="0.45">
      <c r="B7" s="47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48"/>
      <c r="D7" s="48"/>
      <c r="E7" s="35"/>
      <c r="F7" s="35"/>
      <c r="G7" s="35"/>
      <c r="H7" s="35"/>
      <c r="I7" s="36"/>
    </row>
    <row r="8" spans="1:13" x14ac:dyDescent="0.4">
      <c r="B8" s="39"/>
      <c r="C8" s="39"/>
      <c r="D8" s="39"/>
      <c r="E8" s="39"/>
      <c r="F8" s="39"/>
      <c r="G8" s="39"/>
      <c r="H8" s="39"/>
      <c r="I8" s="39"/>
      <c r="J8" s="39"/>
    </row>
    <row r="9" spans="1:13" x14ac:dyDescent="0.4">
      <c r="B9" s="39">
        <v>1</v>
      </c>
      <c r="C9" s="39">
        <v>2</v>
      </c>
      <c r="D9" s="39">
        <v>3</v>
      </c>
      <c r="E9" s="39">
        <v>4</v>
      </c>
      <c r="F9" s="39">
        <v>5</v>
      </c>
      <c r="G9" s="39">
        <v>6</v>
      </c>
      <c r="H9" s="39">
        <v>7</v>
      </c>
      <c r="I9" s="39">
        <v>8</v>
      </c>
      <c r="J9" s="39"/>
    </row>
    <row r="10" spans="1:13" x14ac:dyDescent="0.4">
      <c r="B10" s="270" t="s">
        <v>502</v>
      </c>
      <c r="C10" s="271" t="s">
        <v>501</v>
      </c>
      <c r="D10" s="271" t="s">
        <v>503</v>
      </c>
      <c r="E10" s="272" t="s">
        <v>794</v>
      </c>
      <c r="F10" s="271" t="s">
        <v>945</v>
      </c>
      <c r="G10" s="271" t="s">
        <v>795</v>
      </c>
      <c r="H10" s="271" t="s">
        <v>796</v>
      </c>
      <c r="I10" s="271" t="s">
        <v>511</v>
      </c>
    </row>
    <row r="11" spans="1:13" x14ac:dyDescent="0.4">
      <c r="B11" s="188" t="s">
        <v>1210</v>
      </c>
      <c r="C11" s="14" t="s">
        <v>1211</v>
      </c>
      <c r="D11" s="14" t="s">
        <v>1212</v>
      </c>
      <c r="E11" s="188"/>
      <c r="F11" s="14"/>
      <c r="G11" s="15"/>
      <c r="H11" s="16"/>
      <c r="I11" s="14" t="s">
        <v>1213</v>
      </c>
    </row>
    <row r="12" spans="1:13" x14ac:dyDescent="0.4">
      <c r="B12" s="14" t="s">
        <v>1214</v>
      </c>
      <c r="C12" s="14" t="s">
        <v>1215</v>
      </c>
      <c r="D12" s="14" t="s">
        <v>1216</v>
      </c>
      <c r="E12" s="14" t="s">
        <v>1217</v>
      </c>
      <c r="F12" s="14" t="s">
        <v>1218</v>
      </c>
      <c r="G12" s="15">
        <v>2</v>
      </c>
      <c r="H12" s="14" t="s">
        <v>2511</v>
      </c>
      <c r="I12" s="16" t="s">
        <v>1219</v>
      </c>
    </row>
    <row r="13" spans="1:13" x14ac:dyDescent="0.4">
      <c r="B13" s="14" t="s">
        <v>1214</v>
      </c>
      <c r="C13" s="14" t="s">
        <v>1220</v>
      </c>
      <c r="D13" s="14" t="s">
        <v>1216</v>
      </c>
      <c r="E13" s="14" t="s">
        <v>1217</v>
      </c>
      <c r="F13" s="14" t="s">
        <v>1218</v>
      </c>
      <c r="G13" s="15">
        <v>3</v>
      </c>
      <c r="H13" s="14" t="s">
        <v>2511</v>
      </c>
      <c r="I13" s="16" t="s">
        <v>1221</v>
      </c>
    </row>
    <row r="14" spans="1:13" x14ac:dyDescent="0.4">
      <c r="B14" s="14" t="s">
        <v>1214</v>
      </c>
      <c r="C14" s="14" t="s">
        <v>1222</v>
      </c>
      <c r="D14" s="14" t="s">
        <v>1216</v>
      </c>
      <c r="E14" s="14" t="s">
        <v>1217</v>
      </c>
      <c r="F14" s="14" t="s">
        <v>1223</v>
      </c>
      <c r="G14" s="15">
        <v>2</v>
      </c>
      <c r="H14" s="14" t="s">
        <v>2511</v>
      </c>
      <c r="I14" s="16" t="s">
        <v>1224</v>
      </c>
    </row>
    <row r="15" spans="1:13" x14ac:dyDescent="0.4">
      <c r="B15" s="14" t="s">
        <v>1214</v>
      </c>
      <c r="C15" s="14" t="s">
        <v>1225</v>
      </c>
      <c r="D15" s="14" t="s">
        <v>1216</v>
      </c>
      <c r="E15" s="14" t="s">
        <v>1217</v>
      </c>
      <c r="F15" s="14" t="s">
        <v>1223</v>
      </c>
      <c r="G15" s="15">
        <v>3</v>
      </c>
      <c r="H15" s="14" t="s">
        <v>2511</v>
      </c>
      <c r="I15" s="16" t="s">
        <v>1226</v>
      </c>
    </row>
    <row r="16" spans="1:13" x14ac:dyDescent="0.4">
      <c r="B16" s="14" t="s">
        <v>1214</v>
      </c>
      <c r="C16" s="14" t="s">
        <v>1227</v>
      </c>
      <c r="D16" s="14" t="s">
        <v>1216</v>
      </c>
      <c r="E16" s="14" t="s">
        <v>1217</v>
      </c>
      <c r="F16" s="14" t="s">
        <v>1218</v>
      </c>
      <c r="G16" s="15">
        <v>2</v>
      </c>
      <c r="H16" s="14" t="s">
        <v>2511</v>
      </c>
      <c r="I16" s="16" t="s">
        <v>1228</v>
      </c>
    </row>
    <row r="17" spans="2:9" x14ac:dyDescent="0.4">
      <c r="B17" s="14" t="s">
        <v>1214</v>
      </c>
      <c r="C17" s="14" t="s">
        <v>1229</v>
      </c>
      <c r="D17" s="14" t="s">
        <v>1216</v>
      </c>
      <c r="E17" s="14" t="s">
        <v>1217</v>
      </c>
      <c r="F17" s="14" t="s">
        <v>1218</v>
      </c>
      <c r="G17" s="15">
        <v>3</v>
      </c>
      <c r="H17" s="14" t="s">
        <v>2511</v>
      </c>
      <c r="I17" s="16" t="s">
        <v>1230</v>
      </c>
    </row>
    <row r="18" spans="2:9" ht="22.5" customHeight="1" x14ac:dyDescent="0.4">
      <c r="B18" s="14" t="s">
        <v>1214</v>
      </c>
      <c r="C18" s="14" t="s">
        <v>1231</v>
      </c>
      <c r="D18" s="14" t="s">
        <v>1232</v>
      </c>
      <c r="E18" s="14" t="s">
        <v>1217</v>
      </c>
      <c r="F18" s="14" t="s">
        <v>1218</v>
      </c>
      <c r="G18" s="15">
        <v>3</v>
      </c>
      <c r="H18" s="14" t="s">
        <v>2511</v>
      </c>
      <c r="I18" s="16" t="s">
        <v>1233</v>
      </c>
    </row>
    <row r="19" spans="2:9" ht="22.5" customHeight="1" x14ac:dyDescent="0.4">
      <c r="B19" s="14" t="s">
        <v>1214</v>
      </c>
      <c r="C19" s="14" t="s">
        <v>1234</v>
      </c>
      <c r="D19" s="14" t="s">
        <v>1232</v>
      </c>
      <c r="E19" s="14" t="s">
        <v>1217</v>
      </c>
      <c r="F19" s="14" t="s">
        <v>1218</v>
      </c>
      <c r="G19" s="15">
        <v>4</v>
      </c>
      <c r="H19" s="14" t="s">
        <v>2511</v>
      </c>
      <c r="I19" s="16" t="s">
        <v>1235</v>
      </c>
    </row>
    <row r="20" spans="2:9" ht="22.5" customHeight="1" x14ac:dyDescent="0.4">
      <c r="B20" s="14" t="s">
        <v>1214</v>
      </c>
      <c r="C20" s="14" t="s">
        <v>1236</v>
      </c>
      <c r="D20" s="14" t="s">
        <v>1237</v>
      </c>
      <c r="E20" s="14" t="s">
        <v>1217</v>
      </c>
      <c r="F20" s="14" t="s">
        <v>990</v>
      </c>
      <c r="G20" s="15">
        <v>3</v>
      </c>
      <c r="H20" s="14" t="s">
        <v>2511</v>
      </c>
      <c r="I20" s="16" t="s">
        <v>1238</v>
      </c>
    </row>
    <row r="21" spans="2:9" ht="22.5" customHeight="1" x14ac:dyDescent="0.4">
      <c r="B21" s="14" t="s">
        <v>1214</v>
      </c>
      <c r="C21" s="14" t="s">
        <v>1239</v>
      </c>
      <c r="D21" s="14" t="s">
        <v>1237</v>
      </c>
      <c r="E21" s="14" t="s">
        <v>1217</v>
      </c>
      <c r="F21" s="14" t="s">
        <v>990</v>
      </c>
      <c r="G21" s="15">
        <v>4</v>
      </c>
      <c r="H21" s="14" t="s">
        <v>2511</v>
      </c>
      <c r="I21" s="16" t="s">
        <v>1240</v>
      </c>
    </row>
    <row r="22" spans="2:9" ht="22.5" customHeight="1" x14ac:dyDescent="0.4">
      <c r="B22" s="14" t="s">
        <v>1214</v>
      </c>
      <c r="C22" s="14" t="s">
        <v>1241</v>
      </c>
      <c r="D22" s="14" t="s">
        <v>1237</v>
      </c>
      <c r="E22" s="14" t="s">
        <v>1217</v>
      </c>
      <c r="F22" s="14" t="s">
        <v>990</v>
      </c>
      <c r="G22" s="15">
        <v>3</v>
      </c>
      <c r="H22" s="14" t="s">
        <v>2511</v>
      </c>
      <c r="I22" s="16" t="s">
        <v>1242</v>
      </c>
    </row>
    <row r="23" spans="2:9" ht="22.5" customHeight="1" x14ac:dyDescent="0.4">
      <c r="B23" s="188" t="s">
        <v>1243</v>
      </c>
      <c r="C23" s="14" t="s">
        <v>1244</v>
      </c>
      <c r="D23" s="14" t="s">
        <v>1245</v>
      </c>
      <c r="E23" s="14" t="s">
        <v>1217</v>
      </c>
      <c r="F23" s="14" t="s">
        <v>1246</v>
      </c>
      <c r="G23" s="15"/>
      <c r="H23" s="14" t="s">
        <v>2511</v>
      </c>
      <c r="I23" s="16"/>
    </row>
    <row r="24" spans="2:9" ht="19.5" x14ac:dyDescent="0.4">
      <c r="B24" s="14" t="s">
        <v>1247</v>
      </c>
      <c r="C24" s="14" t="s">
        <v>1248</v>
      </c>
      <c r="D24" s="14" t="s">
        <v>1249</v>
      </c>
      <c r="E24" s="14" t="s">
        <v>1217</v>
      </c>
      <c r="F24" s="14" t="s">
        <v>1250</v>
      </c>
      <c r="G24" s="16" t="s">
        <v>1251</v>
      </c>
      <c r="H24" s="14" t="s">
        <v>2511</v>
      </c>
      <c r="I24" s="16" t="s">
        <v>1252</v>
      </c>
    </row>
    <row r="25" spans="2:9" x14ac:dyDescent="0.4">
      <c r="B25" s="14" t="s">
        <v>1253</v>
      </c>
      <c r="C25" s="14" t="s">
        <v>1254</v>
      </c>
      <c r="D25" s="14" t="s">
        <v>1249</v>
      </c>
      <c r="E25" s="14" t="s">
        <v>1217</v>
      </c>
      <c r="F25" s="14" t="s">
        <v>1246</v>
      </c>
      <c r="G25" s="14"/>
      <c r="H25" s="14" t="s">
        <v>2511</v>
      </c>
      <c r="I25" s="14"/>
    </row>
    <row r="26" spans="2:9" x14ac:dyDescent="0.4">
      <c r="B26" s="14" t="s">
        <v>1255</v>
      </c>
      <c r="C26" s="14" t="s">
        <v>1256</v>
      </c>
      <c r="D26" s="14" t="s">
        <v>1257</v>
      </c>
      <c r="E26" s="14" t="s">
        <v>1217</v>
      </c>
      <c r="F26" s="14" t="s">
        <v>989</v>
      </c>
      <c r="G26" s="16">
        <v>2</v>
      </c>
      <c r="H26" s="14" t="s">
        <v>2511</v>
      </c>
      <c r="I26" s="16"/>
    </row>
    <row r="27" spans="2:9" ht="19.5" x14ac:dyDescent="0.4">
      <c r="B27" s="14" t="s">
        <v>1258</v>
      </c>
      <c r="C27" s="14" t="s">
        <v>1259</v>
      </c>
      <c r="D27" s="14" t="s">
        <v>1260</v>
      </c>
      <c r="E27" s="14" t="s">
        <v>1261</v>
      </c>
      <c r="F27" s="14" t="s">
        <v>990</v>
      </c>
      <c r="G27" s="15" t="s">
        <v>1251</v>
      </c>
      <c r="H27" s="14" t="s">
        <v>2511</v>
      </c>
      <c r="I27" s="16" t="s">
        <v>1252</v>
      </c>
    </row>
    <row r="28" spans="2:9" ht="19.5" x14ac:dyDescent="0.4">
      <c r="B28" s="14" t="s">
        <v>1262</v>
      </c>
      <c r="C28" s="14" t="s">
        <v>1263</v>
      </c>
      <c r="D28" s="14" t="s">
        <v>1264</v>
      </c>
      <c r="E28" s="14" t="s">
        <v>1261</v>
      </c>
      <c r="F28" s="14" t="s">
        <v>1250</v>
      </c>
      <c r="G28" s="16" t="s">
        <v>1251</v>
      </c>
      <c r="H28" s="14" t="s">
        <v>2511</v>
      </c>
      <c r="I28" s="16" t="s">
        <v>1265</v>
      </c>
    </row>
    <row r="29" spans="2:9" x14ac:dyDescent="0.4">
      <c r="B29" s="14" t="s">
        <v>1266</v>
      </c>
      <c r="C29" s="14" t="s">
        <v>1267</v>
      </c>
      <c r="D29" s="14" t="s">
        <v>1245</v>
      </c>
      <c r="E29" s="14" t="s">
        <v>1268</v>
      </c>
      <c r="F29" s="14" t="s">
        <v>989</v>
      </c>
      <c r="G29" s="15" t="s">
        <v>1269</v>
      </c>
      <c r="H29" s="14" t="s">
        <v>2511</v>
      </c>
      <c r="I29" s="16"/>
    </row>
    <row r="30" spans="2:9" ht="22.5" customHeight="1" x14ac:dyDescent="0.4">
      <c r="B30" s="14" t="s">
        <v>1270</v>
      </c>
      <c r="C30" s="14" t="s">
        <v>1271</v>
      </c>
      <c r="D30" s="14" t="s">
        <v>1245</v>
      </c>
      <c r="E30" s="14" t="s">
        <v>1272</v>
      </c>
      <c r="F30" s="14" t="s">
        <v>989</v>
      </c>
      <c r="G30" s="14" t="s">
        <v>1269</v>
      </c>
      <c r="H30" s="14" t="s">
        <v>2511</v>
      </c>
      <c r="I30" s="14"/>
    </row>
    <row r="31" spans="2:9" ht="22.5" customHeight="1" x14ac:dyDescent="0.4">
      <c r="B31" s="14" t="s">
        <v>1273</v>
      </c>
      <c r="C31" s="14" t="s">
        <v>1274</v>
      </c>
      <c r="D31" s="14" t="s">
        <v>1275</v>
      </c>
      <c r="E31" s="14"/>
      <c r="F31" s="14"/>
      <c r="G31" s="14"/>
      <c r="H31" s="14"/>
      <c r="I31" s="14" t="s">
        <v>1213</v>
      </c>
    </row>
    <row r="32" spans="2:9" x14ac:dyDescent="0.4">
      <c r="B32" s="14" t="s">
        <v>1276</v>
      </c>
      <c r="C32" s="14" t="s">
        <v>1277</v>
      </c>
      <c r="D32" s="14" t="s">
        <v>1278</v>
      </c>
      <c r="E32" s="14" t="s">
        <v>1217</v>
      </c>
      <c r="F32" s="14" t="s">
        <v>990</v>
      </c>
      <c r="G32" s="14">
        <v>3</v>
      </c>
      <c r="H32" s="14" t="s">
        <v>2511</v>
      </c>
      <c r="I32" s="16"/>
    </row>
    <row r="33" spans="2:9" x14ac:dyDescent="0.4">
      <c r="B33" s="14" t="s">
        <v>1279</v>
      </c>
      <c r="C33" s="14" t="s">
        <v>1280</v>
      </c>
      <c r="D33" s="14" t="s">
        <v>1281</v>
      </c>
      <c r="E33" s="14" t="s">
        <v>1261</v>
      </c>
      <c r="F33" s="14" t="s">
        <v>1246</v>
      </c>
      <c r="G33" s="14"/>
      <c r="H33" s="14" t="s">
        <v>2511</v>
      </c>
      <c r="I33" s="16"/>
    </row>
    <row r="34" spans="2:9" x14ac:dyDescent="0.4">
      <c r="B34" s="14" t="s">
        <v>1279</v>
      </c>
      <c r="C34" s="14" t="s">
        <v>1282</v>
      </c>
      <c r="D34" s="14" t="s">
        <v>1281</v>
      </c>
      <c r="E34" s="14" t="s">
        <v>1217</v>
      </c>
      <c r="F34" s="14" t="s">
        <v>1246</v>
      </c>
      <c r="G34" s="15"/>
      <c r="H34" s="14" t="s">
        <v>2511</v>
      </c>
      <c r="I34" s="16"/>
    </row>
    <row r="35" spans="2:9" x14ac:dyDescent="0.4">
      <c r="B35" s="14" t="s">
        <v>1283</v>
      </c>
      <c r="C35" s="14" t="s">
        <v>1284</v>
      </c>
      <c r="D35" s="14" t="s">
        <v>1285</v>
      </c>
      <c r="E35" s="14" t="s">
        <v>1261</v>
      </c>
      <c r="F35" s="14" t="s">
        <v>989</v>
      </c>
      <c r="G35" s="15">
        <v>2</v>
      </c>
      <c r="H35" s="14" t="s">
        <v>2511</v>
      </c>
      <c r="I35" s="16"/>
    </row>
    <row r="36" spans="2:9" x14ac:dyDescent="0.4">
      <c r="B36" s="14" t="s">
        <v>1286</v>
      </c>
      <c r="C36" s="14" t="s">
        <v>1287</v>
      </c>
      <c r="D36" s="14" t="s">
        <v>1288</v>
      </c>
      <c r="E36" s="14" t="s">
        <v>1217</v>
      </c>
      <c r="F36" s="14" t="s">
        <v>1218</v>
      </c>
      <c r="G36" s="16">
        <v>1</v>
      </c>
      <c r="H36" s="14" t="s">
        <v>2511</v>
      </c>
      <c r="I36" s="16"/>
    </row>
    <row r="37" spans="2:9" x14ac:dyDescent="0.4">
      <c r="B37" s="14" t="s">
        <v>1289</v>
      </c>
      <c r="C37" s="14" t="s">
        <v>1290</v>
      </c>
      <c r="D37" s="14" t="s">
        <v>1291</v>
      </c>
      <c r="E37" s="14" t="s">
        <v>1217</v>
      </c>
      <c r="F37" s="14" t="s">
        <v>989</v>
      </c>
      <c r="G37" s="16">
        <v>2</v>
      </c>
      <c r="H37" s="14" t="s">
        <v>2511</v>
      </c>
      <c r="I37" s="16"/>
    </row>
    <row r="38" spans="2:9" x14ac:dyDescent="0.4">
      <c r="B38" s="14" t="s">
        <v>1292</v>
      </c>
      <c r="C38" s="14" t="s">
        <v>1293</v>
      </c>
      <c r="D38" s="14" t="s">
        <v>1294</v>
      </c>
      <c r="E38" s="14" t="s">
        <v>1217</v>
      </c>
      <c r="F38" s="14" t="s">
        <v>1223</v>
      </c>
      <c r="G38" s="15">
        <v>1</v>
      </c>
      <c r="H38" s="14" t="s">
        <v>2511</v>
      </c>
      <c r="I38" s="16"/>
    </row>
    <row r="39" spans="2:9" x14ac:dyDescent="0.4">
      <c r="B39" s="14" t="s">
        <v>1295</v>
      </c>
      <c r="C39" s="14" t="s">
        <v>1296</v>
      </c>
      <c r="D39" s="14" t="s">
        <v>1297</v>
      </c>
      <c r="E39" s="14" t="s">
        <v>1217</v>
      </c>
      <c r="F39" s="14" t="s">
        <v>1223</v>
      </c>
      <c r="G39" s="15">
        <v>4</v>
      </c>
      <c r="H39" s="14" t="s">
        <v>2511</v>
      </c>
      <c r="I39" s="16"/>
    </row>
    <row r="40" spans="2:9" x14ac:dyDescent="0.4">
      <c r="B40" s="14" t="s">
        <v>1298</v>
      </c>
      <c r="C40" s="14" t="s">
        <v>1299</v>
      </c>
      <c r="D40" s="14" t="s">
        <v>1300</v>
      </c>
      <c r="E40" s="14" t="s">
        <v>1217</v>
      </c>
      <c r="F40" s="14" t="s">
        <v>1218</v>
      </c>
      <c r="G40" s="15">
        <v>2</v>
      </c>
      <c r="H40" s="14" t="s">
        <v>2511</v>
      </c>
      <c r="I40" s="16"/>
    </row>
    <row r="41" spans="2:9" x14ac:dyDescent="0.4">
      <c r="B41" s="14" t="s">
        <v>1301</v>
      </c>
      <c r="C41" s="14" t="s">
        <v>1302</v>
      </c>
      <c r="D41" s="14" t="s">
        <v>1303</v>
      </c>
      <c r="E41" s="14"/>
      <c r="F41" s="14"/>
      <c r="G41" s="15"/>
      <c r="H41" s="14"/>
      <c r="I41" s="16" t="s">
        <v>1304</v>
      </c>
    </row>
    <row r="42" spans="2:9" x14ac:dyDescent="0.4">
      <c r="B42" s="14" t="s">
        <v>1305</v>
      </c>
      <c r="C42" s="14" t="s">
        <v>1306</v>
      </c>
      <c r="D42" s="14" t="s">
        <v>1307</v>
      </c>
      <c r="E42" s="14" t="s">
        <v>1261</v>
      </c>
      <c r="F42" s="14" t="s">
        <v>989</v>
      </c>
      <c r="G42" s="15">
        <v>3</v>
      </c>
      <c r="H42" s="14" t="s">
        <v>2511</v>
      </c>
      <c r="I42" s="16"/>
    </row>
    <row r="43" spans="2:9" x14ac:dyDescent="0.4">
      <c r="B43" s="14" t="s">
        <v>1308</v>
      </c>
      <c r="C43" s="14" t="s">
        <v>1309</v>
      </c>
      <c r="D43" s="14" t="s">
        <v>1310</v>
      </c>
      <c r="E43" s="14" t="s">
        <v>1261</v>
      </c>
      <c r="F43" s="14" t="s">
        <v>1223</v>
      </c>
      <c r="G43" s="15">
        <v>5</v>
      </c>
      <c r="H43" s="14" t="s">
        <v>2511</v>
      </c>
      <c r="I43" s="16"/>
    </row>
    <row r="44" spans="2:9" x14ac:dyDescent="0.4">
      <c r="B44" s="14" t="s">
        <v>1311</v>
      </c>
      <c r="C44" s="14" t="s">
        <v>1312</v>
      </c>
      <c r="D44" s="14" t="s">
        <v>1313</v>
      </c>
      <c r="E44" s="14" t="s">
        <v>1217</v>
      </c>
      <c r="F44" s="14" t="s">
        <v>1223</v>
      </c>
      <c r="G44" s="15">
        <v>2</v>
      </c>
      <c r="H44" s="14" t="s">
        <v>2511</v>
      </c>
      <c r="I44" s="16"/>
    </row>
    <row r="45" spans="2:9" x14ac:dyDescent="0.4">
      <c r="B45" s="14" t="s">
        <v>1314</v>
      </c>
      <c r="C45" s="14" t="s">
        <v>1315</v>
      </c>
      <c r="D45" s="14" t="s">
        <v>1316</v>
      </c>
      <c r="E45" s="16"/>
      <c r="F45" s="16"/>
      <c r="G45" s="16"/>
      <c r="H45" s="14"/>
      <c r="I45" s="14" t="s">
        <v>1304</v>
      </c>
    </row>
    <row r="46" spans="2:9" x14ac:dyDescent="0.4">
      <c r="B46" s="14" t="s">
        <v>1317</v>
      </c>
      <c r="C46" s="14" t="s">
        <v>1318</v>
      </c>
      <c r="D46" s="14" t="s">
        <v>1319</v>
      </c>
      <c r="E46" s="16" t="s">
        <v>1217</v>
      </c>
      <c r="F46" s="16" t="s">
        <v>1218</v>
      </c>
      <c r="G46" s="16">
        <v>3</v>
      </c>
      <c r="H46" s="14" t="s">
        <v>2511</v>
      </c>
      <c r="I46" s="14"/>
    </row>
    <row r="47" spans="2:9" x14ac:dyDescent="0.4">
      <c r="B47" s="14" t="s">
        <v>1320</v>
      </c>
      <c r="C47" s="14" t="s">
        <v>1321</v>
      </c>
      <c r="D47" s="14" t="s">
        <v>1322</v>
      </c>
      <c r="E47" s="16" t="s">
        <v>1217</v>
      </c>
      <c r="F47" s="14" t="s">
        <v>1250</v>
      </c>
      <c r="G47" s="14">
        <v>2</v>
      </c>
      <c r="H47" s="14" t="s">
        <v>2511</v>
      </c>
      <c r="I47" s="14"/>
    </row>
    <row r="48" spans="2:9" x14ac:dyDescent="0.4">
      <c r="B48" s="14" t="s">
        <v>1323</v>
      </c>
      <c r="C48" s="14" t="s">
        <v>1324</v>
      </c>
      <c r="D48" s="14" t="s">
        <v>1325</v>
      </c>
      <c r="E48" s="16" t="s">
        <v>1261</v>
      </c>
      <c r="F48" s="16" t="s">
        <v>1223</v>
      </c>
      <c r="G48" s="16">
        <v>1</v>
      </c>
      <c r="H48" s="14" t="s">
        <v>2511</v>
      </c>
      <c r="I48" s="14"/>
    </row>
    <row r="49" spans="2:9" x14ac:dyDescent="0.4">
      <c r="B49" s="14" t="s">
        <v>1326</v>
      </c>
      <c r="C49" s="14" t="s">
        <v>1327</v>
      </c>
      <c r="D49" s="14" t="s">
        <v>1328</v>
      </c>
      <c r="E49" s="16" t="s">
        <v>1217</v>
      </c>
      <c r="F49" s="16" t="s">
        <v>990</v>
      </c>
      <c r="G49" s="16">
        <v>2</v>
      </c>
      <c r="H49" s="14" t="s">
        <v>2511</v>
      </c>
      <c r="I49" s="14"/>
    </row>
    <row r="50" spans="2:9" x14ac:dyDescent="0.4">
      <c r="B50" s="14" t="s">
        <v>1329</v>
      </c>
      <c r="C50" s="14" t="s">
        <v>1330</v>
      </c>
      <c r="D50" s="14" t="s">
        <v>1331</v>
      </c>
      <c r="E50" s="14" t="s">
        <v>1261</v>
      </c>
      <c r="F50" s="14" t="s">
        <v>1223</v>
      </c>
      <c r="G50" s="15">
        <v>5</v>
      </c>
      <c r="H50" s="14" t="s">
        <v>2511</v>
      </c>
      <c r="I50" s="16"/>
    </row>
    <row r="51" spans="2:9" x14ac:dyDescent="0.4">
      <c r="B51" s="14" t="s">
        <v>1332</v>
      </c>
      <c r="C51" s="14" t="s">
        <v>1333</v>
      </c>
      <c r="D51" s="14" t="s">
        <v>1334</v>
      </c>
      <c r="E51" s="14" t="s">
        <v>1335</v>
      </c>
      <c r="F51" s="14" t="s">
        <v>1246</v>
      </c>
      <c r="G51" s="15"/>
      <c r="H51" s="14" t="s">
        <v>2511</v>
      </c>
      <c r="I51" s="16"/>
    </row>
    <row r="52" spans="2:9" x14ac:dyDescent="0.4">
      <c r="B52" s="14" t="s">
        <v>1336</v>
      </c>
      <c r="C52" s="14" t="s">
        <v>1337</v>
      </c>
      <c r="D52" s="14" t="s">
        <v>1338</v>
      </c>
      <c r="E52" s="16" t="s">
        <v>1217</v>
      </c>
      <c r="F52" s="16" t="s">
        <v>990</v>
      </c>
      <c r="G52" s="16">
        <v>3</v>
      </c>
      <c r="H52" s="14" t="s">
        <v>2511</v>
      </c>
      <c r="I52" s="14"/>
    </row>
    <row r="53" spans="2:9" x14ac:dyDescent="0.4">
      <c r="B53" s="14" t="s">
        <v>1339</v>
      </c>
      <c r="C53" s="14" t="s">
        <v>1340</v>
      </c>
      <c r="D53" s="14" t="s">
        <v>1341</v>
      </c>
      <c r="E53" s="14"/>
      <c r="F53" s="14"/>
      <c r="G53" s="15"/>
      <c r="H53" s="14"/>
      <c r="I53" s="16" t="s">
        <v>1304</v>
      </c>
    </row>
    <row r="54" spans="2:9" x14ac:dyDescent="0.4">
      <c r="B54" s="14" t="s">
        <v>1342</v>
      </c>
      <c r="C54" s="14" t="s">
        <v>1343</v>
      </c>
      <c r="D54" s="14" t="s">
        <v>1344</v>
      </c>
      <c r="E54" s="14" t="s">
        <v>1261</v>
      </c>
      <c r="F54" s="14" t="s">
        <v>990</v>
      </c>
      <c r="G54" s="15">
        <v>1</v>
      </c>
      <c r="H54" s="14" t="s">
        <v>2511</v>
      </c>
      <c r="I54" s="16"/>
    </row>
    <row r="55" spans="2:9" x14ac:dyDescent="0.4">
      <c r="B55" s="14" t="s">
        <v>1345</v>
      </c>
      <c r="C55" s="14" t="s">
        <v>1346</v>
      </c>
      <c r="D55" s="14" t="s">
        <v>1347</v>
      </c>
      <c r="E55" s="14" t="s">
        <v>1217</v>
      </c>
      <c r="F55" s="14" t="s">
        <v>1250</v>
      </c>
      <c r="G55" s="15">
        <v>2</v>
      </c>
      <c r="H55" s="14" t="s">
        <v>2511</v>
      </c>
      <c r="I55" s="16"/>
    </row>
    <row r="56" spans="2:9" x14ac:dyDescent="0.4">
      <c r="B56" s="14" t="s">
        <v>1348</v>
      </c>
      <c r="C56" s="14" t="s">
        <v>1349</v>
      </c>
      <c r="D56" s="14" t="s">
        <v>1350</v>
      </c>
      <c r="E56" s="14" t="s">
        <v>1217</v>
      </c>
      <c r="F56" s="14" t="s">
        <v>990</v>
      </c>
      <c r="G56" s="16">
        <v>5</v>
      </c>
      <c r="H56" s="14" t="s">
        <v>2511</v>
      </c>
      <c r="I56" s="16"/>
    </row>
    <row r="57" spans="2:9" x14ac:dyDescent="0.4">
      <c r="B57" s="14" t="s">
        <v>1351</v>
      </c>
      <c r="C57" s="14" t="s">
        <v>1352</v>
      </c>
      <c r="D57" s="14" t="s">
        <v>1353</v>
      </c>
      <c r="E57" s="16" t="s">
        <v>1261</v>
      </c>
      <c r="F57" s="16" t="s">
        <v>1250</v>
      </c>
      <c r="G57" s="16">
        <v>4</v>
      </c>
      <c r="H57" s="14" t="s">
        <v>2511</v>
      </c>
      <c r="I57" s="14"/>
    </row>
    <row r="58" spans="2:9" x14ac:dyDescent="0.4">
      <c r="B58" s="14" t="s">
        <v>1354</v>
      </c>
      <c r="C58" s="14" t="s">
        <v>1355</v>
      </c>
      <c r="D58" s="14" t="s">
        <v>1356</v>
      </c>
      <c r="E58" s="14" t="s">
        <v>1261</v>
      </c>
      <c r="F58" s="14" t="s">
        <v>989</v>
      </c>
      <c r="G58" s="15">
        <v>3</v>
      </c>
      <c r="H58" s="14" t="s">
        <v>2511</v>
      </c>
      <c r="I58" s="16"/>
    </row>
    <row r="59" spans="2:9" x14ac:dyDescent="0.4">
      <c r="B59" s="14" t="s">
        <v>1357</v>
      </c>
      <c r="C59" s="14" t="s">
        <v>1358</v>
      </c>
      <c r="D59" s="14" t="s">
        <v>1359</v>
      </c>
      <c r="E59" s="16" t="s">
        <v>1261</v>
      </c>
      <c r="F59" s="16" t="s">
        <v>1223</v>
      </c>
      <c r="G59" s="16">
        <v>2</v>
      </c>
      <c r="H59" s="14" t="s">
        <v>2511</v>
      </c>
      <c r="I59" s="14"/>
    </row>
    <row r="60" spans="2:9" x14ac:dyDescent="0.4">
      <c r="B60" s="14" t="s">
        <v>1360</v>
      </c>
      <c r="C60" s="14" t="s">
        <v>1361</v>
      </c>
      <c r="D60" s="14" t="s">
        <v>1362</v>
      </c>
      <c r="E60" s="14"/>
      <c r="F60" s="14"/>
      <c r="G60" s="15"/>
      <c r="H60" s="14"/>
      <c r="I60" s="16" t="s">
        <v>1304</v>
      </c>
    </row>
    <row r="61" spans="2:9" x14ac:dyDescent="0.4">
      <c r="B61" s="14" t="s">
        <v>1363</v>
      </c>
      <c r="C61" s="14" t="s">
        <v>1364</v>
      </c>
      <c r="D61" s="14" t="s">
        <v>1365</v>
      </c>
      <c r="E61" s="14"/>
      <c r="F61" s="14"/>
      <c r="G61" s="15"/>
      <c r="H61" s="14"/>
      <c r="I61" s="16" t="s">
        <v>1304</v>
      </c>
    </row>
    <row r="62" spans="2:9" x14ac:dyDescent="0.4">
      <c r="B62" s="14" t="s">
        <v>1366</v>
      </c>
      <c r="C62" s="14" t="s">
        <v>1367</v>
      </c>
      <c r="D62" s="14" t="s">
        <v>1368</v>
      </c>
      <c r="E62" s="16" t="s">
        <v>1217</v>
      </c>
      <c r="F62" s="16" t="s">
        <v>989</v>
      </c>
      <c r="G62" s="16">
        <v>2</v>
      </c>
      <c r="H62" s="14" t="s">
        <v>2511</v>
      </c>
      <c r="I62" s="14"/>
    </row>
    <row r="63" spans="2:9" x14ac:dyDescent="0.4">
      <c r="B63" s="14" t="s">
        <v>1369</v>
      </c>
      <c r="C63" s="14" t="s">
        <v>1370</v>
      </c>
      <c r="D63" s="14" t="s">
        <v>1371</v>
      </c>
      <c r="E63" s="14" t="s">
        <v>1261</v>
      </c>
      <c r="F63" s="14" t="s">
        <v>1218</v>
      </c>
      <c r="G63" s="15">
        <v>3</v>
      </c>
      <c r="H63" s="14" t="s">
        <v>2511</v>
      </c>
      <c r="I63" s="16"/>
    </row>
    <row r="64" spans="2:9" x14ac:dyDescent="0.4">
      <c r="B64" s="14" t="s">
        <v>1372</v>
      </c>
      <c r="C64" s="14" t="s">
        <v>1373</v>
      </c>
      <c r="D64" s="14" t="s">
        <v>1374</v>
      </c>
      <c r="E64" s="14" t="s">
        <v>1217</v>
      </c>
      <c r="F64" s="14" t="s">
        <v>1218</v>
      </c>
      <c r="G64" s="15">
        <v>4</v>
      </c>
      <c r="H64" s="14" t="s">
        <v>2511</v>
      </c>
      <c r="I64" s="16"/>
    </row>
    <row r="65" spans="2:10" x14ac:dyDescent="0.4">
      <c r="B65" s="14" t="s">
        <v>1375</v>
      </c>
      <c r="C65" s="14" t="s">
        <v>1376</v>
      </c>
      <c r="D65" s="14" t="s">
        <v>1377</v>
      </c>
      <c r="E65" s="14" t="s">
        <v>1217</v>
      </c>
      <c r="F65" s="14" t="s">
        <v>1250</v>
      </c>
      <c r="G65" s="15">
        <v>2</v>
      </c>
      <c r="H65" s="14" t="s">
        <v>2511</v>
      </c>
      <c r="I65" s="16"/>
    </row>
    <row r="66" spans="2:10" x14ac:dyDescent="0.4">
      <c r="B66" s="14" t="s">
        <v>1378</v>
      </c>
      <c r="C66" s="14" t="s">
        <v>1379</v>
      </c>
      <c r="D66" s="14" t="s">
        <v>1380</v>
      </c>
      <c r="E66" s="14" t="s">
        <v>1261</v>
      </c>
      <c r="F66" s="14" t="s">
        <v>990</v>
      </c>
      <c r="G66" s="15">
        <v>2</v>
      </c>
      <c r="H66" s="14" t="s">
        <v>2511</v>
      </c>
      <c r="I66" s="16"/>
    </row>
    <row r="67" spans="2:10" x14ac:dyDescent="0.4">
      <c r="B67" s="14" t="s">
        <v>1381</v>
      </c>
      <c r="C67" s="14" t="s">
        <v>1382</v>
      </c>
      <c r="D67" s="14" t="s">
        <v>1380</v>
      </c>
      <c r="E67" s="16" t="s">
        <v>1217</v>
      </c>
      <c r="F67" s="16" t="s">
        <v>990</v>
      </c>
      <c r="G67" s="16">
        <v>4</v>
      </c>
      <c r="H67" s="14" t="s">
        <v>2511</v>
      </c>
      <c r="I67" s="14"/>
    </row>
    <row r="68" spans="2:10" x14ac:dyDescent="0.4">
      <c r="B68" s="14" t="s">
        <v>1383</v>
      </c>
      <c r="C68" s="14" t="s">
        <v>1384</v>
      </c>
      <c r="D68" s="14" t="s">
        <v>1385</v>
      </c>
      <c r="E68" s="16" t="s">
        <v>1217</v>
      </c>
      <c r="F68" s="16" t="s">
        <v>1223</v>
      </c>
      <c r="G68" s="16">
        <v>2</v>
      </c>
      <c r="H68" s="14" t="s">
        <v>2511</v>
      </c>
      <c r="I68" s="14"/>
    </row>
    <row r="69" spans="2:10" x14ac:dyDescent="0.4">
      <c r="B69" s="14" t="s">
        <v>1386</v>
      </c>
      <c r="C69" s="14" t="s">
        <v>1387</v>
      </c>
      <c r="D69" s="14" t="s">
        <v>1388</v>
      </c>
      <c r="E69" s="14" t="s">
        <v>1261</v>
      </c>
      <c r="F69" s="14" t="s">
        <v>1250</v>
      </c>
      <c r="G69" s="15">
        <v>5</v>
      </c>
      <c r="H69" s="14" t="s">
        <v>2511</v>
      </c>
      <c r="I69" s="16"/>
    </row>
    <row r="70" spans="2:10" x14ac:dyDescent="0.4">
      <c r="B70" s="14" t="s">
        <v>1389</v>
      </c>
      <c r="C70" s="14" t="s">
        <v>1390</v>
      </c>
      <c r="D70" s="14" t="s">
        <v>1391</v>
      </c>
      <c r="E70" s="14" t="s">
        <v>1261</v>
      </c>
      <c r="F70" s="14" t="s">
        <v>1223</v>
      </c>
      <c r="G70" s="15">
        <v>3</v>
      </c>
      <c r="H70" s="14" t="s">
        <v>2511</v>
      </c>
      <c r="I70" s="16"/>
    </row>
    <row r="71" spans="2:10" x14ac:dyDescent="0.4">
      <c r="B71" s="14" t="s">
        <v>1392</v>
      </c>
      <c r="C71" s="14" t="s">
        <v>1393</v>
      </c>
      <c r="D71" s="14" t="s">
        <v>1394</v>
      </c>
      <c r="E71" s="14" t="s">
        <v>1217</v>
      </c>
      <c r="F71" s="14" t="s">
        <v>989</v>
      </c>
      <c r="G71" s="15">
        <v>2</v>
      </c>
      <c r="H71" s="14" t="s">
        <v>2511</v>
      </c>
      <c r="I71" s="16"/>
    </row>
    <row r="72" spans="2:10" ht="22.5" customHeight="1" x14ac:dyDescent="0.4">
      <c r="B72" s="14" t="s">
        <v>1395</v>
      </c>
      <c r="C72" s="14" t="s">
        <v>1396</v>
      </c>
      <c r="D72" s="14" t="s">
        <v>1397</v>
      </c>
      <c r="E72" s="14" t="s">
        <v>1217</v>
      </c>
      <c r="F72" s="14" t="s">
        <v>1223</v>
      </c>
      <c r="G72" s="15">
        <v>1</v>
      </c>
      <c r="H72" s="14" t="s">
        <v>2511</v>
      </c>
      <c r="I72" s="16"/>
    </row>
    <row r="73" spans="2:10" x14ac:dyDescent="0.4">
      <c r="B73" s="14" t="s">
        <v>1398</v>
      </c>
      <c r="C73" s="14" t="s">
        <v>1399</v>
      </c>
      <c r="D73" s="14" t="s">
        <v>1400</v>
      </c>
      <c r="E73" s="14" t="s">
        <v>1217</v>
      </c>
      <c r="F73" s="14" t="s">
        <v>989</v>
      </c>
      <c r="G73" s="15">
        <v>3</v>
      </c>
      <c r="H73" s="14" t="s">
        <v>2511</v>
      </c>
      <c r="I73" s="16"/>
    </row>
    <row r="74" spans="2:10" x14ac:dyDescent="0.4">
      <c r="B74" s="14" t="s">
        <v>1401</v>
      </c>
      <c r="C74" s="14" t="s">
        <v>1402</v>
      </c>
      <c r="D74" s="14" t="s">
        <v>1403</v>
      </c>
      <c r="E74" s="14" t="s">
        <v>1404</v>
      </c>
      <c r="F74" s="14" t="s">
        <v>989</v>
      </c>
      <c r="G74" s="15" t="s">
        <v>1405</v>
      </c>
      <c r="H74" s="14" t="s">
        <v>2511</v>
      </c>
      <c r="I74" s="16"/>
    </row>
    <row r="75" spans="2:10" x14ac:dyDescent="0.4">
      <c r="B75" s="14" t="s">
        <v>1406</v>
      </c>
      <c r="C75" s="14" t="s">
        <v>1407</v>
      </c>
      <c r="D75" s="14" t="s">
        <v>1408</v>
      </c>
      <c r="E75" s="14" t="s">
        <v>1261</v>
      </c>
      <c r="F75" s="14" t="s">
        <v>990</v>
      </c>
      <c r="G75" s="14">
        <v>3</v>
      </c>
      <c r="H75" s="14" t="s">
        <v>2511</v>
      </c>
      <c r="I75" s="14"/>
      <c r="J75" s="40"/>
    </row>
    <row r="76" spans="2:10" x14ac:dyDescent="0.4">
      <c r="B76" s="14" t="s">
        <v>1409</v>
      </c>
      <c r="C76" s="14" t="s">
        <v>1410</v>
      </c>
      <c r="D76" s="14" t="s">
        <v>1411</v>
      </c>
      <c r="E76" s="16" t="s">
        <v>1217</v>
      </c>
      <c r="F76" s="14" t="s">
        <v>989</v>
      </c>
      <c r="G76" s="14">
        <v>4</v>
      </c>
      <c r="H76" s="14" t="s">
        <v>2511</v>
      </c>
      <c r="I76" s="14"/>
    </row>
    <row r="77" spans="2:10" x14ac:dyDescent="0.4">
      <c r="B77" s="14" t="s">
        <v>1412</v>
      </c>
      <c r="C77" s="14" t="s">
        <v>1413</v>
      </c>
      <c r="D77" s="14" t="s">
        <v>1414</v>
      </c>
      <c r="E77" s="14" t="s">
        <v>1261</v>
      </c>
      <c r="F77" s="14" t="s">
        <v>990</v>
      </c>
      <c r="G77" s="15">
        <v>1</v>
      </c>
      <c r="H77" s="14" t="s">
        <v>2511</v>
      </c>
      <c r="I77" s="16"/>
    </row>
    <row r="78" spans="2:10" x14ac:dyDescent="0.4">
      <c r="B78" s="14" t="s">
        <v>1415</v>
      </c>
      <c r="C78" s="14" t="s">
        <v>1416</v>
      </c>
      <c r="D78" s="14" t="s">
        <v>1417</v>
      </c>
      <c r="E78" s="14" t="s">
        <v>1261</v>
      </c>
      <c r="F78" s="14" t="s">
        <v>1223</v>
      </c>
      <c r="G78" s="15">
        <v>2</v>
      </c>
      <c r="H78" s="14" t="s">
        <v>2511</v>
      </c>
      <c r="I78" s="16"/>
    </row>
    <row r="79" spans="2:10" x14ac:dyDescent="0.4">
      <c r="B79" s="14" t="s">
        <v>1418</v>
      </c>
      <c r="C79" s="14" t="s">
        <v>1419</v>
      </c>
      <c r="D79" s="14" t="s">
        <v>1420</v>
      </c>
      <c r="E79" s="14" t="s">
        <v>1261</v>
      </c>
      <c r="F79" s="14" t="s">
        <v>1223</v>
      </c>
      <c r="G79" s="15">
        <v>2</v>
      </c>
      <c r="H79" s="14" t="s">
        <v>2511</v>
      </c>
      <c r="I79" s="16"/>
    </row>
    <row r="80" spans="2:10" x14ac:dyDescent="0.4">
      <c r="B80" s="14" t="s">
        <v>1421</v>
      </c>
      <c r="C80" s="14" t="s">
        <v>1422</v>
      </c>
      <c r="D80" s="14" t="s">
        <v>1423</v>
      </c>
      <c r="E80" s="14" t="s">
        <v>1217</v>
      </c>
      <c r="F80" s="14" t="s">
        <v>990</v>
      </c>
      <c r="G80" s="15">
        <v>2</v>
      </c>
      <c r="H80" s="14" t="s">
        <v>2511</v>
      </c>
      <c r="I80" s="16"/>
    </row>
    <row r="81" spans="2:10" x14ac:dyDescent="0.4">
      <c r="B81" s="14" t="s">
        <v>1424</v>
      </c>
      <c r="C81" s="14" t="s">
        <v>1425</v>
      </c>
      <c r="D81" s="14" t="s">
        <v>1426</v>
      </c>
      <c r="E81" s="14" t="s">
        <v>1261</v>
      </c>
      <c r="F81" s="14" t="s">
        <v>990</v>
      </c>
      <c r="G81" s="15">
        <v>3</v>
      </c>
      <c r="H81" s="14" t="s">
        <v>2511</v>
      </c>
      <c r="I81" s="16"/>
    </row>
    <row r="82" spans="2:10" x14ac:dyDescent="0.4">
      <c r="B82" s="14" t="s">
        <v>1427</v>
      </c>
      <c r="C82" s="14" t="s">
        <v>1428</v>
      </c>
      <c r="D82" s="14" t="s">
        <v>1429</v>
      </c>
      <c r="E82" s="14" t="s">
        <v>1217</v>
      </c>
      <c r="F82" s="14" t="s">
        <v>1223</v>
      </c>
      <c r="G82" s="14">
        <v>3</v>
      </c>
      <c r="H82" s="14" t="s">
        <v>2511</v>
      </c>
      <c r="I82" s="16"/>
    </row>
    <row r="83" spans="2:10" x14ac:dyDescent="0.4">
      <c r="B83" s="14" t="s">
        <v>1430</v>
      </c>
      <c r="C83" s="14" t="s">
        <v>1431</v>
      </c>
      <c r="D83" s="14" t="s">
        <v>1432</v>
      </c>
      <c r="E83" s="14" t="s">
        <v>1261</v>
      </c>
      <c r="F83" s="14" t="s">
        <v>990</v>
      </c>
      <c r="G83" s="15">
        <v>2</v>
      </c>
      <c r="H83" s="14" t="s">
        <v>2511</v>
      </c>
      <c r="I83" s="16"/>
    </row>
    <row r="84" spans="2:10" x14ac:dyDescent="0.4">
      <c r="B84" s="14" t="s">
        <v>1433</v>
      </c>
      <c r="C84" s="14" t="s">
        <v>1434</v>
      </c>
      <c r="D84" s="14" t="s">
        <v>1435</v>
      </c>
      <c r="E84" s="14" t="s">
        <v>1261</v>
      </c>
      <c r="F84" s="14" t="s">
        <v>1218</v>
      </c>
      <c r="G84" s="15">
        <v>2</v>
      </c>
      <c r="H84" s="14" t="s">
        <v>2511</v>
      </c>
      <c r="I84" s="16"/>
    </row>
    <row r="85" spans="2:10" x14ac:dyDescent="0.4">
      <c r="B85" s="14" t="s">
        <v>1436</v>
      </c>
      <c r="C85" s="14" t="s">
        <v>1437</v>
      </c>
      <c r="D85" s="14" t="s">
        <v>1438</v>
      </c>
      <c r="E85" s="14" t="s">
        <v>1261</v>
      </c>
      <c r="F85" s="14" t="s">
        <v>1250</v>
      </c>
      <c r="G85" s="15">
        <v>2</v>
      </c>
      <c r="H85" s="14" t="s">
        <v>2511</v>
      </c>
      <c r="I85" s="16"/>
    </row>
    <row r="86" spans="2:10" x14ac:dyDescent="0.4">
      <c r="B86" s="14" t="s">
        <v>1439</v>
      </c>
      <c r="C86" s="14" t="s">
        <v>1440</v>
      </c>
      <c r="D86" s="14" t="s">
        <v>1441</v>
      </c>
      <c r="E86" s="14" t="s">
        <v>1217</v>
      </c>
      <c r="F86" s="14" t="s">
        <v>989</v>
      </c>
      <c r="G86" s="15">
        <v>3</v>
      </c>
      <c r="H86" s="14" t="s">
        <v>2511</v>
      </c>
      <c r="I86" s="16"/>
    </row>
    <row r="87" spans="2:10" x14ac:dyDescent="0.4">
      <c r="B87" s="14" t="s">
        <v>1442</v>
      </c>
      <c r="C87" s="14" t="s">
        <v>1443</v>
      </c>
      <c r="D87" s="14" t="s">
        <v>1444</v>
      </c>
      <c r="E87" s="14" t="s">
        <v>1217</v>
      </c>
      <c r="F87" s="14" t="s">
        <v>990</v>
      </c>
      <c r="G87" s="15">
        <v>3</v>
      </c>
      <c r="H87" s="14" t="s">
        <v>2511</v>
      </c>
      <c r="I87" s="16"/>
    </row>
    <row r="88" spans="2:10" x14ac:dyDescent="0.4">
      <c r="B88" s="14" t="s">
        <v>1445</v>
      </c>
      <c r="C88" s="14" t="s">
        <v>1446</v>
      </c>
      <c r="D88" s="14" t="s">
        <v>1447</v>
      </c>
      <c r="E88" s="14" t="s">
        <v>1217</v>
      </c>
      <c r="F88" s="14" t="s">
        <v>990</v>
      </c>
      <c r="G88" s="14">
        <v>3</v>
      </c>
      <c r="H88" s="14" t="s">
        <v>2511</v>
      </c>
      <c r="I88" s="14"/>
      <c r="J88" s="39"/>
    </row>
    <row r="89" spans="2:10" x14ac:dyDescent="0.4">
      <c r="B89" s="14" t="s">
        <v>1448</v>
      </c>
      <c r="C89" s="14" t="s">
        <v>1449</v>
      </c>
      <c r="D89" s="14" t="s">
        <v>1450</v>
      </c>
      <c r="E89" s="16" t="s">
        <v>1217</v>
      </c>
      <c r="F89" s="14" t="s">
        <v>1223</v>
      </c>
      <c r="G89" s="14">
        <v>2</v>
      </c>
      <c r="H89" s="14" t="s">
        <v>2511</v>
      </c>
      <c r="I89" s="14"/>
    </row>
    <row r="90" spans="2:10" x14ac:dyDescent="0.4">
      <c r="B90" s="14" t="s">
        <v>1451</v>
      </c>
      <c r="C90" s="14" t="s">
        <v>1452</v>
      </c>
      <c r="D90" s="14" t="s">
        <v>1453</v>
      </c>
      <c r="E90" s="14" t="s">
        <v>1217</v>
      </c>
      <c r="F90" s="14" t="s">
        <v>990</v>
      </c>
      <c r="G90" s="15">
        <v>4</v>
      </c>
      <c r="H90" s="14" t="s">
        <v>2511</v>
      </c>
      <c r="I90" s="16"/>
    </row>
    <row r="91" spans="2:10" x14ac:dyDescent="0.4">
      <c r="B91" s="14" t="s">
        <v>1454</v>
      </c>
      <c r="C91" s="14" t="s">
        <v>1455</v>
      </c>
      <c r="D91" s="14" t="s">
        <v>1456</v>
      </c>
      <c r="E91" s="14" t="s">
        <v>1217</v>
      </c>
      <c r="F91" s="14" t="s">
        <v>989</v>
      </c>
      <c r="G91" s="15">
        <v>2</v>
      </c>
      <c r="H91" s="14" t="s">
        <v>2511</v>
      </c>
      <c r="I91" s="16"/>
    </row>
    <row r="92" spans="2:10" x14ac:dyDescent="0.4">
      <c r="B92" s="14" t="s">
        <v>1457</v>
      </c>
      <c r="C92" s="14" t="s">
        <v>1458</v>
      </c>
      <c r="D92" s="14" t="s">
        <v>1459</v>
      </c>
      <c r="E92" s="14" t="s">
        <v>1217</v>
      </c>
      <c r="F92" s="14" t="s">
        <v>989</v>
      </c>
      <c r="G92" s="15">
        <v>4</v>
      </c>
      <c r="H92" s="14" t="s">
        <v>2511</v>
      </c>
      <c r="I92" s="16"/>
    </row>
    <row r="93" spans="2:10" x14ac:dyDescent="0.4">
      <c r="B93" s="14" t="s">
        <v>1460</v>
      </c>
      <c r="C93" s="14" t="s">
        <v>1461</v>
      </c>
      <c r="D93" s="14" t="s">
        <v>1462</v>
      </c>
      <c r="E93" s="14" t="s">
        <v>1217</v>
      </c>
      <c r="F93" s="14" t="s">
        <v>989</v>
      </c>
      <c r="G93" s="15">
        <v>2</v>
      </c>
      <c r="H93" s="14" t="s">
        <v>2511</v>
      </c>
      <c r="I93" s="16"/>
    </row>
    <row r="94" spans="2:10" x14ac:dyDescent="0.4">
      <c r="B94" s="14" t="s">
        <v>1463</v>
      </c>
      <c r="C94" s="14" t="s">
        <v>1464</v>
      </c>
      <c r="D94" s="14" t="s">
        <v>1465</v>
      </c>
      <c r="E94" s="14" t="s">
        <v>1261</v>
      </c>
      <c r="F94" s="14" t="s">
        <v>989</v>
      </c>
      <c r="G94" s="15">
        <v>4</v>
      </c>
      <c r="H94" s="14" t="s">
        <v>2511</v>
      </c>
      <c r="I94" s="16"/>
    </row>
    <row r="95" spans="2:10" x14ac:dyDescent="0.4">
      <c r="B95" s="14" t="s">
        <v>1466</v>
      </c>
      <c r="C95" s="14" t="s">
        <v>1467</v>
      </c>
      <c r="D95" s="14" t="s">
        <v>1468</v>
      </c>
      <c r="E95" s="14" t="s">
        <v>1261</v>
      </c>
      <c r="F95" s="14" t="s">
        <v>1223</v>
      </c>
      <c r="G95" s="15">
        <v>5</v>
      </c>
      <c r="H95" s="14" t="s">
        <v>2511</v>
      </c>
      <c r="I95" s="16"/>
    </row>
    <row r="96" spans="2:10" x14ac:dyDescent="0.4">
      <c r="B96" s="14" t="s">
        <v>1469</v>
      </c>
      <c r="C96" s="14" t="s">
        <v>1470</v>
      </c>
      <c r="D96" s="14" t="s">
        <v>1471</v>
      </c>
      <c r="E96" s="14" t="s">
        <v>1261</v>
      </c>
      <c r="F96" s="14" t="s">
        <v>1218</v>
      </c>
      <c r="G96" s="15">
        <v>3</v>
      </c>
      <c r="H96" s="14" t="s">
        <v>2511</v>
      </c>
      <c r="I96" s="16"/>
    </row>
    <row r="97" spans="2:9" x14ac:dyDescent="0.4">
      <c r="B97" s="14" t="s">
        <v>1469</v>
      </c>
      <c r="C97" s="14" t="s">
        <v>1472</v>
      </c>
      <c r="D97" s="14" t="s">
        <v>1471</v>
      </c>
      <c r="E97" s="14" t="s">
        <v>1217</v>
      </c>
      <c r="F97" s="14" t="s">
        <v>1218</v>
      </c>
      <c r="G97" s="15">
        <v>3</v>
      </c>
      <c r="H97" s="14" t="s">
        <v>2511</v>
      </c>
      <c r="I97" s="16"/>
    </row>
    <row r="98" spans="2:9" x14ac:dyDescent="0.4">
      <c r="B98" s="14" t="s">
        <v>1473</v>
      </c>
      <c r="C98" s="14" t="s">
        <v>1474</v>
      </c>
      <c r="D98" s="14" t="s">
        <v>1471</v>
      </c>
      <c r="E98" s="14" t="s">
        <v>1261</v>
      </c>
      <c r="F98" s="14" t="s">
        <v>1218</v>
      </c>
      <c r="G98" s="15">
        <v>3</v>
      </c>
      <c r="H98" s="14" t="s">
        <v>2511</v>
      </c>
      <c r="I98" s="16"/>
    </row>
    <row r="99" spans="2:9" x14ac:dyDescent="0.4">
      <c r="B99" s="14" t="s">
        <v>1473</v>
      </c>
      <c r="C99" s="14" t="s">
        <v>1475</v>
      </c>
      <c r="D99" s="14" t="s">
        <v>1471</v>
      </c>
      <c r="E99" s="14" t="s">
        <v>1217</v>
      </c>
      <c r="F99" s="14" t="s">
        <v>1218</v>
      </c>
      <c r="G99" s="15">
        <v>3</v>
      </c>
      <c r="H99" s="14" t="s">
        <v>2511</v>
      </c>
      <c r="I99" s="16"/>
    </row>
    <row r="100" spans="2:9" x14ac:dyDescent="0.4">
      <c r="B100" s="14" t="s">
        <v>1476</v>
      </c>
      <c r="C100" s="14" t="s">
        <v>1477</v>
      </c>
      <c r="D100" s="14" t="s">
        <v>1471</v>
      </c>
      <c r="E100" s="14" t="s">
        <v>1261</v>
      </c>
      <c r="F100" s="14" t="s">
        <v>1218</v>
      </c>
      <c r="G100" s="15">
        <v>5</v>
      </c>
      <c r="H100" s="14" t="s">
        <v>2511</v>
      </c>
      <c r="I100" s="16"/>
    </row>
    <row r="101" spans="2:9" x14ac:dyDescent="0.4">
      <c r="B101" s="14" t="s">
        <v>1476</v>
      </c>
      <c r="C101" s="14" t="s">
        <v>1478</v>
      </c>
      <c r="D101" s="14" t="s">
        <v>1471</v>
      </c>
      <c r="E101" s="14" t="s">
        <v>1217</v>
      </c>
      <c r="F101" s="14" t="s">
        <v>1218</v>
      </c>
      <c r="G101" s="15">
        <v>5</v>
      </c>
      <c r="H101" s="14" t="s">
        <v>2511</v>
      </c>
      <c r="I101" s="16"/>
    </row>
    <row r="102" spans="2:9" x14ac:dyDescent="0.4">
      <c r="B102" s="14" t="s">
        <v>1479</v>
      </c>
      <c r="C102" s="14" t="s">
        <v>1480</v>
      </c>
      <c r="D102" s="14" t="s">
        <v>1471</v>
      </c>
      <c r="E102" s="14" t="s">
        <v>1261</v>
      </c>
      <c r="F102" s="14" t="s">
        <v>1218</v>
      </c>
      <c r="G102" s="15">
        <v>5</v>
      </c>
      <c r="H102" s="14" t="s">
        <v>2511</v>
      </c>
      <c r="I102" s="16"/>
    </row>
    <row r="103" spans="2:9" x14ac:dyDescent="0.4">
      <c r="B103" s="14" t="s">
        <v>1479</v>
      </c>
      <c r="C103" s="14" t="s">
        <v>1481</v>
      </c>
      <c r="D103" s="14" t="s">
        <v>1471</v>
      </c>
      <c r="E103" s="14" t="s">
        <v>1217</v>
      </c>
      <c r="F103" s="14" t="s">
        <v>1218</v>
      </c>
      <c r="G103" s="15">
        <v>5</v>
      </c>
      <c r="H103" s="14" t="s">
        <v>2511</v>
      </c>
      <c r="I103" s="16"/>
    </row>
    <row r="104" spans="2:9" x14ac:dyDescent="0.4">
      <c r="B104" s="14" t="s">
        <v>1482</v>
      </c>
      <c r="C104" s="14" t="s">
        <v>1483</v>
      </c>
      <c r="D104" s="14" t="s">
        <v>1471</v>
      </c>
      <c r="E104" s="14" t="s">
        <v>1261</v>
      </c>
      <c r="F104" s="14" t="s">
        <v>1246</v>
      </c>
      <c r="G104" s="15"/>
      <c r="H104" s="14" t="s">
        <v>2511</v>
      </c>
      <c r="I104" s="16"/>
    </row>
    <row r="105" spans="2:9" x14ac:dyDescent="0.4">
      <c r="B105" s="14" t="s">
        <v>1482</v>
      </c>
      <c r="C105" s="14" t="s">
        <v>1484</v>
      </c>
      <c r="D105" s="14" t="s">
        <v>1471</v>
      </c>
      <c r="E105" s="14" t="s">
        <v>1217</v>
      </c>
      <c r="F105" s="14" t="s">
        <v>1246</v>
      </c>
      <c r="G105" s="15"/>
      <c r="H105" s="14" t="s">
        <v>2511</v>
      </c>
      <c r="I105" s="16"/>
    </row>
    <row r="106" spans="2:9" x14ac:dyDescent="0.4">
      <c r="B106" s="14" t="s">
        <v>1485</v>
      </c>
      <c r="C106" s="14" t="s">
        <v>1486</v>
      </c>
      <c r="D106" s="14" t="s">
        <v>1471</v>
      </c>
      <c r="E106" s="14" t="s">
        <v>1261</v>
      </c>
      <c r="F106" s="14" t="s">
        <v>1246</v>
      </c>
      <c r="G106" s="15"/>
      <c r="H106" s="14" t="s">
        <v>2511</v>
      </c>
      <c r="I106" s="16"/>
    </row>
    <row r="107" spans="2:9" x14ac:dyDescent="0.4">
      <c r="B107" s="14" t="s">
        <v>1485</v>
      </c>
      <c r="C107" s="14" t="s">
        <v>1487</v>
      </c>
      <c r="D107" s="14" t="s">
        <v>1471</v>
      </c>
      <c r="E107" s="14" t="s">
        <v>1217</v>
      </c>
      <c r="F107" s="14" t="s">
        <v>1246</v>
      </c>
      <c r="G107" s="15"/>
      <c r="H107" s="14" t="s">
        <v>2511</v>
      </c>
      <c r="I107" s="16"/>
    </row>
    <row r="108" spans="2:9" x14ac:dyDescent="0.4">
      <c r="B108" s="14" t="s">
        <v>1488</v>
      </c>
      <c r="C108" s="14" t="s">
        <v>1489</v>
      </c>
      <c r="D108" s="14" t="s">
        <v>1471</v>
      </c>
      <c r="E108" s="14" t="s">
        <v>1261</v>
      </c>
      <c r="F108" s="14" t="s">
        <v>1246</v>
      </c>
      <c r="G108" s="15"/>
      <c r="H108" s="14" t="s">
        <v>2511</v>
      </c>
      <c r="I108" s="16"/>
    </row>
    <row r="109" spans="2:9" x14ac:dyDescent="0.4">
      <c r="B109" s="14" t="s">
        <v>1488</v>
      </c>
      <c r="C109" s="14" t="s">
        <v>1490</v>
      </c>
      <c r="D109" s="14" t="s">
        <v>1471</v>
      </c>
      <c r="E109" s="14" t="s">
        <v>1217</v>
      </c>
      <c r="F109" s="14" t="s">
        <v>1246</v>
      </c>
      <c r="G109" s="15"/>
      <c r="H109" s="14" t="s">
        <v>2511</v>
      </c>
      <c r="I109" s="16"/>
    </row>
    <row r="110" spans="2:9" x14ac:dyDescent="0.4">
      <c r="B110" s="14" t="s">
        <v>1491</v>
      </c>
      <c r="C110" s="14" t="s">
        <v>1492</v>
      </c>
      <c r="D110" s="14" t="s">
        <v>1493</v>
      </c>
      <c r="E110" s="14" t="s">
        <v>1261</v>
      </c>
      <c r="F110" s="14" t="s">
        <v>1223</v>
      </c>
      <c r="G110" s="15">
        <v>2</v>
      </c>
      <c r="H110" s="14" t="s">
        <v>2511</v>
      </c>
      <c r="I110" s="16"/>
    </row>
    <row r="111" spans="2:9" x14ac:dyDescent="0.4">
      <c r="B111" s="14" t="s">
        <v>1494</v>
      </c>
      <c r="C111" s="14" t="s">
        <v>1495</v>
      </c>
      <c r="D111" s="14" t="s">
        <v>1496</v>
      </c>
      <c r="E111" s="14" t="s">
        <v>1217</v>
      </c>
      <c r="F111" s="14" t="s">
        <v>1223</v>
      </c>
      <c r="G111" s="15">
        <v>2</v>
      </c>
      <c r="H111" s="14" t="s">
        <v>2511</v>
      </c>
      <c r="I111" s="16"/>
    </row>
    <row r="112" spans="2:9" x14ac:dyDescent="0.4">
      <c r="B112" s="14" t="s">
        <v>1497</v>
      </c>
      <c r="C112" s="14" t="s">
        <v>1498</v>
      </c>
      <c r="D112" s="14" t="s">
        <v>1499</v>
      </c>
      <c r="E112" s="16" t="s">
        <v>1217</v>
      </c>
      <c r="F112" s="14" t="s">
        <v>1250</v>
      </c>
      <c r="G112" s="14">
        <v>4</v>
      </c>
      <c r="H112" s="14" t="s">
        <v>2511</v>
      </c>
      <c r="I112" s="14"/>
    </row>
    <row r="113" spans="2:9" x14ac:dyDescent="0.4">
      <c r="B113" s="14" t="s">
        <v>1500</v>
      </c>
      <c r="C113" s="14" t="s">
        <v>1501</v>
      </c>
      <c r="D113" s="14" t="s">
        <v>1502</v>
      </c>
      <c r="E113" s="14" t="s">
        <v>1217</v>
      </c>
      <c r="F113" s="14" t="s">
        <v>1218</v>
      </c>
      <c r="G113" s="15">
        <v>3</v>
      </c>
      <c r="H113" s="14" t="s">
        <v>2511</v>
      </c>
      <c r="I113" s="16"/>
    </row>
    <row r="114" spans="2:9" x14ac:dyDescent="0.4">
      <c r="B114" s="14" t="s">
        <v>1503</v>
      </c>
      <c r="C114" s="14" t="s">
        <v>1504</v>
      </c>
      <c r="D114" s="14" t="s">
        <v>1505</v>
      </c>
      <c r="E114" s="14" t="s">
        <v>1217</v>
      </c>
      <c r="F114" s="14" t="s">
        <v>990</v>
      </c>
      <c r="G114" s="15">
        <v>3</v>
      </c>
      <c r="H114" s="14" t="s">
        <v>2511</v>
      </c>
      <c r="I114" s="16"/>
    </row>
    <row r="115" spans="2:9" x14ac:dyDescent="0.4">
      <c r="B115" s="188" t="s">
        <v>1506</v>
      </c>
      <c r="C115" s="14" t="s">
        <v>1507</v>
      </c>
      <c r="D115" s="14" t="s">
        <v>1508</v>
      </c>
      <c r="E115" s="14" t="s">
        <v>1261</v>
      </c>
      <c r="F115" s="14" t="s">
        <v>989</v>
      </c>
      <c r="G115" s="16">
        <v>4</v>
      </c>
      <c r="H115" s="14" t="s">
        <v>2511</v>
      </c>
      <c r="I115" s="16"/>
    </row>
    <row r="116" spans="2:9" x14ac:dyDescent="0.4">
      <c r="B116" s="14" t="s">
        <v>1509</v>
      </c>
      <c r="C116" s="14" t="s">
        <v>1510</v>
      </c>
      <c r="D116" s="14" t="s">
        <v>1511</v>
      </c>
      <c r="E116" s="14" t="s">
        <v>1217</v>
      </c>
      <c r="F116" s="14" t="s">
        <v>1250</v>
      </c>
      <c r="G116" s="16">
        <v>2</v>
      </c>
      <c r="H116" s="14" t="s">
        <v>2511</v>
      </c>
      <c r="I116" s="16"/>
    </row>
    <row r="117" spans="2:9" x14ac:dyDescent="0.4">
      <c r="B117" s="14" t="s">
        <v>1512</v>
      </c>
      <c r="C117" s="14" t="s">
        <v>1513</v>
      </c>
      <c r="D117" s="14" t="s">
        <v>1514</v>
      </c>
      <c r="E117" s="14" t="s">
        <v>1217</v>
      </c>
      <c r="F117" s="14" t="s">
        <v>1223</v>
      </c>
      <c r="G117" s="16" t="s">
        <v>1251</v>
      </c>
      <c r="H117" s="14" t="s">
        <v>2511</v>
      </c>
      <c r="I117" s="16"/>
    </row>
    <row r="118" spans="2:9" x14ac:dyDescent="0.4">
      <c r="B118" s="14" t="s">
        <v>1515</v>
      </c>
      <c r="C118" s="14" t="s">
        <v>1516</v>
      </c>
      <c r="D118" s="14" t="s">
        <v>1499</v>
      </c>
      <c r="E118" s="14" t="s">
        <v>1261</v>
      </c>
      <c r="F118" s="14" t="s">
        <v>1218</v>
      </c>
      <c r="G118" s="16">
        <v>4</v>
      </c>
      <c r="H118" s="14" t="s">
        <v>2511</v>
      </c>
      <c r="I118" s="16"/>
    </row>
    <row r="119" spans="2:9" x14ac:dyDescent="0.4">
      <c r="B119" s="14" t="s">
        <v>1515</v>
      </c>
      <c r="C119" s="14" t="s">
        <v>1517</v>
      </c>
      <c r="D119" s="14" t="s">
        <v>1499</v>
      </c>
      <c r="E119" s="14" t="s">
        <v>1217</v>
      </c>
      <c r="F119" s="14" t="s">
        <v>1218</v>
      </c>
      <c r="G119" s="16">
        <v>4</v>
      </c>
      <c r="H119" s="14" t="s">
        <v>2511</v>
      </c>
      <c r="I119" s="16"/>
    </row>
    <row r="120" spans="2:9" x14ac:dyDescent="0.4">
      <c r="B120" s="14" t="s">
        <v>1518</v>
      </c>
      <c r="C120" s="14" t="s">
        <v>1519</v>
      </c>
      <c r="D120" s="14" t="s">
        <v>1499</v>
      </c>
      <c r="E120" s="14" t="s">
        <v>1261</v>
      </c>
      <c r="F120" s="14" t="s">
        <v>989</v>
      </c>
      <c r="G120" s="16">
        <v>5</v>
      </c>
      <c r="H120" s="14" t="s">
        <v>2511</v>
      </c>
      <c r="I120" s="16"/>
    </row>
    <row r="121" spans="2:9" x14ac:dyDescent="0.4">
      <c r="B121" s="14" t="s">
        <v>1518</v>
      </c>
      <c r="C121" s="14" t="s">
        <v>1520</v>
      </c>
      <c r="D121" s="14" t="s">
        <v>1499</v>
      </c>
      <c r="E121" s="14" t="s">
        <v>1217</v>
      </c>
      <c r="F121" s="14" t="s">
        <v>989</v>
      </c>
      <c r="G121" s="15">
        <v>5</v>
      </c>
      <c r="H121" s="14" t="s">
        <v>2511</v>
      </c>
      <c r="I121" s="16"/>
    </row>
    <row r="122" spans="2:9" x14ac:dyDescent="0.4">
      <c r="B122" s="14" t="s">
        <v>1521</v>
      </c>
      <c r="C122" s="14" t="s">
        <v>1522</v>
      </c>
      <c r="D122" s="14" t="s">
        <v>1499</v>
      </c>
      <c r="E122" s="14" t="s">
        <v>1261</v>
      </c>
      <c r="F122" s="14" t="s">
        <v>990</v>
      </c>
      <c r="G122" s="15">
        <v>5</v>
      </c>
      <c r="H122" s="14" t="s">
        <v>2511</v>
      </c>
      <c r="I122" s="16"/>
    </row>
    <row r="123" spans="2:9" x14ac:dyDescent="0.4">
      <c r="B123" s="14" t="s">
        <v>1521</v>
      </c>
      <c r="C123" s="14" t="s">
        <v>1523</v>
      </c>
      <c r="D123" s="14" t="s">
        <v>1499</v>
      </c>
      <c r="E123" s="14" t="s">
        <v>1217</v>
      </c>
      <c r="F123" s="14" t="s">
        <v>990</v>
      </c>
      <c r="G123" s="15">
        <v>5</v>
      </c>
      <c r="H123" s="14" t="s">
        <v>2511</v>
      </c>
      <c r="I123" s="16"/>
    </row>
    <row r="124" spans="2:9" x14ac:dyDescent="0.4">
      <c r="B124" s="14" t="s">
        <v>1524</v>
      </c>
      <c r="C124" s="14" t="s">
        <v>1525</v>
      </c>
      <c r="D124" s="14" t="s">
        <v>1499</v>
      </c>
      <c r="E124" s="14" t="s">
        <v>1261</v>
      </c>
      <c r="F124" s="14" t="s">
        <v>1223</v>
      </c>
      <c r="G124" s="15">
        <v>5</v>
      </c>
      <c r="H124" s="14" t="s">
        <v>2511</v>
      </c>
      <c r="I124" s="16"/>
    </row>
    <row r="125" spans="2:9" x14ac:dyDescent="0.4">
      <c r="B125" s="14" t="s">
        <v>1524</v>
      </c>
      <c r="C125" s="14" t="s">
        <v>1526</v>
      </c>
      <c r="D125" s="14" t="s">
        <v>1499</v>
      </c>
      <c r="E125" s="14" t="s">
        <v>1217</v>
      </c>
      <c r="F125" s="14" t="s">
        <v>1223</v>
      </c>
      <c r="G125" s="15">
        <v>5</v>
      </c>
      <c r="H125" s="14" t="s">
        <v>2511</v>
      </c>
      <c r="I125" s="16"/>
    </row>
    <row r="126" spans="2:9" x14ac:dyDescent="0.4">
      <c r="B126" s="14" t="s">
        <v>1527</v>
      </c>
      <c r="C126" s="14" t="s">
        <v>1528</v>
      </c>
      <c r="D126" s="14" t="s">
        <v>1499</v>
      </c>
      <c r="E126" s="14" t="s">
        <v>1261</v>
      </c>
      <c r="F126" s="14" t="s">
        <v>1246</v>
      </c>
      <c r="G126" s="15"/>
      <c r="H126" s="14" t="s">
        <v>2511</v>
      </c>
      <c r="I126" s="16"/>
    </row>
    <row r="127" spans="2:9" x14ac:dyDescent="0.4">
      <c r="B127" s="14" t="s">
        <v>1527</v>
      </c>
      <c r="C127" s="14" t="s">
        <v>1529</v>
      </c>
      <c r="D127" s="14" t="s">
        <v>1499</v>
      </c>
      <c r="E127" s="14" t="s">
        <v>1217</v>
      </c>
      <c r="F127" s="14" t="s">
        <v>1246</v>
      </c>
      <c r="G127" s="15"/>
      <c r="H127" s="14" t="s">
        <v>2511</v>
      </c>
      <c r="I127" s="16"/>
    </row>
    <row r="128" spans="2:9" x14ac:dyDescent="0.4">
      <c r="B128" s="14" t="s">
        <v>1530</v>
      </c>
      <c r="C128" s="14" t="s">
        <v>1531</v>
      </c>
      <c r="D128" s="14" t="s">
        <v>1499</v>
      </c>
      <c r="E128" s="14" t="s">
        <v>1261</v>
      </c>
      <c r="F128" s="14" t="s">
        <v>1246</v>
      </c>
      <c r="G128" s="15"/>
      <c r="H128" s="14" t="s">
        <v>2511</v>
      </c>
      <c r="I128" s="16"/>
    </row>
    <row r="129" spans="2:9" x14ac:dyDescent="0.4">
      <c r="B129" s="14" t="s">
        <v>1530</v>
      </c>
      <c r="C129" s="14" t="s">
        <v>1532</v>
      </c>
      <c r="D129" s="14" t="s">
        <v>1499</v>
      </c>
      <c r="E129" s="14" t="s">
        <v>1217</v>
      </c>
      <c r="F129" s="14" t="s">
        <v>1246</v>
      </c>
      <c r="G129" s="14"/>
      <c r="H129" s="14" t="s">
        <v>2511</v>
      </c>
      <c r="I129" s="16"/>
    </row>
    <row r="130" spans="2:9" x14ac:dyDescent="0.4">
      <c r="B130" s="14" t="s">
        <v>1533</v>
      </c>
      <c r="C130" s="14" t="s">
        <v>1534</v>
      </c>
      <c r="D130" s="14" t="s">
        <v>1499</v>
      </c>
      <c r="E130" s="14" t="s">
        <v>1261</v>
      </c>
      <c r="F130" s="14" t="s">
        <v>1246</v>
      </c>
      <c r="G130" s="15"/>
      <c r="H130" s="14" t="s">
        <v>2511</v>
      </c>
      <c r="I130" s="16"/>
    </row>
    <row r="131" spans="2:9" x14ac:dyDescent="0.4">
      <c r="B131" s="14" t="s">
        <v>1533</v>
      </c>
      <c r="C131" s="14" t="s">
        <v>1535</v>
      </c>
      <c r="D131" s="14" t="s">
        <v>1499</v>
      </c>
      <c r="E131" s="14" t="s">
        <v>1217</v>
      </c>
      <c r="F131" s="14" t="s">
        <v>1246</v>
      </c>
      <c r="G131" s="15"/>
      <c r="H131" s="14" t="s">
        <v>2511</v>
      </c>
      <c r="I131" s="16"/>
    </row>
    <row r="132" spans="2:9" x14ac:dyDescent="0.4">
      <c r="B132" s="14" t="s">
        <v>1536</v>
      </c>
      <c r="C132" s="14" t="s">
        <v>1537</v>
      </c>
      <c r="D132" s="14" t="s">
        <v>1538</v>
      </c>
      <c r="E132" s="14" t="s">
        <v>1261</v>
      </c>
      <c r="F132" s="14" t="s">
        <v>1218</v>
      </c>
      <c r="G132" s="15">
        <v>2</v>
      </c>
      <c r="H132" s="14" t="s">
        <v>2511</v>
      </c>
      <c r="I132" s="16"/>
    </row>
    <row r="133" spans="2:9" x14ac:dyDescent="0.4">
      <c r="B133" s="14" t="s">
        <v>1539</v>
      </c>
      <c r="C133" s="14" t="s">
        <v>1540</v>
      </c>
      <c r="D133" s="14" t="s">
        <v>1541</v>
      </c>
      <c r="E133" s="14" t="s">
        <v>1217</v>
      </c>
      <c r="F133" s="14" t="s">
        <v>989</v>
      </c>
      <c r="G133" s="15">
        <v>2</v>
      </c>
      <c r="H133" s="14" t="s">
        <v>2511</v>
      </c>
      <c r="I133" s="16"/>
    </row>
    <row r="134" spans="2:9" x14ac:dyDescent="0.4">
      <c r="B134" s="14" t="s">
        <v>1542</v>
      </c>
      <c r="C134" s="14" t="s">
        <v>1543</v>
      </c>
      <c r="D134" s="14" t="s">
        <v>1544</v>
      </c>
      <c r="E134" s="14" t="s">
        <v>1261</v>
      </c>
      <c r="F134" s="14" t="s">
        <v>990</v>
      </c>
      <c r="G134" s="15" t="s">
        <v>1251</v>
      </c>
      <c r="H134" s="14" t="s">
        <v>2511</v>
      </c>
      <c r="I134" s="16"/>
    </row>
    <row r="135" spans="2:9" x14ac:dyDescent="0.4">
      <c r="B135" s="14" t="s">
        <v>1545</v>
      </c>
      <c r="C135" s="14" t="s">
        <v>1546</v>
      </c>
      <c r="D135" s="14" t="s">
        <v>1547</v>
      </c>
      <c r="E135" s="14"/>
      <c r="F135" s="14"/>
      <c r="G135" s="15"/>
      <c r="H135" s="14"/>
      <c r="I135" s="16" t="s">
        <v>1304</v>
      </c>
    </row>
    <row r="136" spans="2:9" x14ac:dyDescent="0.4">
      <c r="B136" s="14" t="s">
        <v>1548</v>
      </c>
      <c r="C136" s="14" t="s">
        <v>1549</v>
      </c>
      <c r="D136" s="14" t="s">
        <v>1550</v>
      </c>
      <c r="E136" s="14" t="s">
        <v>1217</v>
      </c>
      <c r="F136" s="14" t="s">
        <v>1250</v>
      </c>
      <c r="G136" s="15">
        <v>4</v>
      </c>
      <c r="H136" s="14" t="s">
        <v>2511</v>
      </c>
      <c r="I136" s="16"/>
    </row>
    <row r="137" spans="2:9" x14ac:dyDescent="0.4">
      <c r="B137" s="14" t="s">
        <v>1551</v>
      </c>
      <c r="C137" s="14" t="s">
        <v>1552</v>
      </c>
      <c r="D137" s="14" t="s">
        <v>1553</v>
      </c>
      <c r="E137" s="14"/>
      <c r="F137" s="14"/>
      <c r="G137" s="15"/>
      <c r="H137" s="14"/>
      <c r="I137" s="16" t="s">
        <v>1213</v>
      </c>
    </row>
    <row r="138" spans="2:9" x14ac:dyDescent="0.4">
      <c r="B138" s="14" t="s">
        <v>1554</v>
      </c>
      <c r="C138" s="14" t="s">
        <v>1555</v>
      </c>
      <c r="D138" s="14" t="s">
        <v>1556</v>
      </c>
      <c r="E138" s="14" t="s">
        <v>1261</v>
      </c>
      <c r="F138" s="14" t="s">
        <v>1557</v>
      </c>
      <c r="G138" s="16"/>
      <c r="H138" s="14" t="s">
        <v>2511</v>
      </c>
      <c r="I138" s="16"/>
    </row>
    <row r="139" spans="2:9" x14ac:dyDescent="0.4">
      <c r="B139" s="14" t="s">
        <v>1554</v>
      </c>
      <c r="C139" s="14" t="s">
        <v>1558</v>
      </c>
      <c r="D139" s="14" t="s">
        <v>1556</v>
      </c>
      <c r="E139" s="14" t="s">
        <v>1217</v>
      </c>
      <c r="F139" s="14" t="s">
        <v>1557</v>
      </c>
      <c r="G139" s="16"/>
      <c r="H139" s="14" t="s">
        <v>2511</v>
      </c>
      <c r="I139" s="16"/>
    </row>
    <row r="140" spans="2:9" x14ac:dyDescent="0.4">
      <c r="B140" s="14" t="s">
        <v>1559</v>
      </c>
      <c r="C140" s="14" t="s">
        <v>1560</v>
      </c>
      <c r="D140" s="14" t="s">
        <v>1556</v>
      </c>
      <c r="E140" s="14" t="s">
        <v>1261</v>
      </c>
      <c r="F140" s="14" t="s">
        <v>1557</v>
      </c>
      <c r="G140" s="16"/>
      <c r="H140" s="14" t="s">
        <v>2511</v>
      </c>
      <c r="I140" s="16"/>
    </row>
    <row r="141" spans="2:9" x14ac:dyDescent="0.4">
      <c r="B141" s="14" t="s">
        <v>1559</v>
      </c>
      <c r="C141" s="14" t="s">
        <v>1561</v>
      </c>
      <c r="D141" s="14" t="s">
        <v>1556</v>
      </c>
      <c r="E141" s="14" t="s">
        <v>1217</v>
      </c>
      <c r="F141" s="14" t="s">
        <v>1557</v>
      </c>
      <c r="G141" s="16"/>
      <c r="H141" s="14" t="s">
        <v>2511</v>
      </c>
      <c r="I141" s="16"/>
    </row>
    <row r="142" spans="2:9" x14ac:dyDescent="0.4">
      <c r="B142" s="14" t="s">
        <v>1562</v>
      </c>
      <c r="C142" s="14" t="s">
        <v>1563</v>
      </c>
      <c r="D142" s="14" t="s">
        <v>1556</v>
      </c>
      <c r="E142" s="14" t="s">
        <v>1261</v>
      </c>
      <c r="F142" s="14" t="s">
        <v>1557</v>
      </c>
      <c r="G142" s="16"/>
      <c r="H142" s="14" t="s">
        <v>2511</v>
      </c>
      <c r="I142" s="16"/>
    </row>
    <row r="143" spans="2:9" x14ac:dyDescent="0.4">
      <c r="B143" s="14" t="s">
        <v>1562</v>
      </c>
      <c r="C143" s="14" t="s">
        <v>1564</v>
      </c>
      <c r="D143" s="14" t="s">
        <v>1556</v>
      </c>
      <c r="E143" s="14" t="s">
        <v>1217</v>
      </c>
      <c r="F143" s="14" t="s">
        <v>1557</v>
      </c>
      <c r="G143" s="16"/>
      <c r="H143" s="14" t="s">
        <v>2511</v>
      </c>
      <c r="I143" s="16"/>
    </row>
    <row r="144" spans="2:9" x14ac:dyDescent="0.4">
      <c r="B144" s="14" t="s">
        <v>1565</v>
      </c>
      <c r="C144" s="14" t="s">
        <v>1566</v>
      </c>
      <c r="D144" s="14" t="s">
        <v>1556</v>
      </c>
      <c r="E144" s="14" t="s">
        <v>1261</v>
      </c>
      <c r="F144" s="14" t="s">
        <v>1557</v>
      </c>
      <c r="G144" s="15"/>
      <c r="H144" s="14" t="s">
        <v>2511</v>
      </c>
      <c r="I144" s="16"/>
    </row>
    <row r="145" spans="2:9" x14ac:dyDescent="0.4">
      <c r="B145" s="14" t="s">
        <v>1565</v>
      </c>
      <c r="C145" s="14" t="s">
        <v>1567</v>
      </c>
      <c r="D145" s="14" t="s">
        <v>1556</v>
      </c>
      <c r="E145" s="14" t="s">
        <v>1217</v>
      </c>
      <c r="F145" s="14" t="s">
        <v>1557</v>
      </c>
      <c r="G145" s="15"/>
      <c r="H145" s="14" t="s">
        <v>2511</v>
      </c>
      <c r="I145" s="16"/>
    </row>
    <row r="146" spans="2:9" x14ac:dyDescent="0.4">
      <c r="B146" s="14" t="s">
        <v>1568</v>
      </c>
      <c r="C146" s="14" t="s">
        <v>1569</v>
      </c>
      <c r="D146" s="14" t="s">
        <v>1570</v>
      </c>
      <c r="E146" s="16" t="s">
        <v>1261</v>
      </c>
      <c r="F146" s="16" t="s">
        <v>990</v>
      </c>
      <c r="G146" s="16">
        <v>6</v>
      </c>
      <c r="H146" s="14" t="s">
        <v>2511</v>
      </c>
      <c r="I146" s="14"/>
    </row>
    <row r="147" spans="2:9" x14ac:dyDescent="0.4">
      <c r="B147" s="14" t="s">
        <v>1571</v>
      </c>
      <c r="C147" s="14" t="s">
        <v>1572</v>
      </c>
      <c r="D147" s="14" t="s">
        <v>1570</v>
      </c>
      <c r="E147" s="14" t="s">
        <v>1261</v>
      </c>
      <c r="F147" s="14" t="s">
        <v>1250</v>
      </c>
      <c r="G147" s="15">
        <v>6</v>
      </c>
      <c r="H147" s="14" t="s">
        <v>2511</v>
      </c>
      <c r="I147" s="16"/>
    </row>
    <row r="148" spans="2:9" x14ac:dyDescent="0.4">
      <c r="B148" s="14" t="s">
        <v>1573</v>
      </c>
      <c r="C148" s="14" t="s">
        <v>1574</v>
      </c>
      <c r="D148" s="14" t="s">
        <v>1570</v>
      </c>
      <c r="E148" s="14" t="s">
        <v>1217</v>
      </c>
      <c r="F148" s="14" t="s">
        <v>1557</v>
      </c>
      <c r="G148" s="15"/>
      <c r="H148" s="14" t="s">
        <v>2511</v>
      </c>
      <c r="I148" s="16"/>
    </row>
    <row r="149" spans="2:9" x14ac:dyDescent="0.4">
      <c r="B149" s="14" t="s">
        <v>1575</v>
      </c>
      <c r="C149" s="14" t="s">
        <v>1576</v>
      </c>
      <c r="D149" s="14" t="s">
        <v>1570</v>
      </c>
      <c r="E149" s="14" t="s">
        <v>1217</v>
      </c>
      <c r="F149" s="14" t="s">
        <v>1557</v>
      </c>
      <c r="G149" s="15"/>
      <c r="H149" s="14" t="s">
        <v>2511</v>
      </c>
      <c r="I149" s="16"/>
    </row>
    <row r="150" spans="2:9" ht="22.5" customHeight="1" x14ac:dyDescent="0.4">
      <c r="B150" s="14" t="s">
        <v>1577</v>
      </c>
      <c r="C150" s="14" t="s">
        <v>1578</v>
      </c>
      <c r="D150" s="14" t="s">
        <v>1579</v>
      </c>
      <c r="E150" s="14" t="s">
        <v>1217</v>
      </c>
      <c r="F150" s="14" t="s">
        <v>1223</v>
      </c>
      <c r="G150" s="16">
        <v>2</v>
      </c>
      <c r="H150" s="14" t="s">
        <v>2511</v>
      </c>
      <c r="I150" s="14"/>
    </row>
    <row r="151" spans="2:9" ht="22.5" customHeight="1" x14ac:dyDescent="0.4">
      <c r="B151" s="14" t="s">
        <v>1580</v>
      </c>
      <c r="C151" s="14" t="s">
        <v>1581</v>
      </c>
      <c r="D151" s="14" t="s">
        <v>1582</v>
      </c>
      <c r="E151" s="14" t="s">
        <v>1217</v>
      </c>
      <c r="F151" s="14" t="s">
        <v>1250</v>
      </c>
      <c r="G151" s="16">
        <v>1</v>
      </c>
      <c r="H151" s="14" t="s">
        <v>2511</v>
      </c>
      <c r="I151" s="14"/>
    </row>
    <row r="152" spans="2:9" ht="22.5" customHeight="1" x14ac:dyDescent="0.4">
      <c r="B152" s="14" t="s">
        <v>1583</v>
      </c>
      <c r="C152" s="14" t="s">
        <v>1584</v>
      </c>
      <c r="D152" s="14" t="s">
        <v>1585</v>
      </c>
      <c r="E152" s="14" t="s">
        <v>1261</v>
      </c>
      <c r="F152" s="14" t="s">
        <v>1218</v>
      </c>
      <c r="G152" s="16" t="s">
        <v>1269</v>
      </c>
      <c r="H152" s="14" t="s">
        <v>2511</v>
      </c>
      <c r="I152" s="14"/>
    </row>
    <row r="153" spans="2:9" ht="22.5" customHeight="1" x14ac:dyDescent="0.4">
      <c r="B153" s="14" t="s">
        <v>1586</v>
      </c>
      <c r="C153" s="14" t="s">
        <v>1587</v>
      </c>
      <c r="D153" s="14" t="s">
        <v>1588</v>
      </c>
      <c r="E153" s="14" t="s">
        <v>1261</v>
      </c>
      <c r="F153" s="14" t="s">
        <v>1218</v>
      </c>
      <c r="G153" s="16" t="s">
        <v>1269</v>
      </c>
      <c r="H153" s="14" t="s">
        <v>2511</v>
      </c>
      <c r="I153" s="14"/>
    </row>
    <row r="154" spans="2:9" ht="22.5" customHeight="1" x14ac:dyDescent="0.4">
      <c r="B154" s="14" t="s">
        <v>1589</v>
      </c>
      <c r="C154" s="14" t="s">
        <v>1590</v>
      </c>
      <c r="D154" s="14" t="s">
        <v>1591</v>
      </c>
      <c r="E154" s="14" t="s">
        <v>1217</v>
      </c>
      <c r="F154" s="14" t="s">
        <v>990</v>
      </c>
      <c r="G154" s="16">
        <v>2</v>
      </c>
      <c r="H154" s="14" t="s">
        <v>2511</v>
      </c>
      <c r="I154" s="14"/>
    </row>
    <row r="155" spans="2:9" ht="22.5" customHeight="1" x14ac:dyDescent="0.4">
      <c r="B155" s="14" t="s">
        <v>1592</v>
      </c>
      <c r="C155" s="14" t="s">
        <v>1593</v>
      </c>
      <c r="D155" s="14" t="s">
        <v>1594</v>
      </c>
      <c r="E155" s="14" t="s">
        <v>1261</v>
      </c>
      <c r="F155" s="14" t="s">
        <v>1557</v>
      </c>
      <c r="G155" s="16"/>
      <c r="H155" s="14" t="s">
        <v>2511</v>
      </c>
      <c r="I155" s="14"/>
    </row>
    <row r="156" spans="2:9" ht="22.5" customHeight="1" x14ac:dyDescent="0.4">
      <c r="B156" s="14" t="s">
        <v>1592</v>
      </c>
      <c r="C156" s="14" t="s">
        <v>1595</v>
      </c>
      <c r="D156" s="14" t="s">
        <v>1594</v>
      </c>
      <c r="E156" s="14" t="s">
        <v>1217</v>
      </c>
      <c r="F156" s="14" t="s">
        <v>1557</v>
      </c>
      <c r="G156" s="16"/>
      <c r="H156" s="14" t="s">
        <v>2511</v>
      </c>
      <c r="I156" s="14"/>
    </row>
    <row r="157" spans="2:9" ht="22.5" customHeight="1" x14ac:dyDescent="0.4">
      <c r="B157" s="14" t="s">
        <v>1596</v>
      </c>
      <c r="C157" s="14" t="s">
        <v>1597</v>
      </c>
      <c r="D157" s="14" t="s">
        <v>1594</v>
      </c>
      <c r="E157" s="14" t="s">
        <v>1261</v>
      </c>
      <c r="F157" s="14" t="s">
        <v>1557</v>
      </c>
      <c r="G157" s="16"/>
      <c r="H157" s="14" t="s">
        <v>2511</v>
      </c>
      <c r="I157" s="14"/>
    </row>
    <row r="158" spans="2:9" x14ac:dyDescent="0.4">
      <c r="B158" s="14" t="s">
        <v>1596</v>
      </c>
      <c r="C158" s="14" t="s">
        <v>1598</v>
      </c>
      <c r="D158" s="14" t="s">
        <v>1594</v>
      </c>
      <c r="E158" s="14" t="s">
        <v>1217</v>
      </c>
      <c r="F158" s="14" t="s">
        <v>1557</v>
      </c>
      <c r="G158" s="15"/>
      <c r="H158" s="14" t="s">
        <v>2511</v>
      </c>
      <c r="I158" s="16"/>
    </row>
    <row r="159" spans="2:9" x14ac:dyDescent="0.4">
      <c r="B159" s="14" t="s">
        <v>1599</v>
      </c>
      <c r="C159" s="14" t="s">
        <v>1600</v>
      </c>
      <c r="D159" s="14" t="s">
        <v>1601</v>
      </c>
      <c r="E159" s="16" t="s">
        <v>1261</v>
      </c>
      <c r="F159" s="14" t="s">
        <v>1557</v>
      </c>
      <c r="G159" s="14"/>
      <c r="H159" s="14" t="s">
        <v>2511</v>
      </c>
      <c r="I159" s="14"/>
    </row>
    <row r="160" spans="2:9" x14ac:dyDescent="0.4">
      <c r="B160" s="14" t="s">
        <v>1599</v>
      </c>
      <c r="C160" s="14" t="s">
        <v>1602</v>
      </c>
      <c r="D160" s="14" t="s">
        <v>1601</v>
      </c>
      <c r="E160" s="14" t="s">
        <v>1217</v>
      </c>
      <c r="F160" s="14" t="s">
        <v>1557</v>
      </c>
      <c r="G160" s="15"/>
      <c r="H160" s="14" t="s">
        <v>2511</v>
      </c>
      <c r="I160" s="16"/>
    </row>
    <row r="161" spans="2:9" x14ac:dyDescent="0.4">
      <c r="B161" s="14" t="s">
        <v>1603</v>
      </c>
      <c r="C161" s="14" t="s">
        <v>1604</v>
      </c>
      <c r="D161" s="14" t="s">
        <v>1601</v>
      </c>
      <c r="E161" s="14" t="s">
        <v>1261</v>
      </c>
      <c r="F161" s="14" t="s">
        <v>1557</v>
      </c>
      <c r="G161" s="16"/>
      <c r="H161" s="14" t="s">
        <v>2511</v>
      </c>
      <c r="I161" s="14"/>
    </row>
    <row r="162" spans="2:9" x14ac:dyDescent="0.4">
      <c r="B162" s="14" t="s">
        <v>1603</v>
      </c>
      <c r="C162" s="14" t="s">
        <v>1605</v>
      </c>
      <c r="D162" s="14" t="s">
        <v>1601</v>
      </c>
      <c r="E162" s="14" t="s">
        <v>1217</v>
      </c>
      <c r="F162" s="14" t="s">
        <v>1557</v>
      </c>
      <c r="G162" s="16"/>
      <c r="H162" s="14" t="s">
        <v>2511</v>
      </c>
      <c r="I162" s="14"/>
    </row>
    <row r="163" spans="2:9" x14ac:dyDescent="0.4">
      <c r="B163" s="14" t="s">
        <v>1606</v>
      </c>
      <c r="C163" s="14" t="s">
        <v>1607</v>
      </c>
      <c r="D163" s="14" t="s">
        <v>1594</v>
      </c>
      <c r="E163" s="14" t="s">
        <v>1261</v>
      </c>
      <c r="F163" s="14" t="s">
        <v>1246</v>
      </c>
      <c r="G163" s="15"/>
      <c r="H163" s="14" t="s">
        <v>2511</v>
      </c>
      <c r="I163" s="16"/>
    </row>
    <row r="164" spans="2:9" x14ac:dyDescent="0.4">
      <c r="B164" s="14" t="s">
        <v>1606</v>
      </c>
      <c r="C164" s="14" t="s">
        <v>1608</v>
      </c>
      <c r="D164" s="14" t="s">
        <v>1594</v>
      </c>
      <c r="E164" s="14" t="s">
        <v>1217</v>
      </c>
      <c r="F164" s="14" t="s">
        <v>1246</v>
      </c>
      <c r="G164" s="15"/>
      <c r="H164" s="14" t="s">
        <v>2511</v>
      </c>
      <c r="I164" s="16"/>
    </row>
    <row r="165" spans="2:9" x14ac:dyDescent="0.4">
      <c r="B165" s="14" t="s">
        <v>1609</v>
      </c>
      <c r="C165" s="14" t="s">
        <v>1610</v>
      </c>
      <c r="D165" s="14" t="s">
        <v>1594</v>
      </c>
      <c r="E165" s="14" t="s">
        <v>1261</v>
      </c>
      <c r="F165" s="14" t="s">
        <v>1557</v>
      </c>
      <c r="G165" s="14"/>
      <c r="H165" s="14" t="s">
        <v>2511</v>
      </c>
      <c r="I165" s="16"/>
    </row>
    <row r="166" spans="2:9" x14ac:dyDescent="0.4">
      <c r="B166" s="14" t="s">
        <v>1609</v>
      </c>
      <c r="C166" s="14" t="s">
        <v>1611</v>
      </c>
      <c r="D166" s="14" t="s">
        <v>1594</v>
      </c>
      <c r="E166" s="14" t="s">
        <v>1217</v>
      </c>
      <c r="F166" s="14" t="s">
        <v>1557</v>
      </c>
      <c r="G166" s="14"/>
      <c r="H166" s="14" t="s">
        <v>2511</v>
      </c>
      <c r="I166" s="16"/>
    </row>
    <row r="167" spans="2:9" x14ac:dyDescent="0.4">
      <c r="B167" s="14" t="s">
        <v>1612</v>
      </c>
      <c r="C167" s="14" t="s">
        <v>1613</v>
      </c>
      <c r="D167" s="14" t="s">
        <v>1594</v>
      </c>
      <c r="E167" s="14" t="s">
        <v>1261</v>
      </c>
      <c r="F167" s="14" t="s">
        <v>1557</v>
      </c>
      <c r="G167" s="15"/>
      <c r="H167" s="14" t="s">
        <v>2511</v>
      </c>
      <c r="I167" s="16"/>
    </row>
    <row r="168" spans="2:9" x14ac:dyDescent="0.4">
      <c r="B168" s="14" t="s">
        <v>1612</v>
      </c>
      <c r="C168" s="14" t="s">
        <v>1614</v>
      </c>
      <c r="D168" s="14" t="s">
        <v>1594</v>
      </c>
      <c r="E168" s="14" t="s">
        <v>1217</v>
      </c>
      <c r="F168" s="14" t="s">
        <v>1557</v>
      </c>
      <c r="G168" s="16"/>
      <c r="H168" s="14" t="s">
        <v>2511</v>
      </c>
      <c r="I168" s="16"/>
    </row>
    <row r="169" spans="2:9" x14ac:dyDescent="0.4">
      <c r="B169" s="14" t="s">
        <v>1615</v>
      </c>
      <c r="C169" s="14" t="s">
        <v>1616</v>
      </c>
      <c r="D169" s="14" t="s">
        <v>1594</v>
      </c>
      <c r="E169" s="14" t="s">
        <v>1261</v>
      </c>
      <c r="F169" s="14" t="s">
        <v>1557</v>
      </c>
      <c r="G169" s="16"/>
      <c r="H169" s="14" t="s">
        <v>2511</v>
      </c>
      <c r="I169" s="16"/>
    </row>
    <row r="170" spans="2:9" x14ac:dyDescent="0.4">
      <c r="B170" s="14" t="s">
        <v>1615</v>
      </c>
      <c r="C170" s="14" t="s">
        <v>1617</v>
      </c>
      <c r="D170" s="14" t="s">
        <v>1594</v>
      </c>
      <c r="E170" s="14" t="s">
        <v>1217</v>
      </c>
      <c r="F170" s="14" t="s">
        <v>1557</v>
      </c>
      <c r="G170" s="16"/>
      <c r="H170" s="14" t="s">
        <v>2511</v>
      </c>
      <c r="I170" s="16"/>
    </row>
    <row r="171" spans="2:9" x14ac:dyDescent="0.4">
      <c r="B171" s="14" t="s">
        <v>1618</v>
      </c>
      <c r="C171" s="14" t="s">
        <v>1619</v>
      </c>
      <c r="D171" s="14" t="s">
        <v>1594</v>
      </c>
      <c r="E171" s="14" t="s">
        <v>1261</v>
      </c>
      <c r="F171" s="14" t="s">
        <v>1246</v>
      </c>
      <c r="G171" s="16"/>
      <c r="H171" s="14" t="s">
        <v>2511</v>
      </c>
      <c r="I171" s="16"/>
    </row>
    <row r="172" spans="2:9" x14ac:dyDescent="0.4">
      <c r="B172" s="14" t="s">
        <v>1618</v>
      </c>
      <c r="C172" s="14" t="s">
        <v>1620</v>
      </c>
      <c r="D172" s="14" t="s">
        <v>1594</v>
      </c>
      <c r="E172" s="14" t="s">
        <v>1217</v>
      </c>
      <c r="F172" s="14" t="s">
        <v>1246</v>
      </c>
      <c r="G172" s="16"/>
      <c r="H172" s="14" t="s">
        <v>2511</v>
      </c>
      <c r="I172" s="16"/>
    </row>
    <row r="173" spans="2:9" x14ac:dyDescent="0.4">
      <c r="B173" s="14" t="s">
        <v>1621</v>
      </c>
      <c r="C173" s="14" t="s">
        <v>1622</v>
      </c>
      <c r="D173" s="14" t="s">
        <v>1594</v>
      </c>
      <c r="E173" s="14" t="s">
        <v>1261</v>
      </c>
      <c r="F173" s="14" t="s">
        <v>1246</v>
      </c>
      <c r="G173" s="16"/>
      <c r="H173" s="14" t="s">
        <v>2511</v>
      </c>
      <c r="I173" s="16"/>
    </row>
    <row r="174" spans="2:9" x14ac:dyDescent="0.4">
      <c r="B174" s="14" t="s">
        <v>1621</v>
      </c>
      <c r="C174" s="14" t="s">
        <v>1623</v>
      </c>
      <c r="D174" s="14" t="s">
        <v>1594</v>
      </c>
      <c r="E174" s="14" t="s">
        <v>1217</v>
      </c>
      <c r="F174" s="14" t="s">
        <v>1246</v>
      </c>
      <c r="G174" s="16"/>
      <c r="H174" s="14" t="s">
        <v>2511</v>
      </c>
      <c r="I174" s="16"/>
    </row>
    <row r="175" spans="2:9" x14ac:dyDescent="0.4">
      <c r="B175" s="14" t="s">
        <v>1624</v>
      </c>
      <c r="C175" s="14" t="s">
        <v>1625</v>
      </c>
      <c r="D175" s="14" t="s">
        <v>1594</v>
      </c>
      <c r="E175" s="14" t="s">
        <v>1261</v>
      </c>
      <c r="F175" s="14" t="s">
        <v>1246</v>
      </c>
      <c r="G175" s="16"/>
      <c r="H175" s="14" t="s">
        <v>2511</v>
      </c>
      <c r="I175" s="16"/>
    </row>
    <row r="176" spans="2:9" x14ac:dyDescent="0.4">
      <c r="B176" s="14" t="s">
        <v>1624</v>
      </c>
      <c r="C176" s="14" t="s">
        <v>1626</v>
      </c>
      <c r="D176" s="14" t="s">
        <v>1594</v>
      </c>
      <c r="E176" s="14" t="s">
        <v>1217</v>
      </c>
      <c r="F176" s="14" t="s">
        <v>1246</v>
      </c>
      <c r="G176" s="16"/>
      <c r="H176" s="14" t="s">
        <v>2511</v>
      </c>
      <c r="I176" s="16"/>
    </row>
    <row r="177" spans="2:9" x14ac:dyDescent="0.4">
      <c r="B177" s="14" t="s">
        <v>1627</v>
      </c>
      <c r="C177" s="14" t="s">
        <v>1628</v>
      </c>
      <c r="D177" s="14" t="s">
        <v>1629</v>
      </c>
      <c r="E177" s="14" t="s">
        <v>1261</v>
      </c>
      <c r="F177" s="14" t="s">
        <v>1557</v>
      </c>
      <c r="G177" s="16"/>
      <c r="H177" s="14" t="s">
        <v>2511</v>
      </c>
      <c r="I177" s="16"/>
    </row>
    <row r="178" spans="2:9" x14ac:dyDescent="0.4">
      <c r="B178" s="14" t="s">
        <v>1627</v>
      </c>
      <c r="C178" s="14" t="s">
        <v>1630</v>
      </c>
      <c r="D178" s="14" t="s">
        <v>1629</v>
      </c>
      <c r="E178" s="14" t="s">
        <v>1217</v>
      </c>
      <c r="F178" s="14" t="s">
        <v>1557</v>
      </c>
      <c r="G178" s="16"/>
      <c r="H178" s="14" t="s">
        <v>2511</v>
      </c>
      <c r="I178" s="16"/>
    </row>
    <row r="179" spans="2:9" x14ac:dyDescent="0.4">
      <c r="B179" s="14" t="s">
        <v>1631</v>
      </c>
      <c r="C179" s="14" t="s">
        <v>1632</v>
      </c>
      <c r="D179" s="14" t="s">
        <v>1629</v>
      </c>
      <c r="E179" s="14" t="s">
        <v>1261</v>
      </c>
      <c r="F179" s="14" t="s">
        <v>1557</v>
      </c>
      <c r="G179" s="16"/>
      <c r="H179" s="14" t="s">
        <v>2511</v>
      </c>
      <c r="I179" s="16"/>
    </row>
    <row r="180" spans="2:9" x14ac:dyDescent="0.4">
      <c r="B180" s="14" t="s">
        <v>1631</v>
      </c>
      <c r="C180" s="14" t="s">
        <v>1633</v>
      </c>
      <c r="D180" s="14" t="s">
        <v>1629</v>
      </c>
      <c r="E180" s="14" t="s">
        <v>1217</v>
      </c>
      <c r="F180" s="14" t="s">
        <v>1557</v>
      </c>
      <c r="G180" s="16"/>
      <c r="H180" s="14" t="s">
        <v>2511</v>
      </c>
      <c r="I180" s="16"/>
    </row>
    <row r="181" spans="2:9" x14ac:dyDescent="0.4">
      <c r="B181" s="14" t="s">
        <v>1634</v>
      </c>
      <c r="C181" s="14" t="s">
        <v>1635</v>
      </c>
      <c r="D181" s="14" t="s">
        <v>1636</v>
      </c>
      <c r="E181" s="14" t="s">
        <v>1261</v>
      </c>
      <c r="F181" s="14" t="s">
        <v>1223</v>
      </c>
      <c r="G181" s="16">
        <v>3</v>
      </c>
      <c r="H181" s="14" t="s">
        <v>2511</v>
      </c>
      <c r="I181" s="16"/>
    </row>
    <row r="182" spans="2:9" x14ac:dyDescent="0.4">
      <c r="B182" s="14" t="s">
        <v>1637</v>
      </c>
      <c r="C182" s="14" t="s">
        <v>1638</v>
      </c>
      <c r="D182" s="14" t="s">
        <v>1639</v>
      </c>
      <c r="E182" s="14" t="s">
        <v>1261</v>
      </c>
      <c r="F182" s="14" t="s">
        <v>989</v>
      </c>
      <c r="G182" s="16">
        <v>2</v>
      </c>
      <c r="H182" s="14" t="s">
        <v>2511</v>
      </c>
      <c r="I182" s="16"/>
    </row>
    <row r="183" spans="2:9" x14ac:dyDescent="0.4">
      <c r="B183" s="14" t="s">
        <v>1640</v>
      </c>
      <c r="C183" s="14" t="s">
        <v>1641</v>
      </c>
      <c r="D183" s="14" t="s">
        <v>1642</v>
      </c>
      <c r="E183" s="14"/>
      <c r="F183" s="14"/>
      <c r="G183" s="16"/>
      <c r="H183" s="14"/>
      <c r="I183" s="16" t="s">
        <v>1304</v>
      </c>
    </row>
    <row r="184" spans="2:9" ht="22.5" customHeight="1" x14ac:dyDescent="0.4">
      <c r="B184" s="14" t="s">
        <v>1643</v>
      </c>
      <c r="C184" s="14" t="s">
        <v>1644</v>
      </c>
      <c r="D184" s="14" t="s">
        <v>1645</v>
      </c>
      <c r="E184" s="14" t="s">
        <v>1217</v>
      </c>
      <c r="F184" s="14" t="s">
        <v>1246</v>
      </c>
      <c r="G184" s="16"/>
      <c r="H184" s="14" t="s">
        <v>2511</v>
      </c>
      <c r="I184" s="16"/>
    </row>
    <row r="185" spans="2:9" ht="22.5" customHeight="1" x14ac:dyDescent="0.4">
      <c r="B185" s="14" t="s">
        <v>1646</v>
      </c>
      <c r="C185" s="14" t="s">
        <v>1647</v>
      </c>
      <c r="D185" s="14" t="s">
        <v>1648</v>
      </c>
      <c r="E185" s="14" t="s">
        <v>1217</v>
      </c>
      <c r="F185" s="14" t="s">
        <v>989</v>
      </c>
      <c r="G185" s="16">
        <v>2</v>
      </c>
      <c r="H185" s="14" t="s">
        <v>2511</v>
      </c>
      <c r="I185" s="16"/>
    </row>
    <row r="186" spans="2:9" ht="22.5" customHeight="1" x14ac:dyDescent="0.4">
      <c r="B186" s="14" t="s">
        <v>1649</v>
      </c>
      <c r="C186" s="14" t="s">
        <v>1650</v>
      </c>
      <c r="D186" s="14" t="s">
        <v>1651</v>
      </c>
      <c r="E186" s="14"/>
      <c r="F186" s="14"/>
      <c r="G186" s="16"/>
      <c r="H186" s="14"/>
      <c r="I186" s="16" t="s">
        <v>1304</v>
      </c>
    </row>
    <row r="187" spans="2:9" ht="22.5" customHeight="1" x14ac:dyDescent="0.4">
      <c r="B187" s="14" t="s">
        <v>1652</v>
      </c>
      <c r="C187" s="14" t="s">
        <v>1653</v>
      </c>
      <c r="D187" s="14" t="s">
        <v>1654</v>
      </c>
      <c r="E187" s="14"/>
      <c r="F187" s="14"/>
      <c r="G187" s="16"/>
      <c r="H187" s="14"/>
      <c r="I187" s="16" t="s">
        <v>1304</v>
      </c>
    </row>
    <row r="188" spans="2:9" ht="22.5" customHeight="1" x14ac:dyDescent="0.4">
      <c r="B188" s="14" t="s">
        <v>1655</v>
      </c>
      <c r="C188" s="14" t="s">
        <v>1656</v>
      </c>
      <c r="D188" s="14" t="s">
        <v>1334</v>
      </c>
      <c r="E188" s="14" t="s">
        <v>1261</v>
      </c>
      <c r="F188" s="14" t="s">
        <v>990</v>
      </c>
      <c r="G188" s="16">
        <v>1</v>
      </c>
      <c r="H188" s="14" t="s">
        <v>2511</v>
      </c>
      <c r="I188" s="16"/>
    </row>
    <row r="189" spans="2:9" ht="22.5" customHeight="1" x14ac:dyDescent="0.4">
      <c r="B189" s="14" t="s">
        <v>1657</v>
      </c>
      <c r="C189" s="14" t="s">
        <v>1658</v>
      </c>
      <c r="D189" s="14" t="s">
        <v>1659</v>
      </c>
      <c r="E189" s="14" t="s">
        <v>1217</v>
      </c>
      <c r="F189" s="14" t="s">
        <v>989</v>
      </c>
      <c r="G189" s="16">
        <v>2</v>
      </c>
      <c r="H189" s="14" t="s">
        <v>2511</v>
      </c>
      <c r="I189" s="16"/>
    </row>
    <row r="190" spans="2:9" x14ac:dyDescent="0.4">
      <c r="B190" s="14" t="s">
        <v>1660</v>
      </c>
      <c r="C190" s="14" t="s">
        <v>1661</v>
      </c>
      <c r="D190" s="14" t="s">
        <v>1662</v>
      </c>
      <c r="E190" s="14" t="s">
        <v>1217</v>
      </c>
      <c r="F190" s="14" t="s">
        <v>1223</v>
      </c>
      <c r="G190" s="16">
        <v>2</v>
      </c>
      <c r="H190" s="14" t="s">
        <v>2511</v>
      </c>
      <c r="I190" s="16"/>
    </row>
    <row r="191" spans="2:9" x14ac:dyDescent="0.4">
      <c r="B191" s="14" t="s">
        <v>1663</v>
      </c>
      <c r="C191" s="14" t="s">
        <v>1664</v>
      </c>
      <c r="D191" s="14" t="s">
        <v>1665</v>
      </c>
      <c r="E191" s="14"/>
      <c r="F191" s="14"/>
      <c r="G191" s="16"/>
      <c r="H191" s="14"/>
      <c r="I191" s="16" t="s">
        <v>1304</v>
      </c>
    </row>
    <row r="192" spans="2:9" x14ac:dyDescent="0.4">
      <c r="B192" s="14" t="s">
        <v>1666</v>
      </c>
      <c r="C192" s="14" t="s">
        <v>1667</v>
      </c>
      <c r="D192" s="14" t="s">
        <v>1668</v>
      </c>
      <c r="E192" s="14" t="s">
        <v>1217</v>
      </c>
      <c r="F192" s="14" t="s">
        <v>1223</v>
      </c>
      <c r="G192" s="16">
        <v>5</v>
      </c>
      <c r="H192" s="14" t="s">
        <v>2511</v>
      </c>
      <c r="I192" s="16"/>
    </row>
    <row r="193" spans="2:10" x14ac:dyDescent="0.4">
      <c r="B193" s="14" t="s">
        <v>1669</v>
      </c>
      <c r="C193" s="14" t="s">
        <v>1670</v>
      </c>
      <c r="D193" s="14" t="s">
        <v>1671</v>
      </c>
      <c r="E193" s="14" t="s">
        <v>1217</v>
      </c>
      <c r="F193" s="14" t="s">
        <v>1250</v>
      </c>
      <c r="G193" s="16">
        <v>1</v>
      </c>
      <c r="H193" s="14" t="s">
        <v>2511</v>
      </c>
      <c r="I193" s="16"/>
    </row>
    <row r="194" spans="2:10" x14ac:dyDescent="0.4">
      <c r="B194" s="14" t="s">
        <v>1672</v>
      </c>
      <c r="C194" s="14" t="s">
        <v>1673</v>
      </c>
      <c r="D194" s="14" t="s">
        <v>1674</v>
      </c>
      <c r="E194" s="14" t="s">
        <v>1217</v>
      </c>
      <c r="F194" s="14" t="s">
        <v>1223</v>
      </c>
      <c r="G194" s="14">
        <v>4</v>
      </c>
      <c r="H194" s="14" t="s">
        <v>2511</v>
      </c>
      <c r="I194" s="14"/>
      <c r="J194" s="40"/>
    </row>
    <row r="195" spans="2:10" x14ac:dyDescent="0.4">
      <c r="B195" s="14" t="s">
        <v>1675</v>
      </c>
      <c r="C195" s="14" t="s">
        <v>1676</v>
      </c>
      <c r="D195" s="14" t="s">
        <v>1677</v>
      </c>
      <c r="E195" s="16" t="s">
        <v>1217</v>
      </c>
      <c r="F195" s="14" t="s">
        <v>1678</v>
      </c>
      <c r="G195" s="14" t="s">
        <v>1678</v>
      </c>
      <c r="H195" s="14" t="s">
        <v>2511</v>
      </c>
      <c r="I195" s="14"/>
    </row>
    <row r="196" spans="2:10" x14ac:dyDescent="0.4">
      <c r="B196" s="14" t="s">
        <v>1679</v>
      </c>
      <c r="C196" s="14" t="s">
        <v>1680</v>
      </c>
      <c r="D196" s="14" t="s">
        <v>1681</v>
      </c>
      <c r="E196" s="16" t="s">
        <v>1261</v>
      </c>
      <c r="F196" s="16" t="s">
        <v>1246</v>
      </c>
      <c r="G196" s="16"/>
      <c r="H196" s="14" t="s">
        <v>2511</v>
      </c>
      <c r="I196" s="14"/>
    </row>
    <row r="197" spans="2:10" x14ac:dyDescent="0.4">
      <c r="B197" s="14" t="s">
        <v>1682</v>
      </c>
      <c r="C197" s="14" t="s">
        <v>1683</v>
      </c>
      <c r="D197" s="14" t="s">
        <v>1684</v>
      </c>
      <c r="E197" s="16"/>
      <c r="F197" s="16"/>
      <c r="G197" s="16"/>
      <c r="H197" s="14"/>
      <c r="I197" s="14" t="s">
        <v>1304</v>
      </c>
    </row>
    <row r="198" spans="2:10" x14ac:dyDescent="0.4">
      <c r="B198" s="14" t="s">
        <v>1685</v>
      </c>
      <c r="C198" s="14" t="s">
        <v>1686</v>
      </c>
      <c r="D198" s="14" t="s">
        <v>1687</v>
      </c>
      <c r="E198" s="14" t="s">
        <v>1261</v>
      </c>
      <c r="F198" s="14" t="s">
        <v>1250</v>
      </c>
      <c r="G198" s="15">
        <v>3</v>
      </c>
      <c r="H198" s="14" t="s">
        <v>2511</v>
      </c>
      <c r="I198" s="16"/>
    </row>
    <row r="199" spans="2:10" x14ac:dyDescent="0.4">
      <c r="B199" s="14" t="s">
        <v>1688</v>
      </c>
      <c r="C199" s="14" t="s">
        <v>1689</v>
      </c>
      <c r="D199" s="14" t="s">
        <v>1690</v>
      </c>
      <c r="E199" s="14"/>
      <c r="F199" s="14"/>
      <c r="G199" s="16"/>
      <c r="H199" s="14"/>
      <c r="I199" s="16" t="s">
        <v>1304</v>
      </c>
    </row>
    <row r="200" spans="2:10" x14ac:dyDescent="0.4">
      <c r="B200" s="14" t="s">
        <v>1691</v>
      </c>
      <c r="C200" s="14" t="s">
        <v>1692</v>
      </c>
      <c r="D200" s="14" t="s">
        <v>1693</v>
      </c>
      <c r="E200" s="16" t="s">
        <v>1268</v>
      </c>
      <c r="F200" s="16" t="s">
        <v>989</v>
      </c>
      <c r="G200" s="16">
        <v>4</v>
      </c>
      <c r="H200" s="14" t="s">
        <v>2511</v>
      </c>
      <c r="I200" s="14"/>
    </row>
    <row r="201" spans="2:10" x14ac:dyDescent="0.4">
      <c r="B201" s="14" t="s">
        <v>1694</v>
      </c>
      <c r="C201" s="14" t="s">
        <v>1695</v>
      </c>
      <c r="D201" s="14" t="s">
        <v>1696</v>
      </c>
      <c r="E201" s="14" t="s">
        <v>1268</v>
      </c>
      <c r="F201" s="14" t="s">
        <v>989</v>
      </c>
      <c r="G201" s="15">
        <v>3</v>
      </c>
      <c r="H201" s="14" t="s">
        <v>2511</v>
      </c>
      <c r="I201" s="16"/>
    </row>
    <row r="202" spans="2:10" x14ac:dyDescent="0.4">
      <c r="B202" s="14" t="s">
        <v>1697</v>
      </c>
      <c r="C202" s="14" t="s">
        <v>1698</v>
      </c>
      <c r="D202" s="14" t="s">
        <v>1699</v>
      </c>
      <c r="E202" s="14"/>
      <c r="F202" s="14"/>
      <c r="G202" s="15"/>
      <c r="H202" s="14"/>
      <c r="I202" s="16" t="s">
        <v>1304</v>
      </c>
    </row>
    <row r="203" spans="2:10" x14ac:dyDescent="0.4">
      <c r="B203" s="14" t="s">
        <v>1700</v>
      </c>
      <c r="C203" s="14" t="s">
        <v>1701</v>
      </c>
      <c r="D203" s="14" t="s">
        <v>1702</v>
      </c>
      <c r="E203" s="14"/>
      <c r="F203" s="14"/>
      <c r="G203" s="15"/>
      <c r="H203" s="14"/>
      <c r="I203" s="16" t="s">
        <v>1304</v>
      </c>
    </row>
    <row r="204" spans="2:10" x14ac:dyDescent="0.4">
      <c r="B204" s="14" t="s">
        <v>1703</v>
      </c>
      <c r="C204" s="14" t="s">
        <v>1704</v>
      </c>
      <c r="D204" s="14" t="s">
        <v>1705</v>
      </c>
      <c r="E204" s="14" t="s">
        <v>1261</v>
      </c>
      <c r="F204" s="14" t="s">
        <v>1223</v>
      </c>
      <c r="G204" s="15">
        <v>4</v>
      </c>
      <c r="H204" s="14" t="s">
        <v>2511</v>
      </c>
      <c r="I204" s="16"/>
    </row>
    <row r="205" spans="2:10" x14ac:dyDescent="0.4">
      <c r="B205" s="14" t="s">
        <v>1706</v>
      </c>
      <c r="C205" s="14" t="s">
        <v>1707</v>
      </c>
      <c r="D205" s="14" t="s">
        <v>1708</v>
      </c>
      <c r="E205" s="14"/>
      <c r="F205" s="14"/>
      <c r="G205" s="16"/>
      <c r="H205" s="14"/>
      <c r="I205" s="16" t="s">
        <v>1304</v>
      </c>
    </row>
    <row r="206" spans="2:10" x14ac:dyDescent="0.4">
      <c r="B206" s="14" t="s">
        <v>1709</v>
      </c>
      <c r="C206" s="14" t="s">
        <v>1710</v>
      </c>
      <c r="D206" s="14" t="s">
        <v>1711</v>
      </c>
      <c r="E206" s="14"/>
      <c r="F206" s="14"/>
      <c r="G206" s="15"/>
      <c r="H206" s="14"/>
      <c r="I206" s="16" t="s">
        <v>1304</v>
      </c>
    </row>
    <row r="207" spans="2:10" x14ac:dyDescent="0.4">
      <c r="B207" s="14" t="s">
        <v>1712</v>
      </c>
      <c r="C207" s="14" t="s">
        <v>1713</v>
      </c>
      <c r="D207" s="14" t="s">
        <v>1714</v>
      </c>
      <c r="E207" s="14" t="s">
        <v>1261</v>
      </c>
      <c r="F207" s="14" t="s">
        <v>989</v>
      </c>
      <c r="G207" s="15">
        <v>5</v>
      </c>
      <c r="H207" s="14" t="s">
        <v>2511</v>
      </c>
      <c r="I207" s="16"/>
    </row>
    <row r="208" spans="2:10" x14ac:dyDescent="0.4">
      <c r="B208" s="14" t="s">
        <v>1715</v>
      </c>
      <c r="C208" s="14" t="s">
        <v>1716</v>
      </c>
      <c r="D208" s="14" t="s">
        <v>1714</v>
      </c>
      <c r="E208" s="14" t="s">
        <v>1217</v>
      </c>
      <c r="F208" s="14" t="s">
        <v>989</v>
      </c>
      <c r="G208" s="15">
        <v>5</v>
      </c>
      <c r="H208" s="14" t="s">
        <v>2511</v>
      </c>
      <c r="I208" s="16"/>
    </row>
    <row r="209" spans="2:10" ht="22.5" customHeight="1" x14ac:dyDescent="0.4">
      <c r="B209" s="14" t="s">
        <v>1717</v>
      </c>
      <c r="C209" s="14" t="s">
        <v>1718</v>
      </c>
      <c r="D209" s="14" t="s">
        <v>1714</v>
      </c>
      <c r="E209" s="14" t="s">
        <v>1261</v>
      </c>
      <c r="F209" s="14" t="s">
        <v>989</v>
      </c>
      <c r="G209" s="15">
        <v>5</v>
      </c>
      <c r="H209" s="14" t="s">
        <v>2511</v>
      </c>
      <c r="I209" s="16"/>
    </row>
    <row r="210" spans="2:10" x14ac:dyDescent="0.4">
      <c r="B210" s="14" t="s">
        <v>1719</v>
      </c>
      <c r="C210" s="14" t="s">
        <v>1720</v>
      </c>
      <c r="D210" s="14" t="s">
        <v>1714</v>
      </c>
      <c r="E210" s="14" t="s">
        <v>1217</v>
      </c>
      <c r="F210" s="14" t="s">
        <v>989</v>
      </c>
      <c r="G210" s="15">
        <v>5</v>
      </c>
      <c r="H210" s="14" t="s">
        <v>2511</v>
      </c>
      <c r="I210" s="16"/>
    </row>
    <row r="211" spans="2:10" x14ac:dyDescent="0.4">
      <c r="B211" s="14" t="s">
        <v>1721</v>
      </c>
      <c r="C211" s="14" t="s">
        <v>1722</v>
      </c>
      <c r="D211" s="14" t="s">
        <v>1714</v>
      </c>
      <c r="E211" s="14" t="s">
        <v>1217</v>
      </c>
      <c r="F211" s="14" t="s">
        <v>1223</v>
      </c>
      <c r="G211" s="15">
        <v>5</v>
      </c>
      <c r="H211" s="14" t="s">
        <v>2511</v>
      </c>
      <c r="I211" s="16"/>
    </row>
    <row r="212" spans="2:10" x14ac:dyDescent="0.4">
      <c r="B212" s="14" t="s">
        <v>1723</v>
      </c>
      <c r="C212" s="14" t="s">
        <v>1724</v>
      </c>
      <c r="D212" s="14" t="s">
        <v>1714</v>
      </c>
      <c r="E212" s="14" t="s">
        <v>1261</v>
      </c>
      <c r="F212" s="14" t="s">
        <v>1246</v>
      </c>
      <c r="G212" s="16"/>
      <c r="H212" s="14" t="s">
        <v>2511</v>
      </c>
      <c r="I212" s="16"/>
    </row>
    <row r="213" spans="2:10" x14ac:dyDescent="0.4">
      <c r="B213" s="14" t="s">
        <v>1723</v>
      </c>
      <c r="C213" s="14" t="s">
        <v>1725</v>
      </c>
      <c r="D213" s="14" t="s">
        <v>1714</v>
      </c>
      <c r="E213" s="14" t="s">
        <v>1217</v>
      </c>
      <c r="F213" s="14" t="s">
        <v>1246</v>
      </c>
      <c r="G213" s="14"/>
      <c r="H213" s="14" t="s">
        <v>2511</v>
      </c>
      <c r="I213" s="14"/>
      <c r="J213" s="39"/>
    </row>
    <row r="214" spans="2:10" x14ac:dyDescent="0.4">
      <c r="B214" s="14" t="s">
        <v>1726</v>
      </c>
      <c r="C214" s="14" t="s">
        <v>1727</v>
      </c>
      <c r="D214" s="14" t="s">
        <v>1714</v>
      </c>
      <c r="E214" s="16" t="s">
        <v>1261</v>
      </c>
      <c r="F214" s="14" t="s">
        <v>1246</v>
      </c>
      <c r="G214" s="14"/>
      <c r="H214" s="14" t="s">
        <v>2511</v>
      </c>
      <c r="I214" s="14"/>
    </row>
    <row r="215" spans="2:10" x14ac:dyDescent="0.4">
      <c r="B215" s="14" t="s">
        <v>1728</v>
      </c>
      <c r="C215" s="14" t="s">
        <v>1729</v>
      </c>
      <c r="D215" s="14" t="s">
        <v>1730</v>
      </c>
      <c r="E215" s="14" t="s">
        <v>1261</v>
      </c>
      <c r="F215" s="14" t="s">
        <v>989</v>
      </c>
      <c r="G215" s="15">
        <v>5</v>
      </c>
      <c r="H215" s="14" t="s">
        <v>2511</v>
      </c>
      <c r="I215" s="16"/>
    </row>
    <row r="216" spans="2:10" x14ac:dyDescent="0.4">
      <c r="B216" s="14" t="s">
        <v>1731</v>
      </c>
      <c r="C216" s="14" t="s">
        <v>1732</v>
      </c>
      <c r="D216" s="14" t="s">
        <v>1730</v>
      </c>
      <c r="E216" s="16" t="s">
        <v>1217</v>
      </c>
      <c r="F216" s="16" t="s">
        <v>989</v>
      </c>
      <c r="G216" s="16">
        <v>5</v>
      </c>
      <c r="H216" s="14" t="s">
        <v>2511</v>
      </c>
      <c r="I216" s="14"/>
    </row>
    <row r="217" spans="2:10" x14ac:dyDescent="0.4">
      <c r="B217" s="14" t="s">
        <v>1733</v>
      </c>
      <c r="C217" s="14" t="s">
        <v>1734</v>
      </c>
      <c r="D217" s="14" t="s">
        <v>1714</v>
      </c>
      <c r="E217" s="14" t="s">
        <v>1217</v>
      </c>
      <c r="F217" s="14" t="s">
        <v>1223</v>
      </c>
      <c r="G217" s="15">
        <v>5</v>
      </c>
      <c r="H217" s="14" t="s">
        <v>2511</v>
      </c>
      <c r="I217" s="16"/>
    </row>
    <row r="218" spans="2:10" x14ac:dyDescent="0.4">
      <c r="B218" s="14" t="s">
        <v>1735</v>
      </c>
      <c r="C218" s="14" t="s">
        <v>1736</v>
      </c>
      <c r="D218" s="14" t="s">
        <v>1714</v>
      </c>
      <c r="E218" s="14" t="s">
        <v>1261</v>
      </c>
      <c r="F218" s="14" t="s">
        <v>1246</v>
      </c>
      <c r="G218" s="15"/>
      <c r="H218" s="14" t="s">
        <v>2511</v>
      </c>
      <c r="I218" s="16"/>
    </row>
    <row r="219" spans="2:10" x14ac:dyDescent="0.4">
      <c r="B219" s="14" t="s">
        <v>1735</v>
      </c>
      <c r="C219" s="14" t="s">
        <v>1737</v>
      </c>
      <c r="D219" s="14" t="s">
        <v>1714</v>
      </c>
      <c r="E219" s="14" t="s">
        <v>1217</v>
      </c>
      <c r="F219" s="14" t="s">
        <v>1246</v>
      </c>
      <c r="G219" s="15"/>
      <c r="H219" s="14" t="s">
        <v>2511</v>
      </c>
      <c r="I219" s="16"/>
    </row>
    <row r="220" spans="2:10" x14ac:dyDescent="0.4">
      <c r="B220" s="14" t="s">
        <v>1738</v>
      </c>
      <c r="C220" s="14" t="s">
        <v>1739</v>
      </c>
      <c r="D220" s="14" t="s">
        <v>1714</v>
      </c>
      <c r="E220" s="14" t="s">
        <v>1261</v>
      </c>
      <c r="F220" s="14" t="s">
        <v>1557</v>
      </c>
      <c r="G220" s="15"/>
      <c r="H220" s="14" t="s">
        <v>2511</v>
      </c>
      <c r="I220" s="16"/>
    </row>
    <row r="221" spans="2:10" x14ac:dyDescent="0.4">
      <c r="B221" s="14" t="s">
        <v>1740</v>
      </c>
      <c r="C221" s="14" t="s">
        <v>1741</v>
      </c>
      <c r="D221" s="14" t="s">
        <v>1742</v>
      </c>
      <c r="E221" s="14" t="s">
        <v>1261</v>
      </c>
      <c r="F221" s="14" t="s">
        <v>989</v>
      </c>
      <c r="G221" s="15">
        <v>5</v>
      </c>
      <c r="H221" s="14" t="s">
        <v>2511</v>
      </c>
      <c r="I221" s="16"/>
    </row>
    <row r="222" spans="2:10" x14ac:dyDescent="0.4">
      <c r="B222" s="14" t="s">
        <v>1743</v>
      </c>
      <c r="C222" s="14" t="s">
        <v>1744</v>
      </c>
      <c r="D222" s="14" t="s">
        <v>1742</v>
      </c>
      <c r="E222" s="16" t="s">
        <v>1217</v>
      </c>
      <c r="F222" s="16" t="s">
        <v>989</v>
      </c>
      <c r="G222" s="16">
        <v>5</v>
      </c>
      <c r="H222" s="14" t="s">
        <v>2511</v>
      </c>
      <c r="I222" s="14"/>
    </row>
    <row r="223" spans="2:10" x14ac:dyDescent="0.4">
      <c r="B223" s="14" t="s">
        <v>1745</v>
      </c>
      <c r="C223" s="14" t="s">
        <v>1746</v>
      </c>
      <c r="D223" s="14" t="s">
        <v>1714</v>
      </c>
      <c r="E223" s="14" t="s">
        <v>1261</v>
      </c>
      <c r="F223" s="14" t="s">
        <v>1246</v>
      </c>
      <c r="G223" s="15"/>
      <c r="H223" s="14" t="s">
        <v>2511</v>
      </c>
      <c r="I223" s="16"/>
    </row>
    <row r="224" spans="2:10" x14ac:dyDescent="0.4">
      <c r="B224" s="14" t="s">
        <v>1745</v>
      </c>
      <c r="C224" s="14" t="s">
        <v>1747</v>
      </c>
      <c r="D224" s="14" t="s">
        <v>1714</v>
      </c>
      <c r="E224" s="14" t="s">
        <v>1217</v>
      </c>
      <c r="F224" s="14" t="s">
        <v>1246</v>
      </c>
      <c r="G224" s="15"/>
      <c r="H224" s="14" t="s">
        <v>2511</v>
      </c>
      <c r="I224" s="16"/>
    </row>
    <row r="225" spans="2:9" x14ac:dyDescent="0.4">
      <c r="B225" s="14" t="s">
        <v>1748</v>
      </c>
      <c r="C225" s="14" t="s">
        <v>1749</v>
      </c>
      <c r="D225" s="14" t="s">
        <v>1714</v>
      </c>
      <c r="E225" s="14" t="s">
        <v>1261</v>
      </c>
      <c r="F225" s="14" t="s">
        <v>1246</v>
      </c>
      <c r="G225" s="15"/>
      <c r="H225" s="14" t="s">
        <v>2511</v>
      </c>
      <c r="I225" s="16"/>
    </row>
    <row r="226" spans="2:9" x14ac:dyDescent="0.4">
      <c r="B226" s="14" t="s">
        <v>1748</v>
      </c>
      <c r="C226" s="14" t="s">
        <v>1750</v>
      </c>
      <c r="D226" s="14" t="s">
        <v>1714</v>
      </c>
      <c r="E226" s="14" t="s">
        <v>1217</v>
      </c>
      <c r="F226" s="14" t="s">
        <v>1246</v>
      </c>
      <c r="G226" s="15"/>
      <c r="H226" s="14" t="s">
        <v>2511</v>
      </c>
      <c r="I226" s="16"/>
    </row>
    <row r="227" spans="2:9" x14ac:dyDescent="0.4">
      <c r="B227" s="14" t="s">
        <v>1751</v>
      </c>
      <c r="C227" s="14" t="s">
        <v>1752</v>
      </c>
      <c r="D227" s="14" t="s">
        <v>1714</v>
      </c>
      <c r="E227" s="14" t="s">
        <v>1261</v>
      </c>
      <c r="F227" s="14" t="s">
        <v>1246</v>
      </c>
      <c r="G227" s="15"/>
      <c r="H227" s="14" t="s">
        <v>2511</v>
      </c>
      <c r="I227" s="16"/>
    </row>
    <row r="228" spans="2:9" x14ac:dyDescent="0.4">
      <c r="B228" s="14" t="s">
        <v>1751</v>
      </c>
      <c r="C228" s="14" t="s">
        <v>1753</v>
      </c>
      <c r="D228" s="14" t="s">
        <v>1714</v>
      </c>
      <c r="E228" s="14" t="s">
        <v>1217</v>
      </c>
      <c r="F228" s="14" t="s">
        <v>1246</v>
      </c>
      <c r="G228" s="15"/>
      <c r="H228" s="14" t="s">
        <v>2511</v>
      </c>
      <c r="I228" s="16"/>
    </row>
    <row r="229" spans="2:9" x14ac:dyDescent="0.4">
      <c r="B229" s="14" t="s">
        <v>1754</v>
      </c>
      <c r="C229" s="14" t="s">
        <v>1755</v>
      </c>
      <c r="D229" s="14" t="s">
        <v>1714</v>
      </c>
      <c r="E229" s="16" t="s">
        <v>1261</v>
      </c>
      <c r="F229" s="14" t="s">
        <v>1246</v>
      </c>
      <c r="G229" s="14"/>
      <c r="H229" s="14" t="s">
        <v>2511</v>
      </c>
      <c r="I229" s="14"/>
    </row>
    <row r="230" spans="2:9" x14ac:dyDescent="0.4">
      <c r="B230" s="14" t="s">
        <v>1754</v>
      </c>
      <c r="C230" s="14" t="s">
        <v>1756</v>
      </c>
      <c r="D230" s="14" t="s">
        <v>1714</v>
      </c>
      <c r="E230" s="14" t="s">
        <v>1217</v>
      </c>
      <c r="F230" s="14" t="s">
        <v>1246</v>
      </c>
      <c r="G230" s="15"/>
      <c r="H230" s="14" t="s">
        <v>2511</v>
      </c>
      <c r="I230" s="16"/>
    </row>
    <row r="231" spans="2:9" x14ac:dyDescent="0.4">
      <c r="B231" s="14" t="s">
        <v>1757</v>
      </c>
      <c r="C231" s="14" t="s">
        <v>1758</v>
      </c>
      <c r="D231" s="14" t="s">
        <v>1714</v>
      </c>
      <c r="E231" s="14" t="s">
        <v>1261</v>
      </c>
      <c r="F231" s="14" t="s">
        <v>1246</v>
      </c>
      <c r="G231" s="16"/>
      <c r="H231" s="14" t="s">
        <v>2511</v>
      </c>
      <c r="I231" s="16"/>
    </row>
    <row r="232" spans="2:9" x14ac:dyDescent="0.4">
      <c r="B232" s="14" t="s">
        <v>1757</v>
      </c>
      <c r="C232" s="14" t="s">
        <v>1759</v>
      </c>
      <c r="D232" s="14" t="s">
        <v>1714</v>
      </c>
      <c r="E232" s="14" t="s">
        <v>1217</v>
      </c>
      <c r="F232" s="14" t="s">
        <v>1246</v>
      </c>
      <c r="G232" s="16"/>
      <c r="H232" s="14" t="s">
        <v>2511</v>
      </c>
      <c r="I232" s="16"/>
    </row>
    <row r="233" spans="2:9" x14ac:dyDescent="0.4">
      <c r="B233" s="14" t="s">
        <v>1760</v>
      </c>
      <c r="C233" s="14" t="s">
        <v>1761</v>
      </c>
      <c r="D233" s="14" t="s">
        <v>1714</v>
      </c>
      <c r="E233" s="14" t="s">
        <v>1261</v>
      </c>
      <c r="F233" s="14" t="s">
        <v>1246</v>
      </c>
      <c r="G233" s="15"/>
      <c r="H233" s="14" t="s">
        <v>2511</v>
      </c>
      <c r="I233" s="16"/>
    </row>
    <row r="234" spans="2:9" x14ac:dyDescent="0.4">
      <c r="B234" s="14" t="s">
        <v>1760</v>
      </c>
      <c r="C234" s="14" t="s">
        <v>1762</v>
      </c>
      <c r="D234" s="14" t="s">
        <v>1714</v>
      </c>
      <c r="E234" s="14" t="s">
        <v>1217</v>
      </c>
      <c r="F234" s="14" t="s">
        <v>1246</v>
      </c>
      <c r="G234" s="15"/>
      <c r="H234" s="14" t="s">
        <v>2511</v>
      </c>
      <c r="I234" s="16"/>
    </row>
    <row r="235" spans="2:9" x14ac:dyDescent="0.4">
      <c r="B235" s="14" t="s">
        <v>1763</v>
      </c>
      <c r="C235" s="14" t="s">
        <v>1764</v>
      </c>
      <c r="D235" s="14" t="s">
        <v>1765</v>
      </c>
      <c r="E235" s="14"/>
      <c r="F235" s="14"/>
      <c r="G235" s="15"/>
      <c r="H235" s="14"/>
      <c r="I235" s="16" t="s">
        <v>1213</v>
      </c>
    </row>
    <row r="236" spans="2:9" x14ac:dyDescent="0.4">
      <c r="B236" s="14" t="s">
        <v>1766</v>
      </c>
      <c r="C236" s="14" t="s">
        <v>1767</v>
      </c>
      <c r="D236" s="14" t="s">
        <v>1325</v>
      </c>
      <c r="E236" s="14"/>
      <c r="F236" s="14"/>
      <c r="G236" s="16"/>
      <c r="H236" s="14"/>
      <c r="I236" s="16" t="s">
        <v>1304</v>
      </c>
    </row>
    <row r="237" spans="2:9" x14ac:dyDescent="0.4">
      <c r="B237" s="14" t="s">
        <v>1768</v>
      </c>
      <c r="C237" s="14" t="s">
        <v>1769</v>
      </c>
      <c r="D237" s="14" t="s">
        <v>1770</v>
      </c>
      <c r="E237" s="14" t="s">
        <v>1217</v>
      </c>
      <c r="F237" s="14" t="s">
        <v>1250</v>
      </c>
      <c r="G237" s="16">
        <v>2</v>
      </c>
      <c r="H237" s="14" t="s">
        <v>2511</v>
      </c>
      <c r="I237" s="16"/>
    </row>
    <row r="238" spans="2:9" x14ac:dyDescent="0.4">
      <c r="B238" s="14" t="s">
        <v>1771</v>
      </c>
      <c r="C238" s="14" t="s">
        <v>1772</v>
      </c>
      <c r="D238" s="14" t="s">
        <v>1773</v>
      </c>
      <c r="E238" s="14" t="s">
        <v>1261</v>
      </c>
      <c r="F238" s="14" t="s">
        <v>989</v>
      </c>
      <c r="G238" s="15">
        <v>2</v>
      </c>
      <c r="H238" s="14" t="s">
        <v>2511</v>
      </c>
      <c r="I238" s="16"/>
    </row>
    <row r="239" spans="2:9" x14ac:dyDescent="0.4">
      <c r="B239" s="14" t="s">
        <v>1774</v>
      </c>
      <c r="C239" s="14" t="s">
        <v>1775</v>
      </c>
      <c r="D239" s="14" t="s">
        <v>1776</v>
      </c>
      <c r="E239" s="14" t="s">
        <v>1217</v>
      </c>
      <c r="F239" s="14" t="s">
        <v>990</v>
      </c>
      <c r="G239" s="15">
        <v>4</v>
      </c>
      <c r="H239" s="14" t="s">
        <v>2511</v>
      </c>
      <c r="I239" s="16"/>
    </row>
    <row r="240" spans="2:9" x14ac:dyDescent="0.4">
      <c r="B240" s="14" t="s">
        <v>1777</v>
      </c>
      <c r="C240" s="14" t="s">
        <v>1778</v>
      </c>
      <c r="D240" s="14" t="s">
        <v>1779</v>
      </c>
      <c r="E240" s="14"/>
      <c r="F240" s="14"/>
      <c r="G240" s="16"/>
      <c r="H240" s="14"/>
      <c r="I240" s="16" t="s">
        <v>1304</v>
      </c>
    </row>
    <row r="241" spans="2:9" x14ac:dyDescent="0.4">
      <c r="B241" s="14" t="s">
        <v>1780</v>
      </c>
      <c r="C241" s="14" t="s">
        <v>1781</v>
      </c>
      <c r="D241" s="14" t="s">
        <v>1668</v>
      </c>
      <c r="E241" s="14" t="s">
        <v>1261</v>
      </c>
      <c r="F241" s="14" t="s">
        <v>1218</v>
      </c>
      <c r="G241" s="16"/>
      <c r="H241" s="14" t="s">
        <v>2511</v>
      </c>
      <c r="I241" s="16"/>
    </row>
    <row r="242" spans="2:9" x14ac:dyDescent="0.4">
      <c r="B242" s="14" t="s">
        <v>1782</v>
      </c>
      <c r="C242" s="14" t="s">
        <v>1783</v>
      </c>
      <c r="D242" s="14" t="s">
        <v>1784</v>
      </c>
      <c r="E242" s="14" t="s">
        <v>1261</v>
      </c>
      <c r="F242" s="14" t="s">
        <v>1250</v>
      </c>
      <c r="G242" s="16">
        <v>4</v>
      </c>
      <c r="H242" s="14" t="s">
        <v>2511</v>
      </c>
      <c r="I242" s="16"/>
    </row>
    <row r="243" spans="2:9" x14ac:dyDescent="0.4">
      <c r="B243" s="14" t="s">
        <v>1785</v>
      </c>
      <c r="C243" s="14" t="s">
        <v>1786</v>
      </c>
      <c r="D243" s="14" t="s">
        <v>1787</v>
      </c>
      <c r="E243" s="14" t="s">
        <v>1261</v>
      </c>
      <c r="F243" s="14" t="s">
        <v>1223</v>
      </c>
      <c r="G243" s="16">
        <v>4</v>
      </c>
      <c r="H243" s="14" t="s">
        <v>2511</v>
      </c>
      <c r="I243" s="16"/>
    </row>
    <row r="244" spans="2:9" x14ac:dyDescent="0.4">
      <c r="B244" s="14" t="s">
        <v>1788</v>
      </c>
      <c r="C244" s="14" t="s">
        <v>1789</v>
      </c>
      <c r="D244" s="14" t="s">
        <v>1790</v>
      </c>
      <c r="E244" s="14" t="s">
        <v>1261</v>
      </c>
      <c r="F244" s="14" t="s">
        <v>989</v>
      </c>
      <c r="G244" s="16">
        <v>5</v>
      </c>
      <c r="H244" s="14" t="s">
        <v>2511</v>
      </c>
      <c r="I244" s="16"/>
    </row>
    <row r="245" spans="2:9" x14ac:dyDescent="0.4">
      <c r="B245" s="14" t="s">
        <v>1791</v>
      </c>
      <c r="C245" s="14" t="s">
        <v>1792</v>
      </c>
      <c r="D245" s="14" t="s">
        <v>1793</v>
      </c>
      <c r="E245" s="14" t="s">
        <v>1217</v>
      </c>
      <c r="F245" s="14" t="s">
        <v>989</v>
      </c>
      <c r="G245" s="16">
        <v>3</v>
      </c>
      <c r="H245" s="14" t="s">
        <v>2511</v>
      </c>
      <c r="I245" s="16"/>
    </row>
    <row r="246" spans="2:9" x14ac:dyDescent="0.4">
      <c r="B246" s="14" t="s">
        <v>1794</v>
      </c>
      <c r="C246" s="14" t="s">
        <v>1795</v>
      </c>
      <c r="D246" s="14" t="s">
        <v>1796</v>
      </c>
      <c r="E246" s="14"/>
      <c r="F246" s="14"/>
      <c r="G246" s="16"/>
      <c r="H246" s="14"/>
      <c r="I246" s="16" t="s">
        <v>1304</v>
      </c>
    </row>
    <row r="247" spans="2:9" x14ac:dyDescent="0.4">
      <c r="B247" s="14" t="s">
        <v>1797</v>
      </c>
      <c r="C247" s="14" t="s">
        <v>1798</v>
      </c>
      <c r="D247" s="14" t="s">
        <v>1665</v>
      </c>
      <c r="E247" s="14"/>
      <c r="F247" s="14"/>
      <c r="G247" s="16"/>
      <c r="H247" s="14"/>
      <c r="I247" s="16" t="s">
        <v>1304</v>
      </c>
    </row>
    <row r="248" spans="2:9" x14ac:dyDescent="0.4">
      <c r="B248" s="14" t="s">
        <v>1799</v>
      </c>
      <c r="C248" s="14" t="s">
        <v>1800</v>
      </c>
      <c r="D248" s="14" t="s">
        <v>1787</v>
      </c>
      <c r="E248" s="14" t="s">
        <v>1261</v>
      </c>
      <c r="F248" s="14" t="s">
        <v>989</v>
      </c>
      <c r="G248" s="16">
        <v>6</v>
      </c>
      <c r="H248" s="14" t="s">
        <v>2511</v>
      </c>
      <c r="I248" s="16"/>
    </row>
    <row r="249" spans="2:9" x14ac:dyDescent="0.4">
      <c r="B249" s="14" t="s">
        <v>1801</v>
      </c>
      <c r="C249" s="14" t="s">
        <v>1802</v>
      </c>
      <c r="D249" s="14" t="s">
        <v>1787</v>
      </c>
      <c r="E249" s="14" t="s">
        <v>1217</v>
      </c>
      <c r="F249" s="14" t="s">
        <v>990</v>
      </c>
      <c r="G249" s="16">
        <v>6</v>
      </c>
      <c r="H249" s="14" t="s">
        <v>2511</v>
      </c>
      <c r="I249" s="16"/>
    </row>
    <row r="250" spans="2:9" x14ac:dyDescent="0.4">
      <c r="B250" s="14" t="s">
        <v>1803</v>
      </c>
      <c r="C250" s="14" t="s">
        <v>1804</v>
      </c>
      <c r="D250" s="14" t="s">
        <v>1805</v>
      </c>
      <c r="E250" s="14" t="s">
        <v>1261</v>
      </c>
      <c r="F250" s="14" t="s">
        <v>1223</v>
      </c>
      <c r="G250" s="16">
        <v>6</v>
      </c>
      <c r="H250" s="14" t="s">
        <v>2511</v>
      </c>
      <c r="I250" s="16"/>
    </row>
    <row r="251" spans="2:9" x14ac:dyDescent="0.4">
      <c r="B251" s="14" t="s">
        <v>1806</v>
      </c>
      <c r="C251" s="14" t="s">
        <v>1807</v>
      </c>
      <c r="D251" s="14" t="s">
        <v>1805</v>
      </c>
      <c r="E251" s="14" t="s">
        <v>1217</v>
      </c>
      <c r="F251" s="14" t="s">
        <v>1250</v>
      </c>
      <c r="G251" s="16">
        <v>6</v>
      </c>
      <c r="H251" s="14" t="s">
        <v>2511</v>
      </c>
      <c r="I251" s="16"/>
    </row>
    <row r="252" spans="2:9" x14ac:dyDescent="0.4">
      <c r="B252" s="14" t="s">
        <v>1808</v>
      </c>
      <c r="C252" s="14" t="s">
        <v>1809</v>
      </c>
      <c r="D252" s="14" t="s">
        <v>1787</v>
      </c>
      <c r="E252" s="14" t="s">
        <v>1217</v>
      </c>
      <c r="F252" s="14" t="s">
        <v>1223</v>
      </c>
      <c r="G252" s="15">
        <v>6</v>
      </c>
      <c r="H252" s="14" t="s">
        <v>2511</v>
      </c>
      <c r="I252" s="16"/>
    </row>
    <row r="253" spans="2:9" x14ac:dyDescent="0.4">
      <c r="B253" s="14" t="s">
        <v>1810</v>
      </c>
      <c r="C253" s="14" t="s">
        <v>1811</v>
      </c>
      <c r="D253" s="14" t="s">
        <v>1787</v>
      </c>
      <c r="E253" s="14" t="s">
        <v>1261</v>
      </c>
      <c r="F253" s="14" t="s">
        <v>1218</v>
      </c>
      <c r="G253" s="15">
        <v>6</v>
      </c>
      <c r="H253" s="14" t="s">
        <v>2511</v>
      </c>
      <c r="I253" s="16"/>
    </row>
    <row r="254" spans="2:9" x14ac:dyDescent="0.4">
      <c r="B254" s="14" t="s">
        <v>1812</v>
      </c>
      <c r="C254" s="14" t="s">
        <v>1813</v>
      </c>
      <c r="D254" s="14" t="s">
        <v>1814</v>
      </c>
      <c r="E254" s="14" t="s">
        <v>1261</v>
      </c>
      <c r="F254" s="14" t="s">
        <v>1223</v>
      </c>
      <c r="G254" s="15">
        <v>6</v>
      </c>
      <c r="H254" s="14" t="s">
        <v>2511</v>
      </c>
      <c r="I254" s="16"/>
    </row>
    <row r="255" spans="2:9" x14ac:dyDescent="0.4">
      <c r="B255" s="14" t="s">
        <v>1815</v>
      </c>
      <c r="C255" s="14" t="s">
        <v>1816</v>
      </c>
      <c r="D255" s="14" t="s">
        <v>1814</v>
      </c>
      <c r="E255" s="14" t="s">
        <v>1217</v>
      </c>
      <c r="F255" s="14" t="s">
        <v>1250</v>
      </c>
      <c r="G255" s="15">
        <v>6</v>
      </c>
      <c r="H255" s="14" t="s">
        <v>2511</v>
      </c>
      <c r="I255" s="16"/>
    </row>
    <row r="256" spans="2:9" x14ac:dyDescent="0.4">
      <c r="B256" s="14" t="s">
        <v>1817</v>
      </c>
      <c r="C256" s="14" t="s">
        <v>1818</v>
      </c>
      <c r="D256" s="14" t="s">
        <v>1787</v>
      </c>
      <c r="E256" s="14" t="s">
        <v>1261</v>
      </c>
      <c r="F256" s="14" t="s">
        <v>1246</v>
      </c>
      <c r="G256" s="15"/>
      <c r="H256" s="14" t="s">
        <v>2511</v>
      </c>
      <c r="I256" s="16"/>
    </row>
    <row r="257" spans="2:9" x14ac:dyDescent="0.4">
      <c r="B257" s="14" t="s">
        <v>1817</v>
      </c>
      <c r="C257" s="14" t="s">
        <v>1819</v>
      </c>
      <c r="D257" s="14" t="s">
        <v>1787</v>
      </c>
      <c r="E257" s="14" t="s">
        <v>1217</v>
      </c>
      <c r="F257" s="14" t="s">
        <v>1246</v>
      </c>
      <c r="G257" s="15"/>
      <c r="H257" s="14" t="s">
        <v>2511</v>
      </c>
      <c r="I257" s="16"/>
    </row>
    <row r="258" spans="2:9" x14ac:dyDescent="0.4">
      <c r="B258" s="14" t="s">
        <v>1820</v>
      </c>
      <c r="C258" s="14" t="s">
        <v>1821</v>
      </c>
      <c r="D258" s="14" t="s">
        <v>1787</v>
      </c>
      <c r="E258" s="14" t="s">
        <v>1261</v>
      </c>
      <c r="F258" s="14" t="s">
        <v>1246</v>
      </c>
      <c r="G258" s="15"/>
      <c r="H258" s="14" t="s">
        <v>2511</v>
      </c>
      <c r="I258" s="16"/>
    </row>
    <row r="259" spans="2:9" ht="22.5" customHeight="1" x14ac:dyDescent="0.4">
      <c r="B259" s="14" t="s">
        <v>1820</v>
      </c>
      <c r="C259" s="14" t="s">
        <v>1822</v>
      </c>
      <c r="D259" s="14" t="s">
        <v>1787</v>
      </c>
      <c r="E259" s="14" t="s">
        <v>1217</v>
      </c>
      <c r="F259" s="14" t="s">
        <v>1246</v>
      </c>
      <c r="G259" s="16"/>
      <c r="H259" s="14" t="s">
        <v>2511</v>
      </c>
      <c r="I259" s="14"/>
    </row>
    <row r="260" spans="2:9" x14ac:dyDescent="0.4">
      <c r="B260" s="14" t="s">
        <v>1823</v>
      </c>
      <c r="C260" s="14" t="s">
        <v>1824</v>
      </c>
      <c r="D260" s="14" t="s">
        <v>1787</v>
      </c>
      <c r="E260" s="14" t="s">
        <v>1261</v>
      </c>
      <c r="F260" s="14" t="s">
        <v>1246</v>
      </c>
      <c r="G260" s="15"/>
      <c r="H260" s="14" t="s">
        <v>2511</v>
      </c>
      <c r="I260" s="16"/>
    </row>
    <row r="261" spans="2:9" ht="22.5" customHeight="1" x14ac:dyDescent="0.4">
      <c r="B261" s="14" t="s">
        <v>1823</v>
      </c>
      <c r="C261" s="14" t="s">
        <v>1825</v>
      </c>
      <c r="D261" s="14" t="s">
        <v>1787</v>
      </c>
      <c r="E261" s="14" t="s">
        <v>1217</v>
      </c>
      <c r="F261" s="14" t="s">
        <v>1246</v>
      </c>
      <c r="G261" s="15"/>
      <c r="H261" s="14" t="s">
        <v>2511</v>
      </c>
      <c r="I261" s="16"/>
    </row>
    <row r="262" spans="2:9" x14ac:dyDescent="0.4">
      <c r="B262" s="14" t="s">
        <v>1826</v>
      </c>
      <c r="C262" s="14" t="s">
        <v>1827</v>
      </c>
      <c r="D262" s="14" t="s">
        <v>1338</v>
      </c>
      <c r="E262" s="14"/>
      <c r="F262" s="14"/>
      <c r="G262" s="15"/>
      <c r="H262" s="14"/>
      <c r="I262" s="16" t="s">
        <v>1304</v>
      </c>
    </row>
    <row r="263" spans="2:9" x14ac:dyDescent="0.4">
      <c r="B263" s="14" t="s">
        <v>1828</v>
      </c>
      <c r="C263" s="14" t="s">
        <v>1829</v>
      </c>
      <c r="D263" s="14" t="s">
        <v>1341</v>
      </c>
      <c r="E263" s="16" t="s">
        <v>1261</v>
      </c>
      <c r="F263" s="16" t="s">
        <v>989</v>
      </c>
      <c r="G263" s="16">
        <v>2</v>
      </c>
      <c r="H263" s="14" t="s">
        <v>2511</v>
      </c>
      <c r="I263" s="14"/>
    </row>
    <row r="264" spans="2:9" x14ac:dyDescent="0.4">
      <c r="B264" s="14" t="s">
        <v>1830</v>
      </c>
      <c r="C264" s="14" t="s">
        <v>1831</v>
      </c>
      <c r="D264" s="14" t="s">
        <v>1344</v>
      </c>
      <c r="E264" s="14"/>
      <c r="F264" s="14"/>
      <c r="G264" s="15"/>
      <c r="H264" s="14"/>
      <c r="I264" s="16" t="s">
        <v>1304</v>
      </c>
    </row>
    <row r="265" spans="2:9" x14ac:dyDescent="0.4">
      <c r="B265" s="14" t="s">
        <v>1832</v>
      </c>
      <c r="C265" s="14" t="s">
        <v>1833</v>
      </c>
      <c r="D265" s="14" t="s">
        <v>1834</v>
      </c>
      <c r="E265" s="14" t="s">
        <v>1261</v>
      </c>
      <c r="F265" s="14" t="s">
        <v>1223</v>
      </c>
      <c r="G265" s="16">
        <v>2</v>
      </c>
      <c r="H265" s="14" t="s">
        <v>2511</v>
      </c>
      <c r="I265" s="16"/>
    </row>
    <row r="266" spans="2:9" ht="22.5" customHeight="1" x14ac:dyDescent="0.4">
      <c r="B266" s="14" t="s">
        <v>1835</v>
      </c>
      <c r="C266" s="14" t="s">
        <v>1836</v>
      </c>
      <c r="D266" s="14" t="s">
        <v>1347</v>
      </c>
      <c r="E266" s="14"/>
      <c r="F266" s="14"/>
      <c r="G266" s="15"/>
      <c r="H266" s="14"/>
      <c r="I266" s="16" t="s">
        <v>1304</v>
      </c>
    </row>
    <row r="267" spans="2:9" ht="22.5" customHeight="1" x14ac:dyDescent="0.4">
      <c r="B267" s="14" t="s">
        <v>1837</v>
      </c>
      <c r="C267" s="14" t="s">
        <v>1838</v>
      </c>
      <c r="D267" s="14" t="s">
        <v>1350</v>
      </c>
      <c r="E267" s="14" t="s">
        <v>1217</v>
      </c>
      <c r="F267" s="14" t="s">
        <v>1223</v>
      </c>
      <c r="G267" s="15">
        <v>2</v>
      </c>
      <c r="H267" s="14" t="s">
        <v>2511</v>
      </c>
      <c r="I267" s="16"/>
    </row>
    <row r="268" spans="2:9" x14ac:dyDescent="0.4">
      <c r="B268" s="14" t="s">
        <v>1839</v>
      </c>
      <c r="C268" s="14" t="s">
        <v>1840</v>
      </c>
      <c r="D268" s="14" t="s">
        <v>1841</v>
      </c>
      <c r="E268" s="14" t="s">
        <v>1261</v>
      </c>
      <c r="F268" s="14" t="s">
        <v>990</v>
      </c>
      <c r="G268" s="15">
        <v>2</v>
      </c>
      <c r="H268" s="14" t="s">
        <v>2511</v>
      </c>
      <c r="I268" s="16"/>
    </row>
    <row r="269" spans="2:9" x14ac:dyDescent="0.4">
      <c r="B269" s="14" t="s">
        <v>1842</v>
      </c>
      <c r="C269" s="14" t="s">
        <v>1843</v>
      </c>
      <c r="D269" s="14" t="s">
        <v>1844</v>
      </c>
      <c r="E269" s="16" t="s">
        <v>1217</v>
      </c>
      <c r="F269" s="14" t="s">
        <v>1223</v>
      </c>
      <c r="G269" s="14">
        <v>1</v>
      </c>
      <c r="H269" s="14" t="s">
        <v>2511</v>
      </c>
      <c r="I269" s="14"/>
    </row>
    <row r="270" spans="2:9" x14ac:dyDescent="0.4">
      <c r="B270" s="14" t="s">
        <v>1845</v>
      </c>
      <c r="C270" s="14" t="s">
        <v>1846</v>
      </c>
      <c r="D270" s="14" t="s">
        <v>1847</v>
      </c>
      <c r="E270" s="14"/>
      <c r="F270" s="14"/>
      <c r="G270" s="15"/>
      <c r="H270" s="14"/>
      <c r="I270" s="16" t="s">
        <v>1304</v>
      </c>
    </row>
    <row r="271" spans="2:9" ht="22.5" customHeight="1" x14ac:dyDescent="0.4">
      <c r="B271" s="14" t="s">
        <v>1848</v>
      </c>
      <c r="C271" s="14" t="s">
        <v>1849</v>
      </c>
      <c r="D271" s="14" t="s">
        <v>1850</v>
      </c>
      <c r="E271" s="14" t="s">
        <v>1261</v>
      </c>
      <c r="F271" s="14" t="s">
        <v>990</v>
      </c>
      <c r="G271" s="15">
        <v>1</v>
      </c>
      <c r="H271" s="14" t="s">
        <v>2511</v>
      </c>
      <c r="I271" s="16"/>
    </row>
    <row r="272" spans="2:9" ht="22.5" customHeight="1" x14ac:dyDescent="0.4">
      <c r="B272" s="14" t="s">
        <v>1851</v>
      </c>
      <c r="C272" s="14" t="s">
        <v>1852</v>
      </c>
      <c r="D272" s="14" t="s">
        <v>1853</v>
      </c>
      <c r="E272" s="14"/>
      <c r="F272" s="14"/>
      <c r="G272" s="15"/>
      <c r="H272" s="14"/>
      <c r="I272" s="16" t="s">
        <v>1304</v>
      </c>
    </row>
    <row r="273" spans="2:10" x14ac:dyDescent="0.4">
      <c r="B273" s="14" t="s">
        <v>1854</v>
      </c>
      <c r="C273" s="14" t="s">
        <v>1855</v>
      </c>
      <c r="D273" s="14" t="s">
        <v>1856</v>
      </c>
      <c r="E273" s="14"/>
      <c r="F273" s="14"/>
      <c r="G273" s="15"/>
      <c r="H273" s="14" t="s">
        <v>2511</v>
      </c>
      <c r="I273" s="16"/>
    </row>
    <row r="274" spans="2:10" x14ac:dyDescent="0.4">
      <c r="B274" s="14" t="s">
        <v>1857</v>
      </c>
      <c r="C274" s="14" t="s">
        <v>1858</v>
      </c>
      <c r="D274" s="14" t="s">
        <v>1850</v>
      </c>
      <c r="E274" s="14" t="s">
        <v>1261</v>
      </c>
      <c r="F274" s="14" t="s">
        <v>989</v>
      </c>
      <c r="G274" s="15">
        <v>4</v>
      </c>
      <c r="H274" s="14" t="s">
        <v>2511</v>
      </c>
      <c r="I274" s="16"/>
    </row>
    <row r="275" spans="2:10" ht="22.5" customHeight="1" x14ac:dyDescent="0.4">
      <c r="B275" s="14" t="s">
        <v>1857</v>
      </c>
      <c r="C275" s="14" t="s">
        <v>1859</v>
      </c>
      <c r="D275" s="14" t="s">
        <v>1850</v>
      </c>
      <c r="E275" s="14" t="s">
        <v>1217</v>
      </c>
      <c r="F275" s="14" t="s">
        <v>989</v>
      </c>
      <c r="G275" s="16">
        <v>4</v>
      </c>
      <c r="H275" s="14" t="s">
        <v>2511</v>
      </c>
      <c r="I275" s="16"/>
    </row>
    <row r="276" spans="2:10" ht="22.5" customHeight="1" x14ac:dyDescent="0.4">
      <c r="B276" s="14" t="s">
        <v>1860</v>
      </c>
      <c r="C276" s="14" t="s">
        <v>1861</v>
      </c>
      <c r="D276" s="14" t="s">
        <v>1850</v>
      </c>
      <c r="E276" s="14" t="s">
        <v>1261</v>
      </c>
      <c r="F276" s="14" t="s">
        <v>989</v>
      </c>
      <c r="G276" s="16">
        <v>4</v>
      </c>
      <c r="H276" s="14" t="s">
        <v>2511</v>
      </c>
      <c r="I276" s="16"/>
    </row>
    <row r="277" spans="2:10" ht="22.5" customHeight="1" x14ac:dyDescent="0.4">
      <c r="B277" s="14" t="s">
        <v>1860</v>
      </c>
      <c r="C277" s="14" t="s">
        <v>1862</v>
      </c>
      <c r="D277" s="14" t="s">
        <v>1850</v>
      </c>
      <c r="E277" s="14" t="s">
        <v>1217</v>
      </c>
      <c r="F277" s="14" t="s">
        <v>989</v>
      </c>
      <c r="G277" s="16">
        <v>4</v>
      </c>
      <c r="H277" s="14" t="s">
        <v>2511</v>
      </c>
      <c r="I277" s="16"/>
    </row>
    <row r="278" spans="2:10" ht="22.5" customHeight="1" x14ac:dyDescent="0.4">
      <c r="B278" s="14" t="s">
        <v>1863</v>
      </c>
      <c r="C278" s="14" t="s">
        <v>1864</v>
      </c>
      <c r="D278" s="14" t="s">
        <v>1865</v>
      </c>
      <c r="E278" s="14" t="s">
        <v>1217</v>
      </c>
      <c r="F278" s="14" t="s">
        <v>1218</v>
      </c>
      <c r="G278" s="16">
        <v>2</v>
      </c>
      <c r="H278" s="14" t="s">
        <v>2511</v>
      </c>
      <c r="I278" s="16"/>
    </row>
    <row r="279" spans="2:10" ht="22.5" customHeight="1" x14ac:dyDescent="0.4">
      <c r="B279" s="14" t="s">
        <v>1866</v>
      </c>
      <c r="C279" s="14" t="s">
        <v>1867</v>
      </c>
      <c r="D279" s="14" t="s">
        <v>1281</v>
      </c>
      <c r="E279" s="14" t="s">
        <v>1261</v>
      </c>
      <c r="F279" s="14" t="s">
        <v>1223</v>
      </c>
      <c r="G279" s="16">
        <v>2</v>
      </c>
      <c r="H279" s="14" t="s">
        <v>2511</v>
      </c>
      <c r="I279" s="16"/>
    </row>
    <row r="280" spans="2:10" x14ac:dyDescent="0.4">
      <c r="B280" s="14" t="s">
        <v>1868</v>
      </c>
      <c r="C280" s="14" t="s">
        <v>1869</v>
      </c>
      <c r="D280" s="14" t="s">
        <v>1870</v>
      </c>
      <c r="E280" s="14" t="s">
        <v>1261</v>
      </c>
      <c r="F280" s="14" t="s">
        <v>989</v>
      </c>
      <c r="G280" s="16">
        <v>1</v>
      </c>
      <c r="H280" s="14" t="s">
        <v>2511</v>
      </c>
      <c r="I280" s="16"/>
    </row>
    <row r="281" spans="2:10" x14ac:dyDescent="0.4">
      <c r="B281" s="14" t="s">
        <v>1871</v>
      </c>
      <c r="C281" s="14" t="s">
        <v>1872</v>
      </c>
      <c r="D281" s="14" t="s">
        <v>1873</v>
      </c>
      <c r="E281" s="14" t="s">
        <v>1217</v>
      </c>
      <c r="F281" s="14" t="s">
        <v>990</v>
      </c>
      <c r="G281" s="14">
        <v>2</v>
      </c>
      <c r="H281" s="14" t="s">
        <v>2511</v>
      </c>
      <c r="I281" s="14"/>
      <c r="J281" s="40"/>
    </row>
    <row r="282" spans="2:10" x14ac:dyDescent="0.4">
      <c r="B282" s="14" t="s">
        <v>1874</v>
      </c>
      <c r="C282" s="14" t="s">
        <v>1875</v>
      </c>
      <c r="D282" s="14" t="s">
        <v>1876</v>
      </c>
      <c r="E282" s="16"/>
      <c r="F282" s="14"/>
      <c r="G282" s="14"/>
      <c r="H282" s="14" t="s">
        <v>2511</v>
      </c>
      <c r="I282" s="14"/>
    </row>
    <row r="283" spans="2:10" x14ac:dyDescent="0.4">
      <c r="B283" s="14" t="s">
        <v>1877</v>
      </c>
      <c r="C283" s="14" t="s">
        <v>2512</v>
      </c>
      <c r="D283" s="14" t="s">
        <v>2513</v>
      </c>
      <c r="E283" s="14" t="s">
        <v>1011</v>
      </c>
      <c r="F283" s="14" t="s">
        <v>2515</v>
      </c>
      <c r="G283" s="15">
        <v>2</v>
      </c>
      <c r="H283" s="14" t="s">
        <v>2511</v>
      </c>
      <c r="I283" s="16"/>
    </row>
    <row r="284" spans="2:10" x14ac:dyDescent="0.4">
      <c r="B284" s="14" t="s">
        <v>1880</v>
      </c>
      <c r="C284" s="14" t="s">
        <v>1881</v>
      </c>
      <c r="D284" s="14" t="s">
        <v>1882</v>
      </c>
      <c r="E284" s="16" t="s">
        <v>1261</v>
      </c>
      <c r="F284" s="16" t="s">
        <v>1883</v>
      </c>
      <c r="G284" s="16"/>
      <c r="H284" s="14" t="s">
        <v>2511</v>
      </c>
      <c r="I284" s="14"/>
    </row>
    <row r="285" spans="2:10" x14ac:dyDescent="0.4">
      <c r="B285" s="14" t="s">
        <v>1884</v>
      </c>
      <c r="C285" s="14" t="s">
        <v>1885</v>
      </c>
      <c r="D285" s="14" t="s">
        <v>1882</v>
      </c>
      <c r="E285" s="14" t="s">
        <v>1217</v>
      </c>
      <c r="F285" s="14" t="s">
        <v>1883</v>
      </c>
      <c r="G285" s="15"/>
      <c r="H285" s="14" t="s">
        <v>2511</v>
      </c>
      <c r="I285" s="16"/>
    </row>
    <row r="286" spans="2:10" x14ac:dyDescent="0.4">
      <c r="B286" s="14" t="s">
        <v>1886</v>
      </c>
      <c r="C286" s="14" t="s">
        <v>1887</v>
      </c>
      <c r="D286" s="14" t="s">
        <v>1882</v>
      </c>
      <c r="E286" s="16" t="s">
        <v>1261</v>
      </c>
      <c r="F286" s="16" t="s">
        <v>1883</v>
      </c>
      <c r="G286" s="16"/>
      <c r="H286" s="14" t="s">
        <v>2511</v>
      </c>
      <c r="I286" s="14"/>
    </row>
    <row r="287" spans="2:10" x14ac:dyDescent="0.4">
      <c r="B287" s="14" t="s">
        <v>1888</v>
      </c>
      <c r="C287" s="14" t="s">
        <v>1889</v>
      </c>
      <c r="D287" s="14" t="s">
        <v>1882</v>
      </c>
      <c r="E287" s="14" t="s">
        <v>1217</v>
      </c>
      <c r="F287" s="14" t="s">
        <v>1883</v>
      </c>
      <c r="G287" s="15"/>
      <c r="H287" s="14" t="s">
        <v>2511</v>
      </c>
      <c r="I287" s="16"/>
    </row>
    <row r="288" spans="2:10" x14ac:dyDescent="0.4">
      <c r="B288" s="14" t="s">
        <v>1890</v>
      </c>
      <c r="C288" s="14" t="s">
        <v>1891</v>
      </c>
      <c r="D288" s="14" t="s">
        <v>1882</v>
      </c>
      <c r="E288" s="16" t="s">
        <v>1261</v>
      </c>
      <c r="F288" s="16" t="s">
        <v>1883</v>
      </c>
      <c r="G288" s="16"/>
      <c r="H288" s="14" t="s">
        <v>2511</v>
      </c>
      <c r="I288" s="14"/>
    </row>
    <row r="289" spans="2:10" x14ac:dyDescent="0.4">
      <c r="B289" s="14" t="s">
        <v>1892</v>
      </c>
      <c r="C289" s="14" t="s">
        <v>1893</v>
      </c>
      <c r="D289" s="14" t="s">
        <v>1882</v>
      </c>
      <c r="E289" s="14" t="s">
        <v>1217</v>
      </c>
      <c r="F289" s="14" t="s">
        <v>1883</v>
      </c>
      <c r="G289" s="15"/>
      <c r="H289" s="14" t="s">
        <v>2511</v>
      </c>
      <c r="I289" s="16"/>
    </row>
    <row r="290" spans="2:10" x14ac:dyDescent="0.4">
      <c r="B290" s="14" t="s">
        <v>1894</v>
      </c>
      <c r="C290" s="14" t="s">
        <v>1895</v>
      </c>
      <c r="D290" s="14" t="s">
        <v>1882</v>
      </c>
      <c r="E290" s="14" t="s">
        <v>1261</v>
      </c>
      <c r="F290" s="14" t="s">
        <v>1883</v>
      </c>
      <c r="G290" s="15"/>
      <c r="H290" s="14" t="s">
        <v>2511</v>
      </c>
      <c r="I290" s="16"/>
    </row>
    <row r="291" spans="2:10" x14ac:dyDescent="0.4">
      <c r="B291" s="14" t="s">
        <v>1896</v>
      </c>
      <c r="C291" s="14" t="s">
        <v>1897</v>
      </c>
      <c r="D291" s="14" t="s">
        <v>1882</v>
      </c>
      <c r="E291" s="14" t="s">
        <v>1217</v>
      </c>
      <c r="F291" s="14" t="s">
        <v>1883</v>
      </c>
      <c r="G291" s="15"/>
      <c r="H291" s="14" t="s">
        <v>2511</v>
      </c>
      <c r="I291" s="16"/>
    </row>
    <row r="292" spans="2:10" x14ac:dyDescent="0.4">
      <c r="B292" s="14" t="s">
        <v>1898</v>
      </c>
      <c r="C292" s="14" t="s">
        <v>1899</v>
      </c>
      <c r="D292" s="14" t="s">
        <v>1882</v>
      </c>
      <c r="E292" s="14" t="s">
        <v>1261</v>
      </c>
      <c r="F292" s="14" t="s">
        <v>1883</v>
      </c>
      <c r="G292" s="15"/>
      <c r="H292" s="14" t="s">
        <v>2511</v>
      </c>
      <c r="I292" s="16"/>
    </row>
    <row r="293" spans="2:10" x14ac:dyDescent="0.4">
      <c r="B293" s="14" t="s">
        <v>1898</v>
      </c>
      <c r="C293" s="14" t="s">
        <v>1900</v>
      </c>
      <c r="D293" s="14" t="s">
        <v>1882</v>
      </c>
      <c r="E293" s="14" t="s">
        <v>1217</v>
      </c>
      <c r="F293" s="14" t="s">
        <v>1883</v>
      </c>
      <c r="G293" s="15"/>
      <c r="H293" s="14" t="s">
        <v>2511</v>
      </c>
      <c r="I293" s="16"/>
    </row>
    <row r="294" spans="2:10" x14ac:dyDescent="0.4">
      <c r="B294" s="14" t="s">
        <v>1901</v>
      </c>
      <c r="C294" s="14" t="s">
        <v>1902</v>
      </c>
      <c r="D294" s="14" t="s">
        <v>1338</v>
      </c>
      <c r="E294" s="14" t="s">
        <v>1261</v>
      </c>
      <c r="F294" s="14" t="s">
        <v>1883</v>
      </c>
      <c r="G294" s="15"/>
      <c r="H294" s="14" t="s">
        <v>2511</v>
      </c>
      <c r="I294" s="16"/>
    </row>
    <row r="295" spans="2:10" x14ac:dyDescent="0.4">
      <c r="B295" s="14" t="s">
        <v>1903</v>
      </c>
      <c r="C295" s="14" t="s">
        <v>1904</v>
      </c>
      <c r="D295" s="14" t="s">
        <v>1341</v>
      </c>
      <c r="E295" s="14" t="s">
        <v>1217</v>
      </c>
      <c r="F295" s="14" t="s">
        <v>1883</v>
      </c>
      <c r="G295" s="15"/>
      <c r="H295" s="14" t="s">
        <v>2511</v>
      </c>
      <c r="I295" s="16"/>
    </row>
    <row r="296" spans="2:10" x14ac:dyDescent="0.4">
      <c r="B296" s="14" t="s">
        <v>1905</v>
      </c>
      <c r="C296" s="14" t="s">
        <v>1906</v>
      </c>
      <c r="D296" s="14" t="s">
        <v>1344</v>
      </c>
      <c r="E296" s="14" t="s">
        <v>1217</v>
      </c>
      <c r="F296" s="14" t="s">
        <v>1883</v>
      </c>
      <c r="G296" s="15"/>
      <c r="H296" s="14" t="s">
        <v>2511</v>
      </c>
      <c r="I296" s="16"/>
    </row>
    <row r="297" spans="2:10" x14ac:dyDescent="0.4">
      <c r="B297" s="14" t="s">
        <v>1907</v>
      </c>
      <c r="C297" s="14" t="s">
        <v>1908</v>
      </c>
      <c r="D297" s="14" t="s">
        <v>1347</v>
      </c>
      <c r="E297" s="14"/>
      <c r="F297" s="14"/>
      <c r="G297" s="15"/>
      <c r="H297" s="14"/>
      <c r="I297" s="16" t="s">
        <v>1304</v>
      </c>
    </row>
    <row r="298" spans="2:10" x14ac:dyDescent="0.4">
      <c r="B298" s="14" t="s">
        <v>1909</v>
      </c>
      <c r="C298" s="14" t="s">
        <v>1910</v>
      </c>
      <c r="D298" s="14" t="s">
        <v>1834</v>
      </c>
      <c r="E298" s="14"/>
      <c r="F298" s="14"/>
      <c r="G298" s="15"/>
      <c r="H298" s="14"/>
      <c r="I298" s="16" t="s">
        <v>1304</v>
      </c>
    </row>
    <row r="299" spans="2:10" x14ac:dyDescent="0.4">
      <c r="B299" s="14" t="s">
        <v>1911</v>
      </c>
      <c r="C299" s="14" t="s">
        <v>1912</v>
      </c>
      <c r="D299" s="14" t="s">
        <v>1338</v>
      </c>
      <c r="E299" s="14"/>
      <c r="F299" s="14"/>
      <c r="G299" s="16"/>
      <c r="H299" s="14"/>
      <c r="I299" s="16" t="s">
        <v>1304</v>
      </c>
    </row>
    <row r="300" spans="2:10" x14ac:dyDescent="0.4">
      <c r="B300" s="14" t="s">
        <v>1913</v>
      </c>
      <c r="C300" s="14" t="s">
        <v>1914</v>
      </c>
      <c r="D300" s="14" t="s">
        <v>1915</v>
      </c>
      <c r="E300" s="14" t="s">
        <v>1217</v>
      </c>
      <c r="F300" s="14" t="s">
        <v>1557</v>
      </c>
      <c r="G300" s="15"/>
      <c r="H300" s="14" t="s">
        <v>2511</v>
      </c>
      <c r="I300" s="16"/>
    </row>
    <row r="301" spans="2:10" x14ac:dyDescent="0.4">
      <c r="B301" s="14" t="s">
        <v>1916</v>
      </c>
      <c r="C301" s="14" t="s">
        <v>1917</v>
      </c>
      <c r="D301" s="14" t="s">
        <v>1918</v>
      </c>
      <c r="E301" s="14" t="s">
        <v>1217</v>
      </c>
      <c r="F301" s="14" t="s">
        <v>990</v>
      </c>
      <c r="G301" s="15">
        <v>1</v>
      </c>
      <c r="H301" s="14" t="s">
        <v>2511</v>
      </c>
      <c r="I301" s="16"/>
    </row>
    <row r="302" spans="2:10" x14ac:dyDescent="0.4">
      <c r="B302" s="14" t="s">
        <v>1919</v>
      </c>
      <c r="C302" s="14" t="s">
        <v>1920</v>
      </c>
      <c r="D302" s="14" t="s">
        <v>1921</v>
      </c>
      <c r="E302" s="14"/>
      <c r="F302" s="14"/>
      <c r="G302" s="15"/>
      <c r="H302" s="14"/>
      <c r="I302" s="16" t="s">
        <v>1304</v>
      </c>
    </row>
    <row r="303" spans="2:10" x14ac:dyDescent="0.4">
      <c r="B303" s="14" t="s">
        <v>1922</v>
      </c>
      <c r="C303" s="14" t="s">
        <v>1923</v>
      </c>
      <c r="D303" s="14" t="s">
        <v>1924</v>
      </c>
      <c r="E303" s="14" t="s">
        <v>1261</v>
      </c>
      <c r="F303" s="14" t="s">
        <v>989</v>
      </c>
      <c r="G303" s="15">
        <v>2</v>
      </c>
      <c r="H303" s="14" t="s">
        <v>2511</v>
      </c>
      <c r="I303" s="16"/>
    </row>
    <row r="304" spans="2:10" ht="18" customHeight="1" x14ac:dyDescent="0.4">
      <c r="B304" s="14" t="s">
        <v>1925</v>
      </c>
      <c r="C304" s="14" t="s">
        <v>1926</v>
      </c>
      <c r="D304" s="14" t="s">
        <v>1927</v>
      </c>
      <c r="E304" s="14" t="s">
        <v>1261</v>
      </c>
      <c r="F304" s="14" t="s">
        <v>1223</v>
      </c>
      <c r="G304" s="14">
        <v>1</v>
      </c>
      <c r="H304" s="14" t="s">
        <v>2511</v>
      </c>
      <c r="I304" s="14"/>
      <c r="J304" s="39"/>
    </row>
    <row r="305" spans="2:9" x14ac:dyDescent="0.4">
      <c r="B305" s="14" t="s">
        <v>1928</v>
      </c>
      <c r="C305" s="14" t="s">
        <v>1929</v>
      </c>
      <c r="D305" s="14" t="s">
        <v>1930</v>
      </c>
      <c r="E305" s="16" t="s">
        <v>1217</v>
      </c>
      <c r="F305" s="14" t="s">
        <v>1246</v>
      </c>
      <c r="G305" s="14"/>
      <c r="H305" s="14" t="s">
        <v>2511</v>
      </c>
      <c r="I305" s="14"/>
    </row>
    <row r="306" spans="2:9" x14ac:dyDescent="0.4">
      <c r="B306" s="14" t="s">
        <v>1931</v>
      </c>
      <c r="C306" s="14" t="s">
        <v>1932</v>
      </c>
      <c r="D306" s="14" t="s">
        <v>1933</v>
      </c>
      <c r="E306" s="14" t="s">
        <v>1217</v>
      </c>
      <c r="F306" s="14" t="s">
        <v>1246</v>
      </c>
      <c r="G306" s="16"/>
      <c r="H306" s="14" t="s">
        <v>2511</v>
      </c>
      <c r="I306" s="16"/>
    </row>
    <row r="307" spans="2:9" x14ac:dyDescent="0.4">
      <c r="B307" s="14" t="s">
        <v>1934</v>
      </c>
      <c r="C307" s="14" t="s">
        <v>1935</v>
      </c>
      <c r="D307" s="14" t="s">
        <v>1936</v>
      </c>
      <c r="E307" s="14" t="s">
        <v>1937</v>
      </c>
      <c r="F307" s="14" t="s">
        <v>1250</v>
      </c>
      <c r="G307" s="16">
        <v>5</v>
      </c>
      <c r="H307" s="14" t="s">
        <v>2511</v>
      </c>
      <c r="I307" s="16" t="s">
        <v>1938</v>
      </c>
    </row>
    <row r="308" spans="2:9" x14ac:dyDescent="0.4">
      <c r="B308" s="14" t="s">
        <v>1939</v>
      </c>
      <c r="C308" s="14" t="s">
        <v>1940</v>
      </c>
      <c r="D308" s="14" t="s">
        <v>1941</v>
      </c>
      <c r="E308" s="14" t="s">
        <v>1261</v>
      </c>
      <c r="F308" s="14" t="s">
        <v>1246</v>
      </c>
      <c r="G308" s="16"/>
      <c r="H308" s="14" t="s">
        <v>2511</v>
      </c>
      <c r="I308" s="16"/>
    </row>
    <row r="309" spans="2:9" x14ac:dyDescent="0.4">
      <c r="B309" s="14" t="s">
        <v>1942</v>
      </c>
      <c r="C309" s="14" t="s">
        <v>1943</v>
      </c>
      <c r="D309" s="14" t="s">
        <v>1944</v>
      </c>
      <c r="E309" s="14" t="s">
        <v>1261</v>
      </c>
      <c r="F309" s="14" t="s">
        <v>989</v>
      </c>
      <c r="G309" s="16">
        <v>6</v>
      </c>
      <c r="H309" s="14" t="s">
        <v>2511</v>
      </c>
      <c r="I309" s="16"/>
    </row>
    <row r="310" spans="2:9" x14ac:dyDescent="0.4">
      <c r="B310" s="14" t="s">
        <v>1945</v>
      </c>
      <c r="C310" s="14" t="s">
        <v>1946</v>
      </c>
      <c r="D310" s="14" t="s">
        <v>1944</v>
      </c>
      <c r="E310" s="14" t="s">
        <v>1217</v>
      </c>
      <c r="F310" s="14" t="s">
        <v>989</v>
      </c>
      <c r="G310" s="16">
        <v>6</v>
      </c>
      <c r="H310" s="14" t="s">
        <v>2511</v>
      </c>
      <c r="I310" s="16"/>
    </row>
    <row r="311" spans="2:9" x14ac:dyDescent="0.4">
      <c r="B311" s="14" t="s">
        <v>1947</v>
      </c>
      <c r="C311" s="14" t="s">
        <v>1948</v>
      </c>
      <c r="D311" s="14" t="s">
        <v>1944</v>
      </c>
      <c r="E311" s="14" t="s">
        <v>1261</v>
      </c>
      <c r="F311" s="14" t="s">
        <v>1218</v>
      </c>
      <c r="G311" s="16">
        <v>5</v>
      </c>
      <c r="H311" s="14" t="s">
        <v>2511</v>
      </c>
      <c r="I311" s="16"/>
    </row>
    <row r="312" spans="2:9" x14ac:dyDescent="0.4">
      <c r="B312" s="14" t="s">
        <v>1949</v>
      </c>
      <c r="C312" s="14" t="s">
        <v>1950</v>
      </c>
      <c r="D312" s="14" t="s">
        <v>1944</v>
      </c>
      <c r="E312" s="14" t="s">
        <v>1217</v>
      </c>
      <c r="F312" s="14" t="s">
        <v>1218</v>
      </c>
      <c r="G312" s="16">
        <v>5</v>
      </c>
      <c r="H312" s="14" t="s">
        <v>2511</v>
      </c>
      <c r="I312" s="16"/>
    </row>
    <row r="313" spans="2:9" x14ac:dyDescent="0.4">
      <c r="B313" s="14" t="s">
        <v>1951</v>
      </c>
      <c r="C313" s="14" t="s">
        <v>1952</v>
      </c>
      <c r="D313" s="14" t="s">
        <v>1944</v>
      </c>
      <c r="E313" s="14" t="s">
        <v>1261</v>
      </c>
      <c r="F313" s="14" t="s">
        <v>990</v>
      </c>
      <c r="G313" s="16">
        <v>5</v>
      </c>
      <c r="H313" s="14" t="s">
        <v>2511</v>
      </c>
      <c r="I313" s="16"/>
    </row>
    <row r="314" spans="2:9" x14ac:dyDescent="0.4">
      <c r="B314" s="14" t="s">
        <v>1953</v>
      </c>
      <c r="C314" s="14" t="s">
        <v>1954</v>
      </c>
      <c r="D314" s="14" t="s">
        <v>1944</v>
      </c>
      <c r="E314" s="14" t="s">
        <v>1217</v>
      </c>
      <c r="F314" s="14" t="s">
        <v>990</v>
      </c>
      <c r="G314" s="16">
        <v>5</v>
      </c>
      <c r="H314" s="14" t="s">
        <v>2511</v>
      </c>
      <c r="I314" s="16"/>
    </row>
    <row r="315" spans="2:9" x14ac:dyDescent="0.4">
      <c r="B315" s="14" t="s">
        <v>1955</v>
      </c>
      <c r="C315" s="14" t="s">
        <v>1956</v>
      </c>
      <c r="D315" s="14" t="s">
        <v>1944</v>
      </c>
      <c r="E315" s="14" t="s">
        <v>1937</v>
      </c>
      <c r="F315" s="14" t="s">
        <v>1883</v>
      </c>
      <c r="G315" s="16"/>
      <c r="H315" s="14" t="s">
        <v>2511</v>
      </c>
      <c r="I315" s="16" t="s">
        <v>1938</v>
      </c>
    </row>
    <row r="316" spans="2:9" x14ac:dyDescent="0.4">
      <c r="B316" s="14" t="s">
        <v>1957</v>
      </c>
      <c r="C316" s="14" t="s">
        <v>1958</v>
      </c>
      <c r="D316" s="14" t="s">
        <v>1944</v>
      </c>
      <c r="E316" s="16" t="s">
        <v>1261</v>
      </c>
      <c r="F316" s="16" t="s">
        <v>1246</v>
      </c>
      <c r="G316" s="16"/>
      <c r="H316" s="14" t="s">
        <v>2511</v>
      </c>
      <c r="I316" s="14"/>
    </row>
    <row r="317" spans="2:9" x14ac:dyDescent="0.4">
      <c r="B317" s="14" t="s">
        <v>1957</v>
      </c>
      <c r="C317" s="14" t="s">
        <v>1959</v>
      </c>
      <c r="D317" s="14" t="s">
        <v>1944</v>
      </c>
      <c r="E317" s="16" t="s">
        <v>1217</v>
      </c>
      <c r="F317" s="16" t="s">
        <v>1246</v>
      </c>
      <c r="G317" s="16"/>
      <c r="H317" s="14" t="s">
        <v>2511</v>
      </c>
      <c r="I317" s="14"/>
    </row>
    <row r="318" spans="2:9" x14ac:dyDescent="0.4">
      <c r="B318" s="14" t="s">
        <v>1960</v>
      </c>
      <c r="C318" s="14" t="s">
        <v>1961</v>
      </c>
      <c r="D318" s="14" t="s">
        <v>1944</v>
      </c>
      <c r="E318" s="16" t="s">
        <v>1261</v>
      </c>
      <c r="F318" s="16" t="s">
        <v>1246</v>
      </c>
      <c r="G318" s="16"/>
      <c r="H318" s="14" t="s">
        <v>2511</v>
      </c>
      <c r="I318" s="14"/>
    </row>
    <row r="319" spans="2:9" x14ac:dyDescent="0.4">
      <c r="B319" s="14" t="s">
        <v>1960</v>
      </c>
      <c r="C319" s="14" t="s">
        <v>1962</v>
      </c>
      <c r="D319" s="14" t="s">
        <v>1944</v>
      </c>
      <c r="E319" s="14" t="s">
        <v>1217</v>
      </c>
      <c r="F319" s="14" t="s">
        <v>1246</v>
      </c>
      <c r="G319" s="16"/>
      <c r="H319" s="14" t="s">
        <v>2511</v>
      </c>
      <c r="I319" s="16"/>
    </row>
    <row r="320" spans="2:9" x14ac:dyDescent="0.4">
      <c r="B320" s="14" t="s">
        <v>1963</v>
      </c>
      <c r="C320" s="14" t="s">
        <v>1964</v>
      </c>
      <c r="D320" s="14" t="s">
        <v>1944</v>
      </c>
      <c r="E320" s="14" t="s">
        <v>1261</v>
      </c>
      <c r="F320" s="14" t="s">
        <v>1246</v>
      </c>
      <c r="G320" s="16"/>
      <c r="H320" s="14" t="s">
        <v>2511</v>
      </c>
      <c r="I320" s="16"/>
    </row>
    <row r="321" spans="2:10" x14ac:dyDescent="0.4">
      <c r="B321" s="14" t="s">
        <v>1963</v>
      </c>
      <c r="C321" s="14" t="s">
        <v>1965</v>
      </c>
      <c r="D321" s="14" t="s">
        <v>1944</v>
      </c>
      <c r="E321" s="14" t="s">
        <v>1217</v>
      </c>
      <c r="F321" s="14" t="s">
        <v>1246</v>
      </c>
      <c r="G321" s="16"/>
      <c r="H321" s="14" t="s">
        <v>2511</v>
      </c>
      <c r="I321" s="16"/>
    </row>
    <row r="322" spans="2:10" ht="18" customHeight="1" x14ac:dyDescent="0.4">
      <c r="B322" s="14" t="s">
        <v>1966</v>
      </c>
      <c r="C322" s="14" t="s">
        <v>1878</v>
      </c>
      <c r="D322" s="14" t="s">
        <v>1879</v>
      </c>
      <c r="E322" s="14" t="s">
        <v>1261</v>
      </c>
      <c r="F322" s="14" t="s">
        <v>990</v>
      </c>
      <c r="G322" s="14">
        <v>1</v>
      </c>
      <c r="H322" s="14" t="s">
        <v>2511</v>
      </c>
      <c r="I322" s="14"/>
      <c r="J322" s="39"/>
    </row>
    <row r="323" spans="2:10" x14ac:dyDescent="0.4">
      <c r="B323" s="14" t="s">
        <v>1967</v>
      </c>
      <c r="C323" s="14" t="s">
        <v>1968</v>
      </c>
      <c r="D323" s="14" t="s">
        <v>1969</v>
      </c>
      <c r="E323" s="16" t="s">
        <v>1261</v>
      </c>
      <c r="F323" s="14" t="s">
        <v>1218</v>
      </c>
      <c r="G323" s="14">
        <v>1</v>
      </c>
      <c r="H323" s="14" t="s">
        <v>2511</v>
      </c>
      <c r="I323" s="14"/>
    </row>
    <row r="324" spans="2:10" x14ac:dyDescent="0.4">
      <c r="B324" s="14" t="s">
        <v>1970</v>
      </c>
      <c r="C324" s="14" t="s">
        <v>1971</v>
      </c>
      <c r="D324" s="14" t="s">
        <v>1972</v>
      </c>
      <c r="E324" s="16"/>
      <c r="F324" s="16"/>
      <c r="G324" s="16"/>
      <c r="H324" s="14" t="s">
        <v>2511</v>
      </c>
      <c r="I324" s="14"/>
    </row>
    <row r="325" spans="2:10" x14ac:dyDescent="0.4">
      <c r="B325" s="14" t="s">
        <v>1973</v>
      </c>
      <c r="C325" s="14" t="s">
        <v>1974</v>
      </c>
      <c r="D325" s="14" t="s">
        <v>1975</v>
      </c>
      <c r="E325" s="14" t="s">
        <v>1261</v>
      </c>
      <c r="F325" s="14" t="s">
        <v>1246</v>
      </c>
      <c r="G325" s="15"/>
      <c r="H325" s="14" t="s">
        <v>2511</v>
      </c>
      <c r="I325" s="16"/>
    </row>
    <row r="326" spans="2:10" x14ac:dyDescent="0.4">
      <c r="B326" s="14" t="s">
        <v>1976</v>
      </c>
      <c r="C326" s="14" t="s">
        <v>1977</v>
      </c>
      <c r="D326" s="14" t="s">
        <v>1978</v>
      </c>
      <c r="E326" s="14" t="s">
        <v>1217</v>
      </c>
      <c r="F326" s="14" t="s">
        <v>990</v>
      </c>
      <c r="G326" s="15">
        <v>1</v>
      </c>
      <c r="H326" s="14" t="s">
        <v>2511</v>
      </c>
      <c r="I326" s="16"/>
    </row>
    <row r="327" spans="2:10" x14ac:dyDescent="0.4">
      <c r="B327" s="14" t="s">
        <v>1979</v>
      </c>
      <c r="C327" s="14" t="s">
        <v>1980</v>
      </c>
      <c r="D327" s="14" t="s">
        <v>1981</v>
      </c>
      <c r="E327" s="16" t="s">
        <v>1261</v>
      </c>
      <c r="F327" s="16" t="s">
        <v>1223</v>
      </c>
      <c r="G327" s="16">
        <v>1</v>
      </c>
      <c r="H327" s="14" t="s">
        <v>2511</v>
      </c>
      <c r="I327" s="14"/>
    </row>
    <row r="328" spans="2:10" x14ac:dyDescent="0.4">
      <c r="B328" s="14" t="s">
        <v>1982</v>
      </c>
      <c r="C328" s="14" t="s">
        <v>1983</v>
      </c>
      <c r="D328" s="14" t="s">
        <v>1984</v>
      </c>
      <c r="E328" s="16" t="s">
        <v>1217</v>
      </c>
      <c r="F328" s="16" t="s">
        <v>1246</v>
      </c>
      <c r="G328" s="16"/>
      <c r="H328" s="14" t="s">
        <v>2511</v>
      </c>
      <c r="I328" s="14"/>
    </row>
    <row r="329" spans="2:10" x14ac:dyDescent="0.4">
      <c r="B329" s="14" t="s">
        <v>1985</v>
      </c>
      <c r="C329" s="14" t="s">
        <v>1986</v>
      </c>
      <c r="D329" s="14" t="s">
        <v>1987</v>
      </c>
      <c r="E329" s="14" t="s">
        <v>1261</v>
      </c>
      <c r="F329" s="14" t="s">
        <v>1218</v>
      </c>
      <c r="G329" s="16" t="s">
        <v>1269</v>
      </c>
      <c r="H329" s="14" t="s">
        <v>2511</v>
      </c>
      <c r="I329" s="16"/>
    </row>
    <row r="330" spans="2:10" x14ac:dyDescent="0.4">
      <c r="B330" s="14" t="s">
        <v>1988</v>
      </c>
      <c r="C330" s="14" t="s">
        <v>1989</v>
      </c>
      <c r="D330" s="14" t="s">
        <v>1990</v>
      </c>
      <c r="E330" s="14" t="s">
        <v>1217</v>
      </c>
      <c r="F330" s="14" t="s">
        <v>1250</v>
      </c>
      <c r="G330" s="16">
        <v>4</v>
      </c>
      <c r="H330" s="14" t="s">
        <v>2511</v>
      </c>
      <c r="I330" s="16"/>
    </row>
    <row r="331" spans="2:10" x14ac:dyDescent="0.4">
      <c r="B331" s="14" t="s">
        <v>1991</v>
      </c>
      <c r="C331" s="14" t="s">
        <v>1992</v>
      </c>
      <c r="D331" s="14" t="s">
        <v>1993</v>
      </c>
      <c r="E331" s="14" t="s">
        <v>1261</v>
      </c>
      <c r="F331" s="14" t="s">
        <v>1218</v>
      </c>
      <c r="G331" s="15">
        <v>2</v>
      </c>
      <c r="H331" s="14" t="s">
        <v>2511</v>
      </c>
      <c r="I331" s="14"/>
    </row>
    <row r="332" spans="2:10" x14ac:dyDescent="0.4">
      <c r="B332" s="14" t="s">
        <v>1994</v>
      </c>
      <c r="C332" s="14" t="s">
        <v>1995</v>
      </c>
      <c r="D332" s="14" t="s">
        <v>1996</v>
      </c>
      <c r="E332" s="14" t="s">
        <v>1261</v>
      </c>
      <c r="F332" s="14" t="s">
        <v>990</v>
      </c>
      <c r="G332" s="16">
        <v>3</v>
      </c>
      <c r="H332" s="14" t="s">
        <v>2511</v>
      </c>
      <c r="I332" s="16"/>
    </row>
    <row r="333" spans="2:10" x14ac:dyDescent="0.4">
      <c r="B333" s="14" t="s">
        <v>1997</v>
      </c>
      <c r="C333" s="14" t="s">
        <v>1998</v>
      </c>
      <c r="D333" s="14" t="s">
        <v>1999</v>
      </c>
      <c r="E333" s="14" t="s">
        <v>1261</v>
      </c>
      <c r="F333" s="14" t="s">
        <v>1223</v>
      </c>
      <c r="G333" s="15">
        <v>1</v>
      </c>
      <c r="H333" s="14" t="s">
        <v>2511</v>
      </c>
      <c r="I333" s="16"/>
    </row>
    <row r="334" spans="2:10" x14ac:dyDescent="0.4">
      <c r="B334" s="14" t="s">
        <v>2000</v>
      </c>
      <c r="C334" s="14" t="s">
        <v>2001</v>
      </c>
      <c r="D334" s="14" t="s">
        <v>2002</v>
      </c>
      <c r="E334" s="14" t="s">
        <v>1261</v>
      </c>
      <c r="F334" s="14" t="s">
        <v>1250</v>
      </c>
      <c r="G334" s="15">
        <v>1</v>
      </c>
      <c r="H334" s="14" t="s">
        <v>2511</v>
      </c>
      <c r="I334" s="16"/>
    </row>
    <row r="335" spans="2:10" x14ac:dyDescent="0.4">
      <c r="B335" s="14" t="s">
        <v>2003</v>
      </c>
      <c r="C335" s="14" t="s">
        <v>2004</v>
      </c>
      <c r="D335" s="14" t="s">
        <v>2005</v>
      </c>
      <c r="E335" s="14"/>
      <c r="F335" s="14"/>
      <c r="G335" s="15"/>
      <c r="H335" s="14"/>
      <c r="I335" s="16" t="s">
        <v>1304</v>
      </c>
    </row>
    <row r="336" spans="2:10" x14ac:dyDescent="0.4">
      <c r="B336" s="14" t="s">
        <v>2006</v>
      </c>
      <c r="C336" s="14" t="s">
        <v>2007</v>
      </c>
      <c r="D336" s="14" t="s">
        <v>2008</v>
      </c>
      <c r="E336" s="14" t="s">
        <v>1261</v>
      </c>
      <c r="F336" s="14" t="s">
        <v>1218</v>
      </c>
      <c r="G336" s="15">
        <v>2</v>
      </c>
      <c r="H336" s="14" t="s">
        <v>2511</v>
      </c>
      <c r="I336" s="16"/>
    </row>
    <row r="337" spans="2:10" x14ac:dyDescent="0.4">
      <c r="B337" s="14" t="s">
        <v>2009</v>
      </c>
      <c r="C337" s="14" t="s">
        <v>2010</v>
      </c>
      <c r="D337" s="14" t="s">
        <v>2011</v>
      </c>
      <c r="E337" s="14" t="s">
        <v>1217</v>
      </c>
      <c r="F337" s="14" t="s">
        <v>1218</v>
      </c>
      <c r="G337" s="15">
        <v>1</v>
      </c>
      <c r="H337" s="14" t="s">
        <v>2511</v>
      </c>
      <c r="I337" s="16"/>
    </row>
    <row r="338" spans="2:10" x14ac:dyDescent="0.4">
      <c r="B338" s="14" t="s">
        <v>2012</v>
      </c>
      <c r="C338" s="14" t="s">
        <v>2013</v>
      </c>
      <c r="D338" s="14" t="s">
        <v>2014</v>
      </c>
      <c r="E338" s="14" t="s">
        <v>1217</v>
      </c>
      <c r="F338" s="14" t="s">
        <v>1250</v>
      </c>
      <c r="G338" s="15">
        <v>3</v>
      </c>
      <c r="H338" s="14" t="s">
        <v>2511</v>
      </c>
      <c r="I338" s="16"/>
    </row>
    <row r="339" spans="2:10" x14ac:dyDescent="0.4">
      <c r="B339" s="14" t="s">
        <v>2015</v>
      </c>
      <c r="C339" s="14" t="s">
        <v>2016</v>
      </c>
      <c r="D339" s="14" t="s">
        <v>2014</v>
      </c>
      <c r="E339" s="14" t="s">
        <v>1217</v>
      </c>
      <c r="F339" s="14" t="s">
        <v>1250</v>
      </c>
      <c r="G339" s="16">
        <v>3</v>
      </c>
      <c r="H339" s="14" t="s">
        <v>2511</v>
      </c>
      <c r="I339" s="14"/>
    </row>
    <row r="340" spans="2:10" x14ac:dyDescent="0.4">
      <c r="B340" s="14" t="s">
        <v>2017</v>
      </c>
      <c r="C340" s="14" t="s">
        <v>2018</v>
      </c>
      <c r="D340" s="14" t="s">
        <v>2014</v>
      </c>
      <c r="E340" s="14" t="s">
        <v>1217</v>
      </c>
      <c r="F340" s="14" t="s">
        <v>1250</v>
      </c>
      <c r="G340" s="16">
        <v>3</v>
      </c>
      <c r="H340" s="14" t="s">
        <v>2511</v>
      </c>
      <c r="I340" s="16"/>
    </row>
    <row r="341" spans="2:10" x14ac:dyDescent="0.4">
      <c r="B341" s="14" t="s">
        <v>2019</v>
      </c>
      <c r="C341" s="14" t="s">
        <v>2020</v>
      </c>
      <c r="D341" s="14" t="s">
        <v>2014</v>
      </c>
      <c r="E341" s="14" t="s">
        <v>1217</v>
      </c>
      <c r="F341" s="14" t="s">
        <v>1250</v>
      </c>
      <c r="G341" s="16">
        <v>3</v>
      </c>
      <c r="H341" s="14" t="s">
        <v>2511</v>
      </c>
      <c r="I341" s="16"/>
    </row>
    <row r="342" spans="2:10" x14ac:dyDescent="0.4">
      <c r="B342" s="188" t="s">
        <v>2021</v>
      </c>
      <c r="C342" s="14" t="s">
        <v>2022</v>
      </c>
      <c r="D342" s="14" t="s">
        <v>2014</v>
      </c>
      <c r="E342" s="14" t="s">
        <v>1217</v>
      </c>
      <c r="F342" s="14" t="s">
        <v>1250</v>
      </c>
      <c r="G342" s="16">
        <v>3</v>
      </c>
      <c r="H342" s="14" t="s">
        <v>2511</v>
      </c>
      <c r="I342" s="16"/>
    </row>
    <row r="343" spans="2:10" x14ac:dyDescent="0.4">
      <c r="B343" s="14" t="s">
        <v>2023</v>
      </c>
      <c r="C343" s="14" t="s">
        <v>2024</v>
      </c>
      <c r="D343" s="14" t="s">
        <v>2014</v>
      </c>
      <c r="E343" s="14" t="s">
        <v>1217</v>
      </c>
      <c r="F343" s="14" t="s">
        <v>1250</v>
      </c>
      <c r="G343" s="16">
        <v>3</v>
      </c>
      <c r="H343" s="14" t="s">
        <v>2511</v>
      </c>
      <c r="I343" s="16"/>
    </row>
    <row r="344" spans="2:10" x14ac:dyDescent="0.4">
      <c r="B344" s="14" t="s">
        <v>2025</v>
      </c>
      <c r="C344" s="14" t="s">
        <v>2026</v>
      </c>
      <c r="D344" s="14" t="s">
        <v>2027</v>
      </c>
      <c r="E344" s="14" t="s">
        <v>1261</v>
      </c>
      <c r="F344" s="14" t="s">
        <v>1250</v>
      </c>
      <c r="G344" s="16">
        <v>4</v>
      </c>
      <c r="H344" s="14" t="s">
        <v>2511</v>
      </c>
      <c r="I344" s="16"/>
    </row>
    <row r="345" spans="2:10" x14ac:dyDescent="0.4">
      <c r="B345" s="14" t="s">
        <v>2028</v>
      </c>
      <c r="C345" s="14" t="s">
        <v>2029</v>
      </c>
      <c r="D345" s="14" t="s">
        <v>2030</v>
      </c>
      <c r="E345" s="14" t="s">
        <v>1261</v>
      </c>
      <c r="F345" s="14" t="s">
        <v>1223</v>
      </c>
      <c r="G345" s="16">
        <v>2</v>
      </c>
      <c r="H345" s="14" t="s">
        <v>2511</v>
      </c>
      <c r="I345" s="16"/>
    </row>
    <row r="346" spans="2:10" ht="18" customHeight="1" x14ac:dyDescent="0.4">
      <c r="B346" s="14" t="s">
        <v>2031</v>
      </c>
      <c r="C346" s="14" t="s">
        <v>2032</v>
      </c>
      <c r="D346" s="14" t="s">
        <v>2033</v>
      </c>
      <c r="E346" s="14" t="s">
        <v>1217</v>
      </c>
      <c r="F346" s="14" t="s">
        <v>989</v>
      </c>
      <c r="G346" s="14">
        <v>2</v>
      </c>
      <c r="H346" s="14" t="s">
        <v>2511</v>
      </c>
      <c r="I346" s="14"/>
      <c r="J346" s="39"/>
    </row>
    <row r="347" spans="2:10" x14ac:dyDescent="0.4">
      <c r="B347" s="14" t="s">
        <v>2034</v>
      </c>
      <c r="C347" s="14" t="s">
        <v>2035</v>
      </c>
      <c r="D347" s="14" t="s">
        <v>2036</v>
      </c>
      <c r="E347" s="16" t="s">
        <v>1261</v>
      </c>
      <c r="F347" s="14" t="s">
        <v>989</v>
      </c>
      <c r="G347" s="14">
        <v>2</v>
      </c>
      <c r="H347" s="14" t="s">
        <v>2511</v>
      </c>
      <c r="I347" s="14"/>
    </row>
    <row r="348" spans="2:10" x14ac:dyDescent="0.4">
      <c r="B348" s="14" t="s">
        <v>2037</v>
      </c>
      <c r="C348" s="14" t="s">
        <v>2038</v>
      </c>
      <c r="D348" s="14" t="s">
        <v>2039</v>
      </c>
      <c r="E348" s="14" t="s">
        <v>1261</v>
      </c>
      <c r="F348" s="14" t="s">
        <v>990</v>
      </c>
      <c r="G348" s="15">
        <v>2</v>
      </c>
      <c r="H348" s="14" t="s">
        <v>2511</v>
      </c>
      <c r="I348" s="16"/>
    </row>
    <row r="349" spans="2:10" x14ac:dyDescent="0.4">
      <c r="B349" s="14" t="s">
        <v>2040</v>
      </c>
      <c r="C349" s="14" t="s">
        <v>2041</v>
      </c>
      <c r="D349" s="14" t="s">
        <v>2042</v>
      </c>
      <c r="E349" s="14" t="s">
        <v>1261</v>
      </c>
      <c r="F349" s="14" t="s">
        <v>1246</v>
      </c>
      <c r="G349" s="15"/>
      <c r="H349" s="14" t="s">
        <v>2511</v>
      </c>
      <c r="I349" s="16"/>
    </row>
    <row r="350" spans="2:10" x14ac:dyDescent="0.4">
      <c r="B350" s="188" t="s">
        <v>2043</v>
      </c>
      <c r="C350" s="14" t="s">
        <v>2044</v>
      </c>
      <c r="D350" s="14" t="s">
        <v>2045</v>
      </c>
      <c r="E350" s="14" t="s">
        <v>1261</v>
      </c>
      <c r="F350" s="14" t="s">
        <v>1246</v>
      </c>
      <c r="G350" s="16"/>
      <c r="H350" s="14" t="s">
        <v>2511</v>
      </c>
      <c r="I350" s="14"/>
    </row>
    <row r="351" spans="2:10" x14ac:dyDescent="0.4">
      <c r="B351" s="188" t="s">
        <v>2046</v>
      </c>
      <c r="C351" s="14" t="s">
        <v>2047</v>
      </c>
      <c r="D351" s="14" t="s">
        <v>2048</v>
      </c>
      <c r="E351" s="14" t="s">
        <v>1261</v>
      </c>
      <c r="F351" s="14" t="s">
        <v>1246</v>
      </c>
      <c r="G351" s="15"/>
      <c r="H351" s="14" t="s">
        <v>2511</v>
      </c>
      <c r="I351" s="16"/>
    </row>
    <row r="352" spans="2:10" x14ac:dyDescent="0.4">
      <c r="B352" s="14" t="s">
        <v>2049</v>
      </c>
      <c r="C352" s="14" t="s">
        <v>2050</v>
      </c>
      <c r="D352" s="14" t="s">
        <v>2051</v>
      </c>
      <c r="E352" s="14" t="s">
        <v>1261</v>
      </c>
      <c r="F352" s="14" t="s">
        <v>1557</v>
      </c>
      <c r="G352" s="16"/>
      <c r="H352" s="14" t="s">
        <v>2511</v>
      </c>
      <c r="I352" s="14"/>
    </row>
    <row r="353" spans="2:9" x14ac:dyDescent="0.4">
      <c r="B353" s="14" t="s">
        <v>2052</v>
      </c>
      <c r="C353" s="14" t="s">
        <v>2053</v>
      </c>
      <c r="D353" s="14" t="s">
        <v>2051</v>
      </c>
      <c r="E353" s="14" t="s">
        <v>1217</v>
      </c>
      <c r="F353" s="14" t="s">
        <v>1557</v>
      </c>
      <c r="G353" s="15"/>
      <c r="H353" s="14" t="s">
        <v>2511</v>
      </c>
      <c r="I353" s="16"/>
    </row>
    <row r="354" spans="2:9" x14ac:dyDescent="0.4">
      <c r="B354" s="14" t="s">
        <v>2054</v>
      </c>
      <c r="C354" s="14" t="s">
        <v>2055</v>
      </c>
      <c r="D354" s="14" t="s">
        <v>2051</v>
      </c>
      <c r="E354" s="14" t="s">
        <v>1261</v>
      </c>
      <c r="F354" s="14" t="s">
        <v>1557</v>
      </c>
      <c r="G354" s="15"/>
      <c r="H354" s="14" t="s">
        <v>2511</v>
      </c>
      <c r="I354" s="16"/>
    </row>
    <row r="355" spans="2:9" x14ac:dyDescent="0.4">
      <c r="B355" s="14" t="s">
        <v>2056</v>
      </c>
      <c r="C355" s="14" t="s">
        <v>2057</v>
      </c>
      <c r="D355" s="14" t="s">
        <v>2051</v>
      </c>
      <c r="E355" s="14" t="s">
        <v>1217</v>
      </c>
      <c r="F355" s="14" t="s">
        <v>1557</v>
      </c>
      <c r="G355" s="309"/>
      <c r="H355" s="14" t="s">
        <v>2511</v>
      </c>
      <c r="I355" s="309"/>
    </row>
    <row r="356" spans="2:9" x14ac:dyDescent="0.4">
      <c r="B356" s="14" t="s">
        <v>2058</v>
      </c>
      <c r="C356" s="14" t="s">
        <v>2059</v>
      </c>
      <c r="D356" s="14" t="s">
        <v>2060</v>
      </c>
      <c r="E356" s="309" t="s">
        <v>1261</v>
      </c>
      <c r="F356" s="309" t="s">
        <v>1557</v>
      </c>
      <c r="G356" s="309"/>
      <c r="H356" s="14" t="s">
        <v>2511</v>
      </c>
      <c r="I356" s="14"/>
    </row>
    <row r="357" spans="2:9" x14ac:dyDescent="0.4">
      <c r="B357" s="14" t="s">
        <v>2061</v>
      </c>
      <c r="C357" s="14" t="s">
        <v>2062</v>
      </c>
      <c r="D357" s="14" t="s">
        <v>2060</v>
      </c>
      <c r="E357" s="14" t="s">
        <v>1217</v>
      </c>
      <c r="F357" s="14" t="s">
        <v>1557</v>
      </c>
      <c r="G357" s="309"/>
      <c r="H357" s="14" t="s">
        <v>2511</v>
      </c>
      <c r="I357" s="309"/>
    </row>
    <row r="358" spans="2:9" x14ac:dyDescent="0.4">
      <c r="B358" s="14" t="s">
        <v>2063</v>
      </c>
      <c r="C358" s="14" t="s">
        <v>2064</v>
      </c>
      <c r="D358" s="14" t="s">
        <v>2060</v>
      </c>
      <c r="E358" s="14" t="s">
        <v>1261</v>
      </c>
      <c r="F358" s="14" t="s">
        <v>1557</v>
      </c>
      <c r="G358" s="308"/>
      <c r="H358" s="14" t="s">
        <v>2511</v>
      </c>
      <c r="I358" s="309"/>
    </row>
    <row r="359" spans="2:9" x14ac:dyDescent="0.4">
      <c r="B359" s="14" t="s">
        <v>2065</v>
      </c>
      <c r="C359" s="14" t="s">
        <v>2066</v>
      </c>
      <c r="D359" s="14" t="s">
        <v>2060</v>
      </c>
      <c r="E359" s="14" t="s">
        <v>1217</v>
      </c>
      <c r="F359" s="14" t="s">
        <v>1557</v>
      </c>
      <c r="G359" s="308"/>
      <c r="H359" s="14" t="s">
        <v>2511</v>
      </c>
      <c r="I359" s="309"/>
    </row>
    <row r="360" spans="2:9" x14ac:dyDescent="0.4">
      <c r="B360" s="14" t="s">
        <v>2067</v>
      </c>
      <c r="C360" s="14" t="s">
        <v>2068</v>
      </c>
      <c r="D360" s="14" t="s">
        <v>2069</v>
      </c>
      <c r="E360" s="14" t="s">
        <v>1261</v>
      </c>
      <c r="F360" s="14" t="s">
        <v>1557</v>
      </c>
      <c r="G360" s="308"/>
      <c r="H360" s="14" t="s">
        <v>2511</v>
      </c>
      <c r="I360" s="309"/>
    </row>
    <row r="361" spans="2:9" x14ac:dyDescent="0.4">
      <c r="B361" s="14" t="s">
        <v>2070</v>
      </c>
      <c r="C361" s="14" t="s">
        <v>2071</v>
      </c>
      <c r="D361" s="14" t="s">
        <v>2069</v>
      </c>
      <c r="E361" s="14" t="s">
        <v>1217</v>
      </c>
      <c r="F361" s="14" t="s">
        <v>1557</v>
      </c>
      <c r="G361" s="308"/>
      <c r="H361" s="14" t="s">
        <v>2511</v>
      </c>
      <c r="I361" s="14"/>
    </row>
    <row r="362" spans="2:9" x14ac:dyDescent="0.4">
      <c r="B362" s="14" t="s">
        <v>2072</v>
      </c>
      <c r="C362" s="14" t="s">
        <v>2073</v>
      </c>
      <c r="D362" s="14" t="s">
        <v>2069</v>
      </c>
      <c r="E362" s="14" t="s">
        <v>1261</v>
      </c>
      <c r="F362" s="14" t="s">
        <v>1557</v>
      </c>
      <c r="G362" s="308"/>
      <c r="H362" s="14" t="s">
        <v>2511</v>
      </c>
      <c r="I362" s="309"/>
    </row>
    <row r="363" spans="2:9" x14ac:dyDescent="0.4">
      <c r="B363" s="14" t="s">
        <v>2074</v>
      </c>
      <c r="C363" s="14" t="s">
        <v>2075</v>
      </c>
      <c r="D363" s="14" t="s">
        <v>2069</v>
      </c>
      <c r="E363" s="14" t="s">
        <v>1217</v>
      </c>
      <c r="F363" s="14" t="s">
        <v>1557</v>
      </c>
      <c r="G363" s="308"/>
      <c r="H363" s="14" t="s">
        <v>2511</v>
      </c>
      <c r="I363" s="309"/>
    </row>
    <row r="364" spans="2:9" x14ac:dyDescent="0.4">
      <c r="B364" s="14" t="s">
        <v>2076</v>
      </c>
      <c r="C364" s="14" t="s">
        <v>2077</v>
      </c>
      <c r="D364" s="14" t="s">
        <v>2042</v>
      </c>
      <c r="E364" s="14" t="s">
        <v>1261</v>
      </c>
      <c r="F364" s="14" t="s">
        <v>1246</v>
      </c>
      <c r="G364" s="308"/>
      <c r="H364" s="14" t="s">
        <v>2511</v>
      </c>
      <c r="I364" s="309"/>
    </row>
    <row r="365" spans="2:9" x14ac:dyDescent="0.4">
      <c r="B365" s="188" t="s">
        <v>2076</v>
      </c>
      <c r="C365" s="14" t="s">
        <v>2078</v>
      </c>
      <c r="D365" s="14" t="s">
        <v>2042</v>
      </c>
      <c r="E365" s="14" t="s">
        <v>1217</v>
      </c>
      <c r="F365" s="14" t="s">
        <v>1246</v>
      </c>
      <c r="G365" s="15"/>
      <c r="H365" s="14" t="s">
        <v>2511</v>
      </c>
      <c r="I365" s="16"/>
    </row>
    <row r="366" spans="2:9" x14ac:dyDescent="0.4">
      <c r="B366" s="14" t="s">
        <v>2079</v>
      </c>
      <c r="C366" s="14" t="s">
        <v>2080</v>
      </c>
      <c r="D366" s="14" t="s">
        <v>2042</v>
      </c>
      <c r="E366" s="14" t="s">
        <v>1261</v>
      </c>
      <c r="F366" s="14" t="s">
        <v>1246</v>
      </c>
      <c r="G366" s="15"/>
      <c r="H366" s="14" t="s">
        <v>2511</v>
      </c>
      <c r="I366" s="16"/>
    </row>
    <row r="367" spans="2:9" x14ac:dyDescent="0.4">
      <c r="B367" s="14" t="s">
        <v>2079</v>
      </c>
      <c r="C367" s="14" t="s">
        <v>2081</v>
      </c>
      <c r="D367" s="14" t="s">
        <v>2042</v>
      </c>
      <c r="E367" s="14" t="s">
        <v>1217</v>
      </c>
      <c r="F367" s="14" t="s">
        <v>1246</v>
      </c>
      <c r="G367" s="15"/>
      <c r="H367" s="14" t="s">
        <v>2511</v>
      </c>
      <c r="I367" s="16"/>
    </row>
    <row r="368" spans="2:9" x14ac:dyDescent="0.4">
      <c r="B368" s="14" t="s">
        <v>2082</v>
      </c>
      <c r="C368" s="14" t="s">
        <v>2083</v>
      </c>
      <c r="D368" s="14" t="s">
        <v>2042</v>
      </c>
      <c r="E368" s="14" t="s">
        <v>1261</v>
      </c>
      <c r="F368" s="14" t="s">
        <v>1246</v>
      </c>
      <c r="G368" s="15"/>
      <c r="H368" s="14" t="s">
        <v>2511</v>
      </c>
      <c r="I368" s="16"/>
    </row>
    <row r="369" spans="2:9" x14ac:dyDescent="0.4">
      <c r="B369" s="14" t="s">
        <v>2082</v>
      </c>
      <c r="C369" s="14" t="s">
        <v>2084</v>
      </c>
      <c r="D369" s="14" t="s">
        <v>2042</v>
      </c>
      <c r="E369" s="14" t="s">
        <v>1217</v>
      </c>
      <c r="F369" s="14" t="s">
        <v>1246</v>
      </c>
      <c r="G369" s="15"/>
      <c r="H369" s="14" t="s">
        <v>2511</v>
      </c>
      <c r="I369" s="16"/>
    </row>
    <row r="370" spans="2:9" x14ac:dyDescent="0.4">
      <c r="B370" s="14" t="s">
        <v>2085</v>
      </c>
      <c r="C370" s="14" t="s">
        <v>2086</v>
      </c>
      <c r="D370" s="14" t="s">
        <v>2045</v>
      </c>
      <c r="E370" s="14" t="s">
        <v>1261</v>
      </c>
      <c r="F370" s="14" t="s">
        <v>1246</v>
      </c>
      <c r="G370" s="15"/>
      <c r="H370" s="14" t="s">
        <v>2511</v>
      </c>
      <c r="I370" s="16"/>
    </row>
    <row r="371" spans="2:9" x14ac:dyDescent="0.4">
      <c r="B371" s="14" t="s">
        <v>2085</v>
      </c>
      <c r="C371" s="14" t="s">
        <v>2087</v>
      </c>
      <c r="D371" s="14" t="s">
        <v>2045</v>
      </c>
      <c r="E371" s="14" t="s">
        <v>1217</v>
      </c>
      <c r="F371" s="14" t="s">
        <v>1246</v>
      </c>
      <c r="G371" s="15"/>
      <c r="H371" s="14" t="s">
        <v>2511</v>
      </c>
      <c r="I371" s="16"/>
    </row>
    <row r="372" spans="2:9" x14ac:dyDescent="0.4">
      <c r="B372" s="14" t="s">
        <v>2088</v>
      </c>
      <c r="C372" s="14" t="s">
        <v>2089</v>
      </c>
      <c r="D372" s="14" t="s">
        <v>2045</v>
      </c>
      <c r="E372" s="14" t="s">
        <v>1261</v>
      </c>
      <c r="F372" s="14" t="s">
        <v>1246</v>
      </c>
      <c r="G372" s="15"/>
      <c r="H372" s="14" t="s">
        <v>2511</v>
      </c>
      <c r="I372" s="16"/>
    </row>
    <row r="373" spans="2:9" x14ac:dyDescent="0.4">
      <c r="B373" s="14" t="s">
        <v>2088</v>
      </c>
      <c r="C373" s="14" t="s">
        <v>2090</v>
      </c>
      <c r="D373" s="14" t="s">
        <v>2045</v>
      </c>
      <c r="E373" s="14" t="s">
        <v>1217</v>
      </c>
      <c r="F373" s="14" t="s">
        <v>1246</v>
      </c>
      <c r="G373" s="15"/>
      <c r="H373" s="14" t="s">
        <v>2511</v>
      </c>
      <c r="I373" s="16"/>
    </row>
    <row r="374" spans="2:9" x14ac:dyDescent="0.4">
      <c r="B374" s="14" t="s">
        <v>2091</v>
      </c>
      <c r="C374" s="14" t="s">
        <v>2092</v>
      </c>
      <c r="D374" s="14" t="s">
        <v>2045</v>
      </c>
      <c r="E374" s="14" t="s">
        <v>1261</v>
      </c>
      <c r="F374" s="14" t="s">
        <v>1246</v>
      </c>
      <c r="G374" s="15"/>
      <c r="H374" s="14" t="s">
        <v>2511</v>
      </c>
      <c r="I374" s="16"/>
    </row>
    <row r="375" spans="2:9" x14ac:dyDescent="0.4">
      <c r="B375" s="14" t="s">
        <v>2091</v>
      </c>
      <c r="C375" s="14" t="s">
        <v>2093</v>
      </c>
      <c r="D375" s="14" t="s">
        <v>2045</v>
      </c>
      <c r="E375" s="14" t="s">
        <v>1217</v>
      </c>
      <c r="F375" s="14" t="s">
        <v>1246</v>
      </c>
      <c r="G375" s="15"/>
      <c r="H375" s="14" t="s">
        <v>2511</v>
      </c>
      <c r="I375" s="16"/>
    </row>
    <row r="376" spans="2:9" x14ac:dyDescent="0.4">
      <c r="B376" s="14" t="s">
        <v>2094</v>
      </c>
      <c r="C376" s="14" t="s">
        <v>2095</v>
      </c>
      <c r="D376" s="14" t="s">
        <v>2048</v>
      </c>
      <c r="E376" s="14" t="s">
        <v>1261</v>
      </c>
      <c r="F376" s="14" t="s">
        <v>1246</v>
      </c>
      <c r="G376" s="16"/>
      <c r="H376" s="14" t="s">
        <v>2511</v>
      </c>
      <c r="I376" s="16"/>
    </row>
    <row r="377" spans="2:9" ht="22.5" customHeight="1" x14ac:dyDescent="0.4">
      <c r="B377" s="14" t="s">
        <v>2094</v>
      </c>
      <c r="C377" s="14" t="s">
        <v>2096</v>
      </c>
      <c r="D377" s="14" t="s">
        <v>2048</v>
      </c>
      <c r="E377" s="14" t="s">
        <v>1217</v>
      </c>
      <c r="F377" s="14" t="s">
        <v>1246</v>
      </c>
      <c r="G377" s="16"/>
      <c r="H377" s="14" t="s">
        <v>2511</v>
      </c>
      <c r="I377" s="16"/>
    </row>
    <row r="378" spans="2:9" ht="22.5" customHeight="1" x14ac:dyDescent="0.4">
      <c r="B378" s="14" t="s">
        <v>2097</v>
      </c>
      <c r="C378" s="14" t="s">
        <v>2098</v>
      </c>
      <c r="D378" s="14" t="s">
        <v>2048</v>
      </c>
      <c r="E378" s="14" t="s">
        <v>1261</v>
      </c>
      <c r="F378" s="14" t="s">
        <v>1246</v>
      </c>
      <c r="G378" s="16"/>
      <c r="H378" s="14" t="s">
        <v>2511</v>
      </c>
      <c r="I378" s="16"/>
    </row>
    <row r="379" spans="2:9" x14ac:dyDescent="0.4">
      <c r="B379" s="14" t="s">
        <v>2097</v>
      </c>
      <c r="C379" s="14" t="s">
        <v>2099</v>
      </c>
      <c r="D379" s="14" t="s">
        <v>2048</v>
      </c>
      <c r="E379" s="16" t="s">
        <v>1217</v>
      </c>
      <c r="F379" s="14" t="s">
        <v>1246</v>
      </c>
      <c r="G379" s="14"/>
      <c r="H379" s="14" t="s">
        <v>2511</v>
      </c>
      <c r="I379" s="14"/>
    </row>
    <row r="380" spans="2:9" x14ac:dyDescent="0.4">
      <c r="B380" s="14" t="s">
        <v>2100</v>
      </c>
      <c r="C380" s="14" t="s">
        <v>2101</v>
      </c>
      <c r="D380" s="14" t="s">
        <v>2048</v>
      </c>
      <c r="E380" s="14" t="s">
        <v>1261</v>
      </c>
      <c r="F380" s="14" t="s">
        <v>1246</v>
      </c>
      <c r="G380" s="16"/>
      <c r="H380" s="14" t="s">
        <v>2511</v>
      </c>
      <c r="I380" s="16"/>
    </row>
    <row r="381" spans="2:9" x14ac:dyDescent="0.4">
      <c r="B381" s="14" t="s">
        <v>2100</v>
      </c>
      <c r="C381" s="14" t="s">
        <v>2102</v>
      </c>
      <c r="D381" s="14" t="s">
        <v>2048</v>
      </c>
      <c r="E381" s="14" t="s">
        <v>1217</v>
      </c>
      <c r="F381" s="14" t="s">
        <v>1246</v>
      </c>
      <c r="G381" s="16"/>
      <c r="H381" s="14" t="s">
        <v>2511</v>
      </c>
      <c r="I381" s="16"/>
    </row>
    <row r="382" spans="2:9" x14ac:dyDescent="0.4">
      <c r="B382" s="310" t="s">
        <v>2137</v>
      </c>
      <c r="C382" s="23" t="s">
        <v>2138</v>
      </c>
      <c r="D382" s="23" t="s">
        <v>2139</v>
      </c>
      <c r="E382" s="23" t="s">
        <v>1404</v>
      </c>
      <c r="F382" s="312" t="s">
        <v>2103</v>
      </c>
      <c r="G382" s="23"/>
      <c r="H382" s="14" t="s">
        <v>2511</v>
      </c>
      <c r="I382" s="4"/>
    </row>
    <row r="383" spans="2:9" x14ac:dyDescent="0.4">
      <c r="B383" s="311" t="s">
        <v>2165</v>
      </c>
      <c r="C383" s="312" t="s">
        <v>2166</v>
      </c>
      <c r="D383" s="312" t="s">
        <v>2167</v>
      </c>
      <c r="E383" s="312" t="s">
        <v>2173</v>
      </c>
      <c r="F383" s="312" t="s">
        <v>2103</v>
      </c>
      <c r="G383" s="23"/>
      <c r="H383" s="14" t="s">
        <v>2511</v>
      </c>
      <c r="I383" s="4"/>
    </row>
    <row r="384" spans="2:9" x14ac:dyDescent="0.4">
      <c r="B384" s="310" t="s">
        <v>2113</v>
      </c>
      <c r="C384" s="23" t="s">
        <v>2114</v>
      </c>
      <c r="D384" s="23" t="s">
        <v>2115</v>
      </c>
      <c r="E384" s="23" t="s">
        <v>1404</v>
      </c>
      <c r="F384" s="312" t="s">
        <v>2103</v>
      </c>
      <c r="G384" s="23"/>
      <c r="H384" s="14" t="s">
        <v>2511</v>
      </c>
      <c r="I384" s="4"/>
    </row>
    <row r="385" spans="2:9" x14ac:dyDescent="0.4">
      <c r="B385" s="310" t="s">
        <v>2147</v>
      </c>
      <c r="C385" s="23" t="s">
        <v>2148</v>
      </c>
      <c r="D385" s="23" t="s">
        <v>2115</v>
      </c>
      <c r="E385" s="23" t="s">
        <v>2173</v>
      </c>
      <c r="F385" s="312" t="s">
        <v>2103</v>
      </c>
      <c r="G385" s="23"/>
      <c r="H385" s="14" t="s">
        <v>2511</v>
      </c>
      <c r="I385" s="4"/>
    </row>
    <row r="386" spans="2:9" x14ac:dyDescent="0.4">
      <c r="B386" s="310" t="s">
        <v>2116</v>
      </c>
      <c r="C386" s="23" t="s">
        <v>2117</v>
      </c>
      <c r="D386" s="23" t="s">
        <v>2118</v>
      </c>
      <c r="E386" s="23" t="s">
        <v>1404</v>
      </c>
      <c r="F386" s="312" t="s">
        <v>2103</v>
      </c>
      <c r="G386" s="23"/>
      <c r="H386" s="14" t="s">
        <v>2511</v>
      </c>
      <c r="I386" s="4"/>
    </row>
    <row r="387" spans="2:9" x14ac:dyDescent="0.4">
      <c r="B387" s="23" t="s">
        <v>2140</v>
      </c>
      <c r="C387" s="23" t="s">
        <v>2141</v>
      </c>
      <c r="D387" s="23" t="s">
        <v>2106</v>
      </c>
      <c r="E387" s="23" t="s">
        <v>2173</v>
      </c>
      <c r="F387" s="23" t="s">
        <v>989</v>
      </c>
      <c r="G387" s="23">
        <v>4</v>
      </c>
      <c r="H387" s="14" t="s">
        <v>2511</v>
      </c>
      <c r="I387" s="4"/>
    </row>
    <row r="388" spans="2:9" x14ac:dyDescent="0.4">
      <c r="B388" s="310" t="s">
        <v>2318</v>
      </c>
      <c r="C388" s="23" t="s">
        <v>2319</v>
      </c>
      <c r="D388" s="23" t="s">
        <v>2320</v>
      </c>
      <c r="E388" s="23" t="s">
        <v>2177</v>
      </c>
      <c r="F388" s="312" t="s">
        <v>2103</v>
      </c>
      <c r="G388" s="23"/>
      <c r="H388" s="14" t="s">
        <v>2511</v>
      </c>
      <c r="I388" s="4"/>
    </row>
    <row r="389" spans="2:9" x14ac:dyDescent="0.4">
      <c r="B389" s="310" t="s">
        <v>2322</v>
      </c>
      <c r="C389" s="23" t="s">
        <v>2323</v>
      </c>
      <c r="D389" s="23" t="s">
        <v>2130</v>
      </c>
      <c r="E389" s="23" t="s">
        <v>2178</v>
      </c>
      <c r="F389" s="312" t="s">
        <v>2103</v>
      </c>
      <c r="G389" s="23"/>
      <c r="H389" s="14" t="s">
        <v>2511</v>
      </c>
      <c r="I389" s="4"/>
    </row>
    <row r="390" spans="2:9" x14ac:dyDescent="0.4">
      <c r="B390" s="310" t="s">
        <v>2159</v>
      </c>
      <c r="C390" s="23" t="s">
        <v>2160</v>
      </c>
      <c r="D390" s="23" t="s">
        <v>2127</v>
      </c>
      <c r="E390" s="23" t="s">
        <v>2173</v>
      </c>
      <c r="F390" s="312" t="s">
        <v>2103</v>
      </c>
      <c r="G390" s="23"/>
      <c r="H390" s="14" t="s">
        <v>2511</v>
      </c>
      <c r="I390" s="4"/>
    </row>
    <row r="391" spans="2:9" x14ac:dyDescent="0.4">
      <c r="B391" s="310" t="s">
        <v>2324</v>
      </c>
      <c r="C391" s="23" t="s">
        <v>2325</v>
      </c>
      <c r="D391" s="23" t="s">
        <v>2326</v>
      </c>
      <c r="E391" s="23" t="s">
        <v>2177</v>
      </c>
      <c r="F391" s="312" t="s">
        <v>2103</v>
      </c>
      <c r="G391" s="23"/>
      <c r="H391" s="14" t="s">
        <v>2511</v>
      </c>
      <c r="I391" s="4"/>
    </row>
    <row r="392" spans="2:9" x14ac:dyDescent="0.4">
      <c r="B392" s="310" t="s">
        <v>2327</v>
      </c>
      <c r="C392" s="316" t="s">
        <v>2328</v>
      </c>
      <c r="D392" s="23" t="s">
        <v>2329</v>
      </c>
      <c r="E392" s="23" t="s">
        <v>2177</v>
      </c>
      <c r="F392" s="312" t="s">
        <v>2103</v>
      </c>
      <c r="G392" s="23"/>
      <c r="H392" s="14" t="s">
        <v>2511</v>
      </c>
      <c r="I392" s="4"/>
    </row>
    <row r="393" spans="2:9" x14ac:dyDescent="0.4">
      <c r="B393" s="310" t="s">
        <v>2330</v>
      </c>
      <c r="C393" s="316" t="s">
        <v>2331</v>
      </c>
      <c r="D393" s="23" t="s">
        <v>2329</v>
      </c>
      <c r="E393" s="23" t="s">
        <v>2177</v>
      </c>
      <c r="F393" s="312" t="s">
        <v>2103</v>
      </c>
      <c r="G393" s="23"/>
      <c r="H393" s="14" t="s">
        <v>2511</v>
      </c>
      <c r="I393" s="4"/>
    </row>
    <row r="394" spans="2:9" x14ac:dyDescent="0.4">
      <c r="B394" s="310" t="s">
        <v>2131</v>
      </c>
      <c r="C394" s="23" t="s">
        <v>2132</v>
      </c>
      <c r="D394" s="23" t="s">
        <v>2133</v>
      </c>
      <c r="E394" s="23" t="s">
        <v>2332</v>
      </c>
      <c r="F394" s="312" t="s">
        <v>2103</v>
      </c>
      <c r="G394" s="23"/>
      <c r="H394" s="14" t="s">
        <v>2511</v>
      </c>
      <c r="I394" s="4"/>
    </row>
    <row r="395" spans="2:9" x14ac:dyDescent="0.4">
      <c r="B395" s="310" t="s">
        <v>2157</v>
      </c>
      <c r="C395" s="23" t="s">
        <v>2158</v>
      </c>
      <c r="D395" s="23" t="s">
        <v>2133</v>
      </c>
      <c r="E395" s="23" t="s">
        <v>2173</v>
      </c>
      <c r="F395" s="312" t="s">
        <v>2103</v>
      </c>
      <c r="G395" s="23"/>
      <c r="H395" s="14" t="s">
        <v>2511</v>
      </c>
      <c r="I395" s="4"/>
    </row>
    <row r="396" spans="2:9" x14ac:dyDescent="0.4">
      <c r="B396" s="310" t="s">
        <v>2125</v>
      </c>
      <c r="C396" s="23" t="s">
        <v>2126</v>
      </c>
      <c r="D396" s="23" t="s">
        <v>2127</v>
      </c>
      <c r="E396" s="23" t="s">
        <v>1404</v>
      </c>
      <c r="F396" s="312" t="s">
        <v>2103</v>
      </c>
      <c r="G396" s="23"/>
      <c r="H396" s="14" t="s">
        <v>2511</v>
      </c>
      <c r="I396" s="4"/>
    </row>
    <row r="397" spans="2:9" x14ac:dyDescent="0.4">
      <c r="B397" s="310" t="s">
        <v>2333</v>
      </c>
      <c r="C397" s="316" t="s">
        <v>2334</v>
      </c>
      <c r="D397" s="23" t="s">
        <v>2335</v>
      </c>
      <c r="E397" s="23" t="s">
        <v>2177</v>
      </c>
      <c r="F397" s="312" t="s">
        <v>2103</v>
      </c>
      <c r="G397" s="23"/>
      <c r="H397" s="14" t="s">
        <v>2511</v>
      </c>
      <c r="I397" s="4"/>
    </row>
    <row r="398" spans="2:9" x14ac:dyDescent="0.4">
      <c r="B398" s="310" t="s">
        <v>2119</v>
      </c>
      <c r="C398" s="23" t="s">
        <v>2120</v>
      </c>
      <c r="D398" s="23" t="s">
        <v>2121</v>
      </c>
      <c r="E398" s="23" t="s">
        <v>1404</v>
      </c>
      <c r="F398" s="312" t="s">
        <v>2103</v>
      </c>
      <c r="G398" s="23"/>
      <c r="H398" s="14" t="s">
        <v>2511</v>
      </c>
      <c r="I398" s="4"/>
    </row>
    <row r="399" spans="2:9" x14ac:dyDescent="0.4">
      <c r="B399" s="310" t="s">
        <v>2336</v>
      </c>
      <c r="C399" s="316" t="s">
        <v>2337</v>
      </c>
      <c r="D399" s="23" t="s">
        <v>2338</v>
      </c>
      <c r="E399" s="23" t="s">
        <v>2177</v>
      </c>
      <c r="F399" s="312" t="s">
        <v>2103</v>
      </c>
      <c r="G399" s="23"/>
      <c r="H399" s="14" t="s">
        <v>2511</v>
      </c>
      <c r="I399" s="4"/>
    </row>
    <row r="400" spans="2:9" x14ac:dyDescent="0.4">
      <c r="B400" s="310" t="s">
        <v>2339</v>
      </c>
      <c r="C400" s="316" t="s">
        <v>2340</v>
      </c>
      <c r="D400" s="23" t="s">
        <v>2109</v>
      </c>
      <c r="E400" s="23" t="s">
        <v>2177</v>
      </c>
      <c r="F400" s="312" t="s">
        <v>2103</v>
      </c>
      <c r="G400" s="23"/>
      <c r="H400" s="14" t="s">
        <v>2511</v>
      </c>
      <c r="I400" s="4"/>
    </row>
    <row r="401" spans="2:9" x14ac:dyDescent="0.4">
      <c r="B401" s="310" t="s">
        <v>2341</v>
      </c>
      <c r="C401" s="316" t="s">
        <v>2342</v>
      </c>
      <c r="D401" s="23" t="s">
        <v>2109</v>
      </c>
      <c r="E401" s="23" t="s">
        <v>2178</v>
      </c>
      <c r="F401" s="312" t="s">
        <v>2103</v>
      </c>
      <c r="G401" s="23"/>
      <c r="H401" s="14" t="s">
        <v>2511</v>
      </c>
      <c r="I401" s="4"/>
    </row>
    <row r="402" spans="2:9" x14ac:dyDescent="0.4">
      <c r="B402" s="310" t="s">
        <v>2107</v>
      </c>
      <c r="C402" s="23" t="s">
        <v>2108</v>
      </c>
      <c r="D402" s="23" t="s">
        <v>2109</v>
      </c>
      <c r="E402" s="23" t="s">
        <v>1404</v>
      </c>
      <c r="F402" s="23" t="s">
        <v>1250</v>
      </c>
      <c r="G402" s="23">
        <v>2</v>
      </c>
      <c r="H402" s="14" t="s">
        <v>2511</v>
      </c>
      <c r="I402" s="4"/>
    </row>
    <row r="403" spans="2:9" x14ac:dyDescent="0.4">
      <c r="B403" s="23" t="s">
        <v>2144</v>
      </c>
      <c r="C403" s="23" t="s">
        <v>2145</v>
      </c>
      <c r="D403" s="23" t="s">
        <v>2146</v>
      </c>
      <c r="E403" s="23" t="s">
        <v>2173</v>
      </c>
      <c r="F403" s="23" t="s">
        <v>1250</v>
      </c>
      <c r="G403" s="23">
        <v>2</v>
      </c>
      <c r="H403" s="14" t="s">
        <v>2511</v>
      </c>
      <c r="I403" s="4"/>
    </row>
    <row r="404" spans="2:9" x14ac:dyDescent="0.4">
      <c r="B404" s="310" t="s">
        <v>2343</v>
      </c>
      <c r="C404" s="316" t="s">
        <v>2344</v>
      </c>
      <c r="D404" s="23" t="s">
        <v>2345</v>
      </c>
      <c r="E404" s="23" t="s">
        <v>2177</v>
      </c>
      <c r="F404" s="312" t="s">
        <v>2103</v>
      </c>
      <c r="G404" s="23"/>
      <c r="H404" s="14" t="s">
        <v>2511</v>
      </c>
      <c r="I404" s="4"/>
    </row>
    <row r="405" spans="2:9" x14ac:dyDescent="0.4">
      <c r="B405" s="310" t="s">
        <v>2110</v>
      </c>
      <c r="C405" s="23" t="s">
        <v>2111</v>
      </c>
      <c r="D405" s="23" t="s">
        <v>2112</v>
      </c>
      <c r="E405" s="23" t="s">
        <v>1404</v>
      </c>
      <c r="F405" s="312" t="s">
        <v>2103</v>
      </c>
      <c r="G405" s="23"/>
      <c r="H405" s="14" t="s">
        <v>2511</v>
      </c>
      <c r="I405" s="4"/>
    </row>
    <row r="406" spans="2:9" x14ac:dyDescent="0.4">
      <c r="B406" s="310" t="s">
        <v>2346</v>
      </c>
      <c r="C406" s="316" t="s">
        <v>2347</v>
      </c>
      <c r="D406" s="23" t="s">
        <v>2139</v>
      </c>
      <c r="E406" s="23" t="s">
        <v>2175</v>
      </c>
      <c r="F406" s="312" t="s">
        <v>2103</v>
      </c>
      <c r="G406" s="23"/>
      <c r="H406" s="14" t="s">
        <v>2511</v>
      </c>
      <c r="I406" s="4"/>
    </row>
    <row r="407" spans="2:9" x14ac:dyDescent="0.4">
      <c r="B407" s="310" t="s">
        <v>2348</v>
      </c>
      <c r="C407" s="316" t="s">
        <v>2349</v>
      </c>
      <c r="D407" s="23" t="s">
        <v>2139</v>
      </c>
      <c r="E407" s="23" t="s">
        <v>2176</v>
      </c>
      <c r="F407" s="312" t="s">
        <v>2103</v>
      </c>
      <c r="G407" s="23"/>
      <c r="H407" s="14" t="s">
        <v>2511</v>
      </c>
      <c r="I407" s="4"/>
    </row>
    <row r="408" spans="2:9" x14ac:dyDescent="0.4">
      <c r="B408" s="310" t="s">
        <v>2122</v>
      </c>
      <c r="C408" s="23" t="s">
        <v>2123</v>
      </c>
      <c r="D408" s="23" t="s">
        <v>2124</v>
      </c>
      <c r="E408" s="23" t="s">
        <v>1404</v>
      </c>
      <c r="F408" s="312" t="s">
        <v>2103</v>
      </c>
      <c r="G408" s="23"/>
      <c r="H408" s="14" t="s">
        <v>2511</v>
      </c>
      <c r="I408" s="4"/>
    </row>
    <row r="409" spans="2:9" x14ac:dyDescent="0.4">
      <c r="B409" s="310" t="s">
        <v>2128</v>
      </c>
      <c r="C409" s="23" t="s">
        <v>2129</v>
      </c>
      <c r="D409" s="23" t="s">
        <v>2130</v>
      </c>
      <c r="E409" s="23" t="s">
        <v>1404</v>
      </c>
      <c r="F409" s="312" t="s">
        <v>2103</v>
      </c>
      <c r="G409" s="23"/>
      <c r="H409" s="14" t="s">
        <v>2511</v>
      </c>
      <c r="I409" s="4"/>
    </row>
    <row r="410" spans="2:9" x14ac:dyDescent="0.4">
      <c r="B410" s="310" t="s">
        <v>2350</v>
      </c>
      <c r="C410" s="316" t="s">
        <v>2351</v>
      </c>
      <c r="D410" s="23" t="s">
        <v>2352</v>
      </c>
      <c r="E410" s="23" t="s">
        <v>2177</v>
      </c>
      <c r="F410" s="312" t="s">
        <v>2103</v>
      </c>
      <c r="G410" s="23"/>
      <c r="H410" s="14" t="s">
        <v>2511</v>
      </c>
      <c r="I410" s="4"/>
    </row>
    <row r="411" spans="2:9" x14ac:dyDescent="0.4">
      <c r="B411" s="310" t="s">
        <v>2353</v>
      </c>
      <c r="C411" s="316" t="s">
        <v>2354</v>
      </c>
      <c r="D411" s="23" t="s">
        <v>2355</v>
      </c>
      <c r="E411" s="23" t="s">
        <v>2177</v>
      </c>
      <c r="F411" s="312" t="s">
        <v>2103</v>
      </c>
      <c r="G411" s="23"/>
      <c r="H411" s="14" t="s">
        <v>2511</v>
      </c>
      <c r="I411" s="4"/>
    </row>
    <row r="412" spans="2:9" x14ac:dyDescent="0.4">
      <c r="B412" s="310" t="s">
        <v>2356</v>
      </c>
      <c r="C412" s="316" t="s">
        <v>2357</v>
      </c>
      <c r="D412" s="23" t="s">
        <v>2358</v>
      </c>
      <c r="E412" s="23" t="s">
        <v>2177</v>
      </c>
      <c r="F412" s="312" t="s">
        <v>2103</v>
      </c>
      <c r="G412" s="23"/>
      <c r="H412" s="14" t="s">
        <v>2511</v>
      </c>
      <c r="I412" s="4"/>
    </row>
    <row r="413" spans="2:9" x14ac:dyDescent="0.4">
      <c r="B413" s="310" t="s">
        <v>2104</v>
      </c>
      <c r="C413" s="23" t="s">
        <v>2105</v>
      </c>
      <c r="D413" s="23" t="s">
        <v>2106</v>
      </c>
      <c r="E413" s="23" t="s">
        <v>1404</v>
      </c>
      <c r="F413" s="23" t="s">
        <v>990</v>
      </c>
      <c r="G413" s="23">
        <v>2</v>
      </c>
      <c r="H413" s="14" t="s">
        <v>2511</v>
      </c>
      <c r="I413" s="4"/>
    </row>
    <row r="414" spans="2:9" x14ac:dyDescent="0.4">
      <c r="B414" s="310" t="s">
        <v>2359</v>
      </c>
      <c r="C414" s="316" t="s">
        <v>2360</v>
      </c>
      <c r="D414" s="23" t="s">
        <v>2154</v>
      </c>
      <c r="E414" s="23" t="s">
        <v>2177</v>
      </c>
      <c r="F414" s="312" t="s">
        <v>2103</v>
      </c>
      <c r="G414" s="23"/>
      <c r="H414" s="14" t="s">
        <v>2511</v>
      </c>
      <c r="I414" s="4"/>
    </row>
    <row r="415" spans="2:9" x14ac:dyDescent="0.4">
      <c r="B415" s="310" t="s">
        <v>2361</v>
      </c>
      <c r="C415" s="316" t="s">
        <v>2362</v>
      </c>
      <c r="D415" s="23" t="s">
        <v>2335</v>
      </c>
      <c r="E415" s="23" t="s">
        <v>2178</v>
      </c>
      <c r="F415" s="312" t="s">
        <v>2103</v>
      </c>
      <c r="G415" s="23"/>
      <c r="H415" s="14" t="s">
        <v>2511</v>
      </c>
      <c r="I415" s="4"/>
    </row>
    <row r="416" spans="2:9" x14ac:dyDescent="0.4">
      <c r="B416" s="310" t="s">
        <v>2363</v>
      </c>
      <c r="C416" s="316" t="s">
        <v>2364</v>
      </c>
      <c r="D416" s="23" t="s">
        <v>2365</v>
      </c>
      <c r="E416" s="23" t="s">
        <v>2175</v>
      </c>
      <c r="F416" s="312" t="s">
        <v>2103</v>
      </c>
      <c r="G416" s="23"/>
      <c r="H416" s="14" t="s">
        <v>2511</v>
      </c>
      <c r="I416" s="4"/>
    </row>
    <row r="417" spans="2:9" ht="19.5" thickBot="1" x14ac:dyDescent="0.45">
      <c r="B417" s="310" t="s">
        <v>2149</v>
      </c>
      <c r="C417" s="23" t="s">
        <v>2150</v>
      </c>
      <c r="D417" s="23" t="s">
        <v>2151</v>
      </c>
      <c r="E417" s="23" t="s">
        <v>2173</v>
      </c>
      <c r="F417" s="312" t="s">
        <v>2103</v>
      </c>
      <c r="G417" s="23"/>
      <c r="H417" s="14" t="s">
        <v>2511</v>
      </c>
      <c r="I417" s="4"/>
    </row>
    <row r="418" spans="2:9" ht="19.5" thickBot="1" x14ac:dyDescent="0.45">
      <c r="B418" s="310" t="s">
        <v>2366</v>
      </c>
      <c r="C418" s="317" t="s">
        <v>2367</v>
      </c>
      <c r="D418" s="23" t="s">
        <v>2338</v>
      </c>
      <c r="E418" s="23" t="s">
        <v>2178</v>
      </c>
      <c r="F418" s="312" t="s">
        <v>2103</v>
      </c>
      <c r="G418" s="23"/>
      <c r="H418" s="14" t="s">
        <v>2511</v>
      </c>
      <c r="I418" s="4"/>
    </row>
    <row r="419" spans="2:9" x14ac:dyDescent="0.4">
      <c r="B419" s="310" t="s">
        <v>2368</v>
      </c>
      <c r="C419" s="316" t="s">
        <v>2369</v>
      </c>
      <c r="D419" s="23" t="s">
        <v>2345</v>
      </c>
      <c r="E419" s="23" t="s">
        <v>2178</v>
      </c>
      <c r="F419" s="312" t="s">
        <v>2103</v>
      </c>
      <c r="G419" s="23"/>
      <c r="H419" s="14" t="s">
        <v>2511</v>
      </c>
      <c r="I419" s="4"/>
    </row>
    <row r="420" spans="2:9" x14ac:dyDescent="0.4">
      <c r="B420" s="310" t="s">
        <v>2155</v>
      </c>
      <c r="C420" s="23" t="s">
        <v>2156</v>
      </c>
      <c r="D420" s="23" t="s">
        <v>2112</v>
      </c>
      <c r="E420" s="23" t="s">
        <v>2173</v>
      </c>
      <c r="F420" s="312" t="s">
        <v>2103</v>
      </c>
      <c r="G420" s="23"/>
      <c r="H420" s="14" t="s">
        <v>2511</v>
      </c>
      <c r="I420" s="4"/>
    </row>
    <row r="421" spans="2:9" x14ac:dyDescent="0.4">
      <c r="B421" s="310" t="s">
        <v>2152</v>
      </c>
      <c r="C421" s="23" t="s">
        <v>2153</v>
      </c>
      <c r="D421" s="23" t="s">
        <v>2154</v>
      </c>
      <c r="E421" s="23" t="s">
        <v>2173</v>
      </c>
      <c r="F421" s="312" t="s">
        <v>2103</v>
      </c>
      <c r="G421" s="23"/>
      <c r="H421" s="14" t="s">
        <v>2511</v>
      </c>
      <c r="I421" s="4"/>
    </row>
    <row r="422" spans="2:9" x14ac:dyDescent="0.4">
      <c r="B422" s="310" t="s">
        <v>2161</v>
      </c>
      <c r="C422" s="23" t="s">
        <v>2162</v>
      </c>
      <c r="D422" s="23" t="s">
        <v>2130</v>
      </c>
      <c r="E422" s="23" t="s">
        <v>2173</v>
      </c>
      <c r="F422" s="312" t="s">
        <v>2103</v>
      </c>
      <c r="G422" s="23"/>
      <c r="H422" s="14" t="s">
        <v>2511</v>
      </c>
      <c r="I422" s="4"/>
    </row>
    <row r="423" spans="2:9" x14ac:dyDescent="0.4">
      <c r="B423" s="310" t="s">
        <v>2370</v>
      </c>
      <c r="C423" s="316" t="s">
        <v>2371</v>
      </c>
      <c r="D423" s="23" t="s">
        <v>2352</v>
      </c>
      <c r="E423" s="23" t="s">
        <v>2178</v>
      </c>
      <c r="F423" s="312" t="s">
        <v>2103</v>
      </c>
      <c r="G423" s="23"/>
      <c r="H423" s="14" t="s">
        <v>2511</v>
      </c>
      <c r="I423" s="4"/>
    </row>
    <row r="424" spans="2:9" x14ac:dyDescent="0.4">
      <c r="B424" s="310" t="s">
        <v>2372</v>
      </c>
      <c r="C424" s="316" t="s">
        <v>2373</v>
      </c>
      <c r="D424" s="23" t="s">
        <v>2355</v>
      </c>
      <c r="E424" s="23" t="s">
        <v>2178</v>
      </c>
      <c r="F424" s="312" t="s">
        <v>2103</v>
      </c>
      <c r="G424" s="23"/>
      <c r="H424" s="14" t="s">
        <v>2511</v>
      </c>
      <c r="I424" s="4"/>
    </row>
    <row r="425" spans="2:9" x14ac:dyDescent="0.4">
      <c r="B425" s="310" t="s">
        <v>2374</v>
      </c>
      <c r="C425" s="316" t="s">
        <v>2375</v>
      </c>
      <c r="D425" s="23" t="s">
        <v>2358</v>
      </c>
      <c r="E425" s="23" t="s">
        <v>2178</v>
      </c>
      <c r="F425" s="312" t="s">
        <v>2103</v>
      </c>
      <c r="G425" s="23"/>
      <c r="H425" s="14" t="s">
        <v>2511</v>
      </c>
      <c r="I425" s="4"/>
    </row>
    <row r="426" spans="2:9" x14ac:dyDescent="0.4">
      <c r="B426" s="23" t="s">
        <v>2142</v>
      </c>
      <c r="C426" s="23" t="s">
        <v>2143</v>
      </c>
      <c r="D426" s="23" t="s">
        <v>2106</v>
      </c>
      <c r="E426" s="23" t="s">
        <v>2173</v>
      </c>
      <c r="F426" s="23" t="s">
        <v>990</v>
      </c>
      <c r="G426" s="23">
        <v>2</v>
      </c>
      <c r="H426" s="14" t="s">
        <v>2511</v>
      </c>
      <c r="I426" s="4"/>
    </row>
    <row r="427" spans="2:9" x14ac:dyDescent="0.4">
      <c r="B427" s="310" t="s">
        <v>2376</v>
      </c>
      <c r="C427" s="316" t="s">
        <v>2377</v>
      </c>
      <c r="D427" s="23" t="s">
        <v>2154</v>
      </c>
      <c r="E427" s="23" t="s">
        <v>2178</v>
      </c>
      <c r="F427" s="312" t="s">
        <v>2103</v>
      </c>
      <c r="G427" s="23"/>
      <c r="H427" s="14" t="s">
        <v>2511</v>
      </c>
      <c r="I427" s="4"/>
    </row>
    <row r="428" spans="2:9" x14ac:dyDescent="0.4">
      <c r="B428" s="310" t="s">
        <v>2134</v>
      </c>
      <c r="C428" s="23" t="s">
        <v>2135</v>
      </c>
      <c r="D428" s="23" t="s">
        <v>2136</v>
      </c>
      <c r="E428" s="23" t="s">
        <v>1404</v>
      </c>
      <c r="F428" s="312" t="s">
        <v>2103</v>
      </c>
      <c r="G428" s="23"/>
      <c r="H428" s="14" t="s">
        <v>2511</v>
      </c>
      <c r="I428" s="4"/>
    </row>
    <row r="429" spans="2:9" x14ac:dyDescent="0.4">
      <c r="B429" s="310" t="s">
        <v>2163</v>
      </c>
      <c r="C429" s="316" t="s">
        <v>2164</v>
      </c>
      <c r="D429" s="23" t="s">
        <v>2136</v>
      </c>
      <c r="E429" s="23" t="s">
        <v>2173</v>
      </c>
      <c r="F429" s="312" t="s">
        <v>2103</v>
      </c>
      <c r="G429" s="23"/>
      <c r="H429" s="14" t="s">
        <v>2511</v>
      </c>
      <c r="I429" s="4"/>
    </row>
    <row r="430" spans="2:9" x14ac:dyDescent="0.4">
      <c r="B430" s="310" t="s">
        <v>2378</v>
      </c>
      <c r="C430" s="316" t="s">
        <v>2379</v>
      </c>
      <c r="D430" s="23" t="s">
        <v>2136</v>
      </c>
      <c r="E430" s="23" t="s">
        <v>2177</v>
      </c>
      <c r="F430" s="312" t="s">
        <v>2103</v>
      </c>
      <c r="G430" s="23"/>
      <c r="H430" s="14" t="s">
        <v>2511</v>
      </c>
      <c r="I430" s="4"/>
    </row>
    <row r="431" spans="2:9" x14ac:dyDescent="0.4">
      <c r="B431" s="310" t="s">
        <v>2380</v>
      </c>
      <c r="C431" s="316" t="s">
        <v>2381</v>
      </c>
      <c r="D431" s="23" t="s">
        <v>2136</v>
      </c>
      <c r="E431" s="23" t="s">
        <v>2178</v>
      </c>
      <c r="F431" s="312" t="s">
        <v>2103</v>
      </c>
      <c r="G431" s="23"/>
      <c r="H431" s="14" t="s">
        <v>2511</v>
      </c>
      <c r="I431" s="4"/>
    </row>
  </sheetData>
  <phoneticPr fontId="5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255C5-312E-4C24-B282-7F3C45F3897E}">
  <sheetPr>
    <tabColor theme="5" tint="0.79998168889431442"/>
  </sheetPr>
  <dimension ref="A1:P140"/>
  <sheetViews>
    <sheetView zoomScale="130" zoomScaleNormal="100" workbookViewId="0">
      <pane ySplit="10" topLeftCell="A11" activePane="bottomLeft" state="frozen"/>
      <selection pane="bottomLeft" activeCell="A11" sqref="A11:XFD11"/>
    </sheetView>
  </sheetViews>
  <sheetFormatPr defaultColWidth="0" defaultRowHeight="18.75" zeroHeight="1" x14ac:dyDescent="0.4"/>
  <cols>
    <col min="1" max="1" width="0.875" style="2" customWidth="1"/>
    <col min="2" max="15" width="13.375" style="2" customWidth="1"/>
    <col min="16" max="16" width="0.875" style="2" customWidth="1"/>
    <col min="17" max="16384" width="8.625" style="2" hidden="1"/>
  </cols>
  <sheetData>
    <row r="1" spans="2:15" ht="5.0999999999999996" customHeight="1" x14ac:dyDescent="0.4"/>
    <row r="2" spans="2:15" ht="24" x14ac:dyDescent="0.4">
      <c r="B2" s="41" t="str">
        <f ca="1">LEFT(RIGHT(CELL("filename",A1),LEN(CELL("filename",A1))-FIND("]",CELL("filename",A1))),4)&amp;"年度"&amp;RIGHT(RIGHT(CELL("filename",A1),LEN(CELL("filename",A1))-FIND("]",CELL("filename",A1))),4)</f>
        <v>2019年度科目一覧</v>
      </c>
      <c r="C2" s="50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2:15" s="1" customFormat="1" hidden="1" x14ac:dyDescent="0.4">
      <c r="B3" s="25" t="s">
        <v>950</v>
      </c>
      <c r="C3" s="51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7"/>
    </row>
    <row r="4" spans="2:15" s="1" customFormat="1" hidden="1" x14ac:dyDescent="0.4">
      <c r="B4" s="28" t="s">
        <v>951</v>
      </c>
      <c r="C4" s="52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9"/>
    </row>
    <row r="5" spans="2:15" s="1" customFormat="1" ht="22.5" hidden="1" customHeight="1" x14ac:dyDescent="0.4">
      <c r="B5" s="28" t="s">
        <v>952</v>
      </c>
      <c r="C5" s="52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9"/>
    </row>
    <row r="6" spans="2:15" s="1" customFormat="1" ht="22.5" hidden="1" customHeight="1" x14ac:dyDescent="0.4">
      <c r="B6" s="28" t="s">
        <v>955</v>
      </c>
      <c r="C6" s="52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9"/>
    </row>
    <row r="7" spans="2:15" s="1" customFormat="1" ht="17.45" hidden="1" customHeight="1" thickBot="1" x14ac:dyDescent="0.45">
      <c r="B7" s="32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53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1"/>
    </row>
    <row r="8" spans="2:15" ht="17.45" customHeight="1" x14ac:dyDescent="0.4"/>
    <row r="9" spans="2:15" ht="17.45" customHeight="1" x14ac:dyDescent="0.4">
      <c r="B9" s="2">
        <v>1</v>
      </c>
      <c r="C9" s="2">
        <v>2</v>
      </c>
      <c r="D9" s="2">
        <v>3</v>
      </c>
      <c r="E9" s="2">
        <v>4</v>
      </c>
      <c r="F9" s="2">
        <v>5</v>
      </c>
      <c r="G9" s="2">
        <v>6</v>
      </c>
      <c r="H9" s="2">
        <v>7</v>
      </c>
      <c r="I9" s="2">
        <v>8</v>
      </c>
      <c r="J9" s="2">
        <v>9</v>
      </c>
      <c r="K9" s="2">
        <v>10</v>
      </c>
      <c r="L9" s="2">
        <v>11</v>
      </c>
      <c r="M9" s="2">
        <v>12</v>
      </c>
      <c r="N9" s="2">
        <v>13</v>
      </c>
      <c r="O9" s="2">
        <v>14</v>
      </c>
    </row>
    <row r="10" spans="2:15" x14ac:dyDescent="0.4">
      <c r="B10" s="12" t="s">
        <v>502</v>
      </c>
      <c r="C10" s="22" t="s">
        <v>942</v>
      </c>
      <c r="D10" s="22" t="s">
        <v>943</v>
      </c>
      <c r="E10" s="12" t="s">
        <v>501</v>
      </c>
      <c r="F10" s="12" t="s">
        <v>503</v>
      </c>
      <c r="G10" s="12" t="s">
        <v>1001</v>
      </c>
      <c r="H10" s="12" t="s">
        <v>504</v>
      </c>
      <c r="I10" s="12" t="s">
        <v>505</v>
      </c>
      <c r="J10" s="12" t="s">
        <v>506</v>
      </c>
      <c r="K10" s="12" t="s">
        <v>507</v>
      </c>
      <c r="L10" s="12" t="s">
        <v>508</v>
      </c>
      <c r="M10" s="12" t="s">
        <v>509</v>
      </c>
      <c r="N10" s="12" t="s">
        <v>510</v>
      </c>
      <c r="O10" s="12" t="s">
        <v>511</v>
      </c>
    </row>
    <row r="11" spans="2:15" ht="27" x14ac:dyDescent="0.4">
      <c r="B11" s="23" t="s">
        <v>59</v>
      </c>
      <c r="C11" s="4" t="s">
        <v>19</v>
      </c>
      <c r="D11" s="13" t="s">
        <v>512</v>
      </c>
      <c r="E11" s="14" t="s">
        <v>513</v>
      </c>
      <c r="F11" s="14" t="s">
        <v>514</v>
      </c>
      <c r="G11" s="15">
        <v>2</v>
      </c>
      <c r="H11" s="14" t="s">
        <v>515</v>
      </c>
      <c r="I11" s="14" t="s">
        <v>516</v>
      </c>
      <c r="J11" s="16"/>
      <c r="K11" s="14" t="s">
        <v>517</v>
      </c>
      <c r="L11" s="14" t="s">
        <v>518</v>
      </c>
      <c r="M11" s="14" t="s">
        <v>519</v>
      </c>
      <c r="N11" s="14" t="s">
        <v>520</v>
      </c>
      <c r="O11" s="16"/>
    </row>
    <row r="12" spans="2:15" ht="18" customHeight="1" x14ac:dyDescent="0.4">
      <c r="B12" s="14" t="s">
        <v>60</v>
      </c>
      <c r="C12" s="4" t="s">
        <v>19</v>
      </c>
      <c r="D12" s="13" t="s">
        <v>512</v>
      </c>
      <c r="E12" s="16" t="s">
        <v>521</v>
      </c>
      <c r="F12" s="14" t="s">
        <v>61</v>
      </c>
      <c r="G12" s="15">
        <v>2</v>
      </c>
      <c r="H12" s="14" t="s">
        <v>515</v>
      </c>
      <c r="I12" s="14" t="s">
        <v>516</v>
      </c>
      <c r="J12" s="16"/>
      <c r="K12" s="14" t="s">
        <v>522</v>
      </c>
      <c r="L12" s="14" t="s">
        <v>523</v>
      </c>
      <c r="M12" s="14" t="s">
        <v>519</v>
      </c>
      <c r="N12" s="14" t="s">
        <v>524</v>
      </c>
      <c r="O12" s="16" t="s">
        <v>525</v>
      </c>
    </row>
    <row r="13" spans="2:15" ht="18" customHeight="1" x14ac:dyDescent="0.4">
      <c r="B13" s="14" t="s">
        <v>62</v>
      </c>
      <c r="C13" s="4" t="s">
        <v>19</v>
      </c>
      <c r="D13" s="13" t="s">
        <v>512</v>
      </c>
      <c r="E13" s="16" t="s">
        <v>526</v>
      </c>
      <c r="F13" s="14" t="s">
        <v>527</v>
      </c>
      <c r="G13" s="15">
        <v>2</v>
      </c>
      <c r="H13" s="14" t="s">
        <v>515</v>
      </c>
      <c r="I13" s="14" t="s">
        <v>516</v>
      </c>
      <c r="J13" s="16"/>
      <c r="K13" s="14" t="s">
        <v>522</v>
      </c>
      <c r="L13" s="14" t="s">
        <v>528</v>
      </c>
      <c r="M13" s="14" t="s">
        <v>519</v>
      </c>
      <c r="N13" s="14" t="s">
        <v>520</v>
      </c>
      <c r="O13" s="14" t="s">
        <v>529</v>
      </c>
    </row>
    <row r="14" spans="2:15" x14ac:dyDescent="0.4">
      <c r="B14" s="14" t="s">
        <v>64</v>
      </c>
      <c r="C14" s="4" t="s">
        <v>19</v>
      </c>
      <c r="D14" s="13" t="s">
        <v>512</v>
      </c>
      <c r="E14" s="14" t="s">
        <v>530</v>
      </c>
      <c r="F14" s="14" t="s">
        <v>63</v>
      </c>
      <c r="G14" s="15">
        <v>2</v>
      </c>
      <c r="H14" s="14" t="s">
        <v>515</v>
      </c>
      <c r="I14" s="14" t="s">
        <v>516</v>
      </c>
      <c r="J14" s="16"/>
      <c r="K14" s="14" t="s">
        <v>522</v>
      </c>
      <c r="L14" s="14" t="s">
        <v>528</v>
      </c>
      <c r="M14" s="14" t="s">
        <v>519</v>
      </c>
      <c r="N14" s="14" t="s">
        <v>531</v>
      </c>
      <c r="O14" s="16"/>
    </row>
    <row r="15" spans="2:15" x14ac:dyDescent="0.4">
      <c r="B15" s="14" t="s">
        <v>65</v>
      </c>
      <c r="C15" s="4" t="s">
        <v>19</v>
      </c>
      <c r="D15" s="13" t="s">
        <v>512</v>
      </c>
      <c r="E15" s="14" t="s">
        <v>532</v>
      </c>
      <c r="F15" s="14" t="s">
        <v>533</v>
      </c>
      <c r="G15" s="15">
        <v>2</v>
      </c>
      <c r="H15" s="14" t="s">
        <v>515</v>
      </c>
      <c r="I15" s="15">
        <v>1</v>
      </c>
      <c r="J15" s="16"/>
      <c r="K15" s="14" t="s">
        <v>517</v>
      </c>
      <c r="L15" s="14" t="s">
        <v>534</v>
      </c>
      <c r="M15" s="14" t="s">
        <v>519</v>
      </c>
      <c r="N15" s="14" t="s">
        <v>520</v>
      </c>
      <c r="O15" s="16"/>
    </row>
    <row r="16" spans="2:15" x14ac:dyDescent="0.4">
      <c r="B16" s="14" t="s">
        <v>66</v>
      </c>
      <c r="C16" s="4" t="s">
        <v>19</v>
      </c>
      <c r="D16" s="13" t="s">
        <v>512</v>
      </c>
      <c r="E16" s="14" t="s">
        <v>535</v>
      </c>
      <c r="F16" s="14" t="s">
        <v>536</v>
      </c>
      <c r="G16" s="15">
        <v>2</v>
      </c>
      <c r="H16" s="14" t="s">
        <v>515</v>
      </c>
      <c r="I16" s="14" t="s">
        <v>516</v>
      </c>
      <c r="J16" s="16"/>
      <c r="K16" s="14" t="s">
        <v>517</v>
      </c>
      <c r="L16" s="14" t="s">
        <v>537</v>
      </c>
      <c r="M16" s="14" t="s">
        <v>519</v>
      </c>
      <c r="N16" s="14" t="s">
        <v>531</v>
      </c>
      <c r="O16" s="16"/>
    </row>
    <row r="17" spans="2:15" x14ac:dyDescent="0.4">
      <c r="B17" s="14" t="s">
        <v>67</v>
      </c>
      <c r="C17" s="4" t="s">
        <v>19</v>
      </c>
      <c r="D17" s="13" t="s">
        <v>512</v>
      </c>
      <c r="E17" s="14" t="s">
        <v>538</v>
      </c>
      <c r="F17" s="14" t="s">
        <v>68</v>
      </c>
      <c r="G17" s="15">
        <v>2</v>
      </c>
      <c r="H17" s="14" t="s">
        <v>515</v>
      </c>
      <c r="I17" s="14" t="s">
        <v>516</v>
      </c>
      <c r="J17" s="16"/>
      <c r="K17" s="14" t="s">
        <v>522</v>
      </c>
      <c r="L17" s="14" t="s">
        <v>539</v>
      </c>
      <c r="M17" s="14" t="s">
        <v>519</v>
      </c>
      <c r="N17" s="14" t="s">
        <v>520</v>
      </c>
      <c r="O17" s="14" t="s">
        <v>540</v>
      </c>
    </row>
    <row r="18" spans="2:15" x14ac:dyDescent="0.4">
      <c r="B18" s="14" t="s">
        <v>69</v>
      </c>
      <c r="C18" s="4" t="s">
        <v>19</v>
      </c>
      <c r="D18" s="13" t="s">
        <v>512</v>
      </c>
      <c r="E18" s="14" t="s">
        <v>541</v>
      </c>
      <c r="F18" s="14" t="s">
        <v>68</v>
      </c>
      <c r="G18" s="15">
        <v>2</v>
      </c>
      <c r="H18" s="14" t="s">
        <v>515</v>
      </c>
      <c r="I18" s="14" t="s">
        <v>516</v>
      </c>
      <c r="J18" s="16"/>
      <c r="K18" s="14" t="s">
        <v>522</v>
      </c>
      <c r="L18" s="14" t="s">
        <v>539</v>
      </c>
      <c r="M18" s="14" t="s">
        <v>519</v>
      </c>
      <c r="N18" s="14" t="s">
        <v>531</v>
      </c>
      <c r="O18" s="16"/>
    </row>
    <row r="19" spans="2:15" x14ac:dyDescent="0.4">
      <c r="B19" s="14" t="s">
        <v>70</v>
      </c>
      <c r="C19" s="4" t="s">
        <v>19</v>
      </c>
      <c r="D19" s="13" t="s">
        <v>512</v>
      </c>
      <c r="E19" s="14" t="s">
        <v>542</v>
      </c>
      <c r="F19" s="14" t="s">
        <v>543</v>
      </c>
      <c r="G19" s="15">
        <v>2</v>
      </c>
      <c r="H19" s="14" t="s">
        <v>515</v>
      </c>
      <c r="I19" s="14" t="s">
        <v>516</v>
      </c>
      <c r="J19" s="16"/>
      <c r="K19" s="14" t="s">
        <v>517</v>
      </c>
      <c r="L19" s="14" t="s">
        <v>539</v>
      </c>
      <c r="M19" s="14" t="s">
        <v>519</v>
      </c>
      <c r="N19" s="14" t="s">
        <v>520</v>
      </c>
      <c r="O19" s="16"/>
    </row>
    <row r="20" spans="2:15" x14ac:dyDescent="0.4">
      <c r="B20" s="14" t="s">
        <v>71</v>
      </c>
      <c r="C20" s="4" t="s">
        <v>19</v>
      </c>
      <c r="D20" s="13" t="s">
        <v>512</v>
      </c>
      <c r="E20" s="14" t="s">
        <v>544</v>
      </c>
      <c r="F20" s="14" t="s">
        <v>543</v>
      </c>
      <c r="G20" s="15">
        <v>2</v>
      </c>
      <c r="H20" s="14" t="s">
        <v>515</v>
      </c>
      <c r="I20" s="14" t="s">
        <v>516</v>
      </c>
      <c r="J20" s="16"/>
      <c r="K20" s="14" t="s">
        <v>517</v>
      </c>
      <c r="L20" s="14" t="s">
        <v>539</v>
      </c>
      <c r="M20" s="14" t="s">
        <v>519</v>
      </c>
      <c r="N20" s="14" t="s">
        <v>531</v>
      </c>
      <c r="O20" s="16"/>
    </row>
    <row r="21" spans="2:15" x14ac:dyDescent="0.4">
      <c r="B21" s="14" t="s">
        <v>72</v>
      </c>
      <c r="C21" s="4" t="s">
        <v>19</v>
      </c>
      <c r="D21" s="13" t="s">
        <v>512</v>
      </c>
      <c r="E21" s="14" t="s">
        <v>545</v>
      </c>
      <c r="F21" s="14" t="s">
        <v>546</v>
      </c>
      <c r="G21" s="15">
        <v>2</v>
      </c>
      <c r="H21" s="14" t="s">
        <v>515</v>
      </c>
      <c r="I21" s="14" t="s">
        <v>516</v>
      </c>
      <c r="J21" s="16"/>
      <c r="K21" s="14" t="s">
        <v>522</v>
      </c>
      <c r="L21" s="14" t="s">
        <v>539</v>
      </c>
      <c r="M21" s="14" t="s">
        <v>519</v>
      </c>
      <c r="N21" s="14" t="s">
        <v>520</v>
      </c>
      <c r="O21" s="16"/>
    </row>
    <row r="22" spans="2:15" ht="18" customHeight="1" x14ac:dyDescent="0.4">
      <c r="B22" s="14" t="s">
        <v>73</v>
      </c>
      <c r="C22" s="4" t="s">
        <v>19</v>
      </c>
      <c r="D22" s="13" t="s">
        <v>512</v>
      </c>
      <c r="E22" s="14" t="s">
        <v>547</v>
      </c>
      <c r="F22" s="14" t="s">
        <v>74</v>
      </c>
      <c r="G22" s="15">
        <v>2</v>
      </c>
      <c r="H22" s="14" t="s">
        <v>515</v>
      </c>
      <c r="I22" s="14" t="s">
        <v>516</v>
      </c>
      <c r="J22" s="16"/>
      <c r="K22" s="14" t="s">
        <v>517</v>
      </c>
      <c r="L22" s="14" t="s">
        <v>539</v>
      </c>
      <c r="M22" s="14" t="s">
        <v>519</v>
      </c>
      <c r="N22" s="14" t="s">
        <v>520</v>
      </c>
      <c r="O22" s="14" t="s">
        <v>540</v>
      </c>
    </row>
    <row r="23" spans="2:15" ht="18" customHeight="1" x14ac:dyDescent="0.4">
      <c r="B23" s="14" t="s">
        <v>75</v>
      </c>
      <c r="C23" s="4" t="s">
        <v>19</v>
      </c>
      <c r="D23" s="13" t="s">
        <v>512</v>
      </c>
      <c r="E23" s="14" t="s">
        <v>548</v>
      </c>
      <c r="F23" s="14" t="s">
        <v>76</v>
      </c>
      <c r="G23" s="15">
        <v>2</v>
      </c>
      <c r="H23" s="14" t="s">
        <v>515</v>
      </c>
      <c r="I23" s="14" t="s">
        <v>516</v>
      </c>
      <c r="J23" s="16"/>
      <c r="K23" s="14" t="s">
        <v>517</v>
      </c>
      <c r="L23" s="14" t="s">
        <v>539</v>
      </c>
      <c r="M23" s="14" t="s">
        <v>519</v>
      </c>
      <c r="N23" s="14" t="s">
        <v>520</v>
      </c>
      <c r="O23" s="14" t="s">
        <v>540</v>
      </c>
    </row>
    <row r="24" spans="2:15" x14ac:dyDescent="0.4">
      <c r="B24" s="14" t="s">
        <v>77</v>
      </c>
      <c r="C24" s="4" t="s">
        <v>19</v>
      </c>
      <c r="D24" s="13" t="s">
        <v>512</v>
      </c>
      <c r="E24" s="14" t="s">
        <v>549</v>
      </c>
      <c r="F24" s="14" t="s">
        <v>550</v>
      </c>
      <c r="G24" s="15">
        <v>2</v>
      </c>
      <c r="H24" s="14" t="s">
        <v>515</v>
      </c>
      <c r="I24" s="14" t="s">
        <v>516</v>
      </c>
      <c r="J24" s="16"/>
      <c r="K24" s="14" t="s">
        <v>517</v>
      </c>
      <c r="L24" s="14" t="s">
        <v>539</v>
      </c>
      <c r="M24" s="14" t="s">
        <v>519</v>
      </c>
      <c r="N24" s="14" t="s">
        <v>551</v>
      </c>
      <c r="O24" s="16"/>
    </row>
    <row r="25" spans="2:15" x14ac:dyDescent="0.4">
      <c r="B25" s="14" t="s">
        <v>78</v>
      </c>
      <c r="C25" s="4" t="s">
        <v>19</v>
      </c>
      <c r="D25" s="13" t="s">
        <v>512</v>
      </c>
      <c r="E25" s="14" t="s">
        <v>552</v>
      </c>
      <c r="F25" s="14" t="s">
        <v>550</v>
      </c>
      <c r="G25" s="15">
        <v>2</v>
      </c>
      <c r="H25" s="14" t="s">
        <v>515</v>
      </c>
      <c r="I25" s="14" t="s">
        <v>516</v>
      </c>
      <c r="J25" s="16"/>
      <c r="K25" s="14" t="s">
        <v>517</v>
      </c>
      <c r="L25" s="14" t="s">
        <v>539</v>
      </c>
      <c r="M25" s="14" t="s">
        <v>519</v>
      </c>
      <c r="N25" s="14" t="s">
        <v>553</v>
      </c>
      <c r="O25" s="16"/>
    </row>
    <row r="26" spans="2:15" x14ac:dyDescent="0.4">
      <c r="B26" s="14" t="s">
        <v>79</v>
      </c>
      <c r="C26" s="4" t="s">
        <v>19</v>
      </c>
      <c r="D26" s="13" t="s">
        <v>512</v>
      </c>
      <c r="E26" s="14" t="s">
        <v>554</v>
      </c>
      <c r="F26" s="14" t="s">
        <v>555</v>
      </c>
      <c r="G26" s="15">
        <v>2</v>
      </c>
      <c r="H26" s="14" t="s">
        <v>515</v>
      </c>
      <c r="I26" s="14" t="s">
        <v>161</v>
      </c>
      <c r="J26" s="16"/>
      <c r="K26" s="14" t="s">
        <v>517</v>
      </c>
      <c r="L26" s="14" t="s">
        <v>539</v>
      </c>
      <c r="M26" s="14" t="s">
        <v>519</v>
      </c>
      <c r="N26" s="14" t="s">
        <v>520</v>
      </c>
      <c r="O26" s="16"/>
    </row>
    <row r="27" spans="2:15" x14ac:dyDescent="0.4">
      <c r="B27" s="14" t="s">
        <v>80</v>
      </c>
      <c r="C27" s="4" t="s">
        <v>19</v>
      </c>
      <c r="D27" s="13" t="s">
        <v>512</v>
      </c>
      <c r="E27" s="14" t="s">
        <v>556</v>
      </c>
      <c r="F27" s="14" t="s">
        <v>81</v>
      </c>
      <c r="G27" s="15">
        <v>2</v>
      </c>
      <c r="H27" s="14" t="s">
        <v>515</v>
      </c>
      <c r="I27" s="14" t="s">
        <v>161</v>
      </c>
      <c r="J27" s="16"/>
      <c r="K27" s="14" t="s">
        <v>517</v>
      </c>
      <c r="L27" s="14" t="s">
        <v>539</v>
      </c>
      <c r="M27" s="14" t="s">
        <v>519</v>
      </c>
      <c r="N27" s="14" t="s">
        <v>520</v>
      </c>
      <c r="O27" s="16"/>
    </row>
    <row r="28" spans="2:15" x14ac:dyDescent="0.4">
      <c r="B28" s="14" t="s">
        <v>82</v>
      </c>
      <c r="C28" s="4" t="s">
        <v>19</v>
      </c>
      <c r="D28" s="13" t="s">
        <v>512</v>
      </c>
      <c r="E28" s="16" t="s">
        <v>557</v>
      </c>
      <c r="F28" s="14" t="s">
        <v>83</v>
      </c>
      <c r="G28" s="15">
        <v>2</v>
      </c>
      <c r="H28" s="14" t="s">
        <v>558</v>
      </c>
      <c r="I28" s="14" t="s">
        <v>516</v>
      </c>
      <c r="J28" s="16"/>
      <c r="K28" s="14" t="s">
        <v>517</v>
      </c>
      <c r="L28" s="14" t="s">
        <v>559</v>
      </c>
      <c r="M28" s="14" t="s">
        <v>519</v>
      </c>
      <c r="N28" s="14" t="s">
        <v>524</v>
      </c>
      <c r="O28" s="16"/>
    </row>
    <row r="29" spans="2:15" x14ac:dyDescent="0.4">
      <c r="B29" s="14" t="s">
        <v>84</v>
      </c>
      <c r="C29" s="4" t="s">
        <v>19</v>
      </c>
      <c r="D29" s="17" t="s">
        <v>560</v>
      </c>
      <c r="E29" s="14" t="s">
        <v>561</v>
      </c>
      <c r="F29" s="14" t="s">
        <v>85</v>
      </c>
      <c r="G29" s="15">
        <v>2</v>
      </c>
      <c r="H29" s="14" t="s">
        <v>515</v>
      </c>
      <c r="I29" s="15">
        <v>1</v>
      </c>
      <c r="J29" s="16"/>
      <c r="K29" s="14" t="s">
        <v>522</v>
      </c>
      <c r="L29" s="14" t="s">
        <v>562</v>
      </c>
      <c r="M29" s="14" t="s">
        <v>519</v>
      </c>
      <c r="N29" s="14" t="s">
        <v>520</v>
      </c>
      <c r="O29" s="16"/>
    </row>
    <row r="30" spans="2:15" x14ac:dyDescent="0.4">
      <c r="B30" s="14" t="s">
        <v>86</v>
      </c>
      <c r="C30" s="4" t="s">
        <v>19</v>
      </c>
      <c r="D30" s="14" t="s">
        <v>563</v>
      </c>
      <c r="E30" s="14" t="s">
        <v>564</v>
      </c>
      <c r="F30" s="14" t="s">
        <v>87</v>
      </c>
      <c r="G30" s="15">
        <v>2</v>
      </c>
      <c r="H30" s="14" t="s">
        <v>515</v>
      </c>
      <c r="I30" s="14" t="s">
        <v>516</v>
      </c>
      <c r="J30" s="16"/>
      <c r="K30" s="14" t="s">
        <v>522</v>
      </c>
      <c r="L30" s="14" t="s">
        <v>562</v>
      </c>
      <c r="M30" s="14" t="s">
        <v>519</v>
      </c>
      <c r="N30" s="14" t="s">
        <v>531</v>
      </c>
      <c r="O30" s="16"/>
    </row>
    <row r="31" spans="2:15" x14ac:dyDescent="0.4">
      <c r="B31" s="14" t="s">
        <v>88</v>
      </c>
      <c r="C31" s="4" t="s">
        <v>19</v>
      </c>
      <c r="D31" s="18" t="s">
        <v>565</v>
      </c>
      <c r="E31" s="14" t="s">
        <v>566</v>
      </c>
      <c r="F31" s="14" t="s">
        <v>89</v>
      </c>
      <c r="G31" s="15">
        <v>2</v>
      </c>
      <c r="H31" s="14" t="s">
        <v>515</v>
      </c>
      <c r="I31" s="14" t="s">
        <v>516</v>
      </c>
      <c r="J31" s="16"/>
      <c r="K31" s="14" t="s">
        <v>522</v>
      </c>
      <c r="L31" s="14" t="s">
        <v>567</v>
      </c>
      <c r="M31" s="14" t="s">
        <v>519</v>
      </c>
      <c r="N31" s="14" t="s">
        <v>531</v>
      </c>
      <c r="O31" s="16"/>
    </row>
    <row r="32" spans="2:15" x14ac:dyDescent="0.4">
      <c r="B32" s="14" t="s">
        <v>90</v>
      </c>
      <c r="C32" s="4" t="s">
        <v>19</v>
      </c>
      <c r="D32" s="14" t="s">
        <v>563</v>
      </c>
      <c r="E32" s="14" t="s">
        <v>568</v>
      </c>
      <c r="F32" s="14" t="s">
        <v>91</v>
      </c>
      <c r="G32" s="15">
        <v>2</v>
      </c>
      <c r="H32" s="14" t="s">
        <v>515</v>
      </c>
      <c r="I32" s="14" t="s">
        <v>516</v>
      </c>
      <c r="J32" s="16"/>
      <c r="K32" s="14" t="s">
        <v>522</v>
      </c>
      <c r="L32" s="14" t="s">
        <v>569</v>
      </c>
      <c r="M32" s="14" t="s">
        <v>519</v>
      </c>
      <c r="N32" s="14" t="s">
        <v>531</v>
      </c>
      <c r="O32" s="16"/>
    </row>
    <row r="33" spans="2:15" x14ac:dyDescent="0.4">
      <c r="B33" s="14" t="s">
        <v>92</v>
      </c>
      <c r="C33" s="4" t="s">
        <v>19</v>
      </c>
      <c r="D33" s="14" t="s">
        <v>563</v>
      </c>
      <c r="E33" s="14" t="s">
        <v>570</v>
      </c>
      <c r="F33" s="14" t="s">
        <v>93</v>
      </c>
      <c r="G33" s="15">
        <v>2</v>
      </c>
      <c r="H33" s="14" t="s">
        <v>515</v>
      </c>
      <c r="I33" s="14" t="s">
        <v>516</v>
      </c>
      <c r="J33" s="16"/>
      <c r="K33" s="14" t="s">
        <v>522</v>
      </c>
      <c r="L33" s="14" t="s">
        <v>571</v>
      </c>
      <c r="M33" s="14" t="s">
        <v>519</v>
      </c>
      <c r="N33" s="14" t="s">
        <v>531</v>
      </c>
      <c r="O33" s="16"/>
    </row>
    <row r="34" spans="2:15" x14ac:dyDescent="0.4">
      <c r="B34" s="14" t="s">
        <v>94</v>
      </c>
      <c r="C34" s="4" t="s">
        <v>19</v>
      </c>
      <c r="D34" s="14" t="s">
        <v>563</v>
      </c>
      <c r="E34" s="14" t="s">
        <v>572</v>
      </c>
      <c r="F34" s="14" t="s">
        <v>95</v>
      </c>
      <c r="G34" s="15">
        <v>2</v>
      </c>
      <c r="H34" s="14" t="s">
        <v>515</v>
      </c>
      <c r="I34" s="14" t="s">
        <v>516</v>
      </c>
      <c r="J34" s="16"/>
      <c r="K34" s="14" t="s">
        <v>522</v>
      </c>
      <c r="L34" s="14" t="s">
        <v>571</v>
      </c>
      <c r="M34" s="14" t="s">
        <v>519</v>
      </c>
      <c r="N34" s="14" t="s">
        <v>531</v>
      </c>
      <c r="O34" s="16"/>
    </row>
    <row r="35" spans="2:15" x14ac:dyDescent="0.4">
      <c r="B35" s="14" t="s">
        <v>96</v>
      </c>
      <c r="C35" s="4" t="s">
        <v>19</v>
      </c>
      <c r="D35" s="17" t="s">
        <v>560</v>
      </c>
      <c r="E35" s="14" t="s">
        <v>573</v>
      </c>
      <c r="F35" s="14" t="s">
        <v>97</v>
      </c>
      <c r="G35" s="15">
        <v>2</v>
      </c>
      <c r="H35" s="14" t="s">
        <v>515</v>
      </c>
      <c r="I35" s="14" t="s">
        <v>516</v>
      </c>
      <c r="J35" s="16"/>
      <c r="K35" s="14" t="s">
        <v>522</v>
      </c>
      <c r="L35" s="14" t="s">
        <v>574</v>
      </c>
      <c r="M35" s="14" t="s">
        <v>575</v>
      </c>
      <c r="N35" s="14" t="s">
        <v>531</v>
      </c>
      <c r="O35" s="16"/>
    </row>
    <row r="36" spans="2:15" x14ac:dyDescent="0.4">
      <c r="B36" s="14" t="s">
        <v>98</v>
      </c>
      <c r="C36" s="4" t="s">
        <v>19</v>
      </c>
      <c r="D36" s="17" t="s">
        <v>560</v>
      </c>
      <c r="E36" s="14" t="s">
        <v>576</v>
      </c>
      <c r="F36" s="14" t="s">
        <v>99</v>
      </c>
      <c r="G36" s="15">
        <v>2</v>
      </c>
      <c r="H36" s="14" t="s">
        <v>515</v>
      </c>
      <c r="I36" s="14" t="s">
        <v>516</v>
      </c>
      <c r="J36" s="16"/>
      <c r="K36" s="14" t="s">
        <v>522</v>
      </c>
      <c r="L36" s="14" t="s">
        <v>574</v>
      </c>
      <c r="M36" s="14" t="s">
        <v>577</v>
      </c>
      <c r="N36" s="14" t="s">
        <v>520</v>
      </c>
      <c r="O36" s="16"/>
    </row>
    <row r="37" spans="2:15" x14ac:dyDescent="0.4">
      <c r="B37" s="14" t="s">
        <v>100</v>
      </c>
      <c r="C37" s="4" t="s">
        <v>19</v>
      </c>
      <c r="D37" s="14" t="s">
        <v>563</v>
      </c>
      <c r="E37" s="14" t="s">
        <v>578</v>
      </c>
      <c r="F37" s="14" t="s">
        <v>101</v>
      </c>
      <c r="G37" s="15">
        <v>2</v>
      </c>
      <c r="H37" s="14" t="s">
        <v>515</v>
      </c>
      <c r="I37" s="14" t="s">
        <v>516</v>
      </c>
      <c r="J37" s="16"/>
      <c r="K37" s="14" t="s">
        <v>522</v>
      </c>
      <c r="L37" s="14" t="s">
        <v>579</v>
      </c>
      <c r="M37" s="14" t="s">
        <v>577</v>
      </c>
      <c r="N37" s="14" t="s">
        <v>520</v>
      </c>
      <c r="O37" s="16"/>
    </row>
    <row r="38" spans="2:15" x14ac:dyDescent="0.4">
      <c r="B38" s="14" t="s">
        <v>102</v>
      </c>
      <c r="C38" s="4" t="s">
        <v>19</v>
      </c>
      <c r="D38" s="14" t="s">
        <v>563</v>
      </c>
      <c r="E38" s="14" t="s">
        <v>580</v>
      </c>
      <c r="F38" s="14" t="s">
        <v>103</v>
      </c>
      <c r="G38" s="15">
        <v>2</v>
      </c>
      <c r="H38" s="14" t="s">
        <v>515</v>
      </c>
      <c r="I38" s="14" t="s">
        <v>516</v>
      </c>
      <c r="J38" s="16"/>
      <c r="K38" s="14" t="s">
        <v>522</v>
      </c>
      <c r="L38" s="14" t="s">
        <v>581</v>
      </c>
      <c r="M38" s="14" t="s">
        <v>577</v>
      </c>
      <c r="N38" s="14" t="s">
        <v>531</v>
      </c>
      <c r="O38" s="16"/>
    </row>
    <row r="39" spans="2:15" x14ac:dyDescent="0.4">
      <c r="B39" s="14" t="s">
        <v>104</v>
      </c>
      <c r="C39" s="4" t="s">
        <v>19</v>
      </c>
      <c r="D39" s="18" t="s">
        <v>565</v>
      </c>
      <c r="E39" s="14" t="s">
        <v>582</v>
      </c>
      <c r="F39" s="14" t="s">
        <v>105</v>
      </c>
      <c r="G39" s="15">
        <v>2</v>
      </c>
      <c r="H39" s="14" t="s">
        <v>515</v>
      </c>
      <c r="I39" s="14" t="s">
        <v>516</v>
      </c>
      <c r="J39" s="16"/>
      <c r="K39" s="14" t="s">
        <v>517</v>
      </c>
      <c r="L39" s="14" t="s">
        <v>583</v>
      </c>
      <c r="M39" s="14" t="s">
        <v>577</v>
      </c>
      <c r="N39" s="14" t="s">
        <v>531</v>
      </c>
      <c r="O39" s="16"/>
    </row>
    <row r="40" spans="2:15" x14ac:dyDescent="0.4">
      <c r="B40" s="14" t="s">
        <v>106</v>
      </c>
      <c r="C40" s="4" t="s">
        <v>19</v>
      </c>
      <c r="D40" s="18" t="s">
        <v>565</v>
      </c>
      <c r="E40" s="14" t="s">
        <v>584</v>
      </c>
      <c r="F40" s="14" t="s">
        <v>107</v>
      </c>
      <c r="G40" s="15">
        <v>2</v>
      </c>
      <c r="H40" s="14" t="s">
        <v>515</v>
      </c>
      <c r="I40" s="14" t="s">
        <v>516</v>
      </c>
      <c r="J40" s="16"/>
      <c r="K40" s="14" t="s">
        <v>517</v>
      </c>
      <c r="L40" s="14" t="s">
        <v>585</v>
      </c>
      <c r="M40" s="14" t="s">
        <v>575</v>
      </c>
      <c r="N40" s="14" t="s">
        <v>531</v>
      </c>
      <c r="O40" s="16"/>
    </row>
    <row r="41" spans="2:15" x14ac:dyDescent="0.4">
      <c r="B41" s="14" t="s">
        <v>108</v>
      </c>
      <c r="C41" s="4" t="s">
        <v>19</v>
      </c>
      <c r="D41" s="18" t="s">
        <v>565</v>
      </c>
      <c r="E41" s="14" t="s">
        <v>586</v>
      </c>
      <c r="F41" s="14" t="s">
        <v>109</v>
      </c>
      <c r="G41" s="15">
        <v>2</v>
      </c>
      <c r="H41" s="14" t="s">
        <v>515</v>
      </c>
      <c r="I41" s="14" t="s">
        <v>516</v>
      </c>
      <c r="J41" s="16"/>
      <c r="K41" s="14" t="s">
        <v>517</v>
      </c>
      <c r="L41" s="14" t="s">
        <v>587</v>
      </c>
      <c r="M41" s="14" t="s">
        <v>519</v>
      </c>
      <c r="N41" s="14" t="s">
        <v>531</v>
      </c>
      <c r="O41" s="16"/>
    </row>
    <row r="42" spans="2:15" x14ac:dyDescent="0.4">
      <c r="B42" s="14" t="s">
        <v>110</v>
      </c>
      <c r="C42" s="4" t="s">
        <v>19</v>
      </c>
      <c r="D42" s="18" t="s">
        <v>565</v>
      </c>
      <c r="E42" s="14" t="s">
        <v>588</v>
      </c>
      <c r="F42" s="14" t="s">
        <v>111</v>
      </c>
      <c r="G42" s="15">
        <v>2</v>
      </c>
      <c r="H42" s="14" t="s">
        <v>515</v>
      </c>
      <c r="I42" s="14" t="s">
        <v>516</v>
      </c>
      <c r="J42" s="16"/>
      <c r="K42" s="14" t="s">
        <v>522</v>
      </c>
      <c r="L42" s="14" t="s">
        <v>589</v>
      </c>
      <c r="M42" s="14" t="s">
        <v>577</v>
      </c>
      <c r="N42" s="14" t="s">
        <v>531</v>
      </c>
      <c r="O42" s="16"/>
    </row>
    <row r="43" spans="2:15" x14ac:dyDescent="0.4">
      <c r="B43" s="14" t="s">
        <v>112</v>
      </c>
      <c r="C43" s="4" t="s">
        <v>19</v>
      </c>
      <c r="D43" s="17" t="s">
        <v>560</v>
      </c>
      <c r="E43" s="14" t="s">
        <v>590</v>
      </c>
      <c r="F43" s="14" t="s">
        <v>113</v>
      </c>
      <c r="G43" s="15">
        <v>2</v>
      </c>
      <c r="H43" s="14" t="s">
        <v>515</v>
      </c>
      <c r="I43" s="14" t="s">
        <v>516</v>
      </c>
      <c r="J43" s="16"/>
      <c r="K43" s="14" t="s">
        <v>522</v>
      </c>
      <c r="L43" s="14" t="s">
        <v>591</v>
      </c>
      <c r="M43" s="14" t="s">
        <v>519</v>
      </c>
      <c r="N43" s="14" t="s">
        <v>520</v>
      </c>
      <c r="O43" s="16"/>
    </row>
    <row r="44" spans="2:15" x14ac:dyDescent="0.4">
      <c r="B44" s="14" t="s">
        <v>114</v>
      </c>
      <c r="C44" s="4" t="s">
        <v>19</v>
      </c>
      <c r="D44" s="14" t="s">
        <v>563</v>
      </c>
      <c r="E44" s="14" t="s">
        <v>592</v>
      </c>
      <c r="F44" s="14" t="s">
        <v>115</v>
      </c>
      <c r="G44" s="15">
        <v>2</v>
      </c>
      <c r="H44" s="14" t="s">
        <v>515</v>
      </c>
      <c r="I44" s="14" t="s">
        <v>516</v>
      </c>
      <c r="J44" s="16"/>
      <c r="K44" s="14" t="s">
        <v>522</v>
      </c>
      <c r="L44" s="14" t="s">
        <v>593</v>
      </c>
      <c r="M44" s="14" t="s">
        <v>519</v>
      </c>
      <c r="N44" s="14" t="s">
        <v>531</v>
      </c>
      <c r="O44" s="16"/>
    </row>
    <row r="45" spans="2:15" x14ac:dyDescent="0.4">
      <c r="B45" s="14" t="s">
        <v>116</v>
      </c>
      <c r="C45" s="4" t="s">
        <v>19</v>
      </c>
      <c r="D45" s="14" t="s">
        <v>563</v>
      </c>
      <c r="E45" s="14" t="s">
        <v>594</v>
      </c>
      <c r="F45" s="14" t="s">
        <v>117</v>
      </c>
      <c r="G45" s="15">
        <v>2</v>
      </c>
      <c r="H45" s="14" t="s">
        <v>515</v>
      </c>
      <c r="I45" s="14" t="s">
        <v>516</v>
      </c>
      <c r="J45" s="16"/>
      <c r="K45" s="14" t="s">
        <v>522</v>
      </c>
      <c r="L45" s="14" t="s">
        <v>595</v>
      </c>
      <c r="M45" s="14" t="s">
        <v>519</v>
      </c>
      <c r="N45" s="14" t="s">
        <v>520</v>
      </c>
      <c r="O45" s="16"/>
    </row>
    <row r="46" spans="2:15" x14ac:dyDescent="0.4">
      <c r="B46" s="14" t="s">
        <v>118</v>
      </c>
      <c r="C46" s="4" t="s">
        <v>19</v>
      </c>
      <c r="D46" s="14" t="s">
        <v>563</v>
      </c>
      <c r="E46" s="14" t="s">
        <v>596</v>
      </c>
      <c r="F46" s="14" t="s">
        <v>597</v>
      </c>
      <c r="G46" s="15">
        <v>2</v>
      </c>
      <c r="H46" s="14" t="s">
        <v>515</v>
      </c>
      <c r="I46" s="14" t="s">
        <v>516</v>
      </c>
      <c r="J46" s="16"/>
      <c r="K46" s="14" t="s">
        <v>522</v>
      </c>
      <c r="L46" s="14" t="s">
        <v>598</v>
      </c>
      <c r="M46" s="14" t="s">
        <v>519</v>
      </c>
      <c r="N46" s="14" t="s">
        <v>599</v>
      </c>
      <c r="O46" s="16"/>
    </row>
    <row r="47" spans="2:15" x14ac:dyDescent="0.4">
      <c r="B47" s="14" t="s">
        <v>119</v>
      </c>
      <c r="C47" s="4" t="s">
        <v>19</v>
      </c>
      <c r="D47" s="18" t="s">
        <v>565</v>
      </c>
      <c r="E47" s="14" t="s">
        <v>600</v>
      </c>
      <c r="F47" s="14" t="s">
        <v>120</v>
      </c>
      <c r="G47" s="15">
        <v>2</v>
      </c>
      <c r="H47" s="14" t="s">
        <v>515</v>
      </c>
      <c r="I47" s="14" t="s">
        <v>516</v>
      </c>
      <c r="J47" s="16"/>
      <c r="K47" s="14" t="s">
        <v>522</v>
      </c>
      <c r="L47" s="14" t="s">
        <v>601</v>
      </c>
      <c r="M47" s="14" t="s">
        <v>577</v>
      </c>
      <c r="N47" s="14" t="s">
        <v>531</v>
      </c>
      <c r="O47" s="14" t="s">
        <v>602</v>
      </c>
    </row>
    <row r="48" spans="2:15" x14ac:dyDescent="0.4">
      <c r="B48" s="14" t="s">
        <v>121</v>
      </c>
      <c r="C48" s="4" t="s">
        <v>19</v>
      </c>
      <c r="D48" s="18" t="s">
        <v>565</v>
      </c>
      <c r="E48" s="14" t="s">
        <v>603</v>
      </c>
      <c r="F48" s="14" t="s">
        <v>122</v>
      </c>
      <c r="G48" s="15">
        <v>2</v>
      </c>
      <c r="H48" s="14" t="s">
        <v>515</v>
      </c>
      <c r="I48" s="14" t="s">
        <v>516</v>
      </c>
      <c r="J48" s="16"/>
      <c r="K48" s="14" t="s">
        <v>522</v>
      </c>
      <c r="L48" s="14" t="s">
        <v>604</v>
      </c>
      <c r="M48" s="14" t="s">
        <v>575</v>
      </c>
      <c r="N48" s="14" t="s">
        <v>520</v>
      </c>
      <c r="O48" s="14" t="s">
        <v>602</v>
      </c>
    </row>
    <row r="49" spans="2:15" x14ac:dyDescent="0.4">
      <c r="B49" s="14" t="s">
        <v>123</v>
      </c>
      <c r="C49" s="4" t="s">
        <v>19</v>
      </c>
      <c r="D49" s="18" t="s">
        <v>565</v>
      </c>
      <c r="E49" s="14" t="s">
        <v>605</v>
      </c>
      <c r="F49" s="14" t="s">
        <v>124</v>
      </c>
      <c r="G49" s="15">
        <v>2</v>
      </c>
      <c r="H49" s="14" t="s">
        <v>515</v>
      </c>
      <c r="I49" s="14" t="s">
        <v>516</v>
      </c>
      <c r="J49" s="16"/>
      <c r="K49" s="14" t="s">
        <v>522</v>
      </c>
      <c r="L49" s="14" t="s">
        <v>606</v>
      </c>
      <c r="M49" s="14" t="s">
        <v>577</v>
      </c>
      <c r="N49" s="14" t="s">
        <v>520</v>
      </c>
      <c r="O49" s="14" t="s">
        <v>602</v>
      </c>
    </row>
    <row r="50" spans="2:15" ht="27.6" customHeight="1" x14ac:dyDescent="0.4">
      <c r="B50" s="19" t="s">
        <v>125</v>
      </c>
      <c r="C50" s="4" t="s">
        <v>19</v>
      </c>
      <c r="D50" s="17" t="s">
        <v>560</v>
      </c>
      <c r="E50" s="14" t="s">
        <v>607</v>
      </c>
      <c r="F50" s="14" t="s">
        <v>608</v>
      </c>
      <c r="G50" s="15">
        <v>2</v>
      </c>
      <c r="H50" s="14" t="s">
        <v>515</v>
      </c>
      <c r="I50" s="14" t="s">
        <v>516</v>
      </c>
      <c r="J50" s="16"/>
      <c r="K50" s="14" t="s">
        <v>522</v>
      </c>
      <c r="L50" s="14" t="s">
        <v>609</v>
      </c>
      <c r="M50" s="14" t="s">
        <v>519</v>
      </c>
      <c r="N50" s="14" t="s">
        <v>610</v>
      </c>
      <c r="O50" s="16" t="s">
        <v>611</v>
      </c>
    </row>
    <row r="51" spans="2:15" x14ac:dyDescent="0.4">
      <c r="B51" s="14" t="s">
        <v>127</v>
      </c>
      <c r="C51" s="4" t="s">
        <v>19</v>
      </c>
      <c r="D51" s="18" t="s">
        <v>565</v>
      </c>
      <c r="E51" s="14" t="s">
        <v>612</v>
      </c>
      <c r="F51" s="14" t="s">
        <v>128</v>
      </c>
      <c r="G51" s="15">
        <v>2</v>
      </c>
      <c r="H51" s="14" t="s">
        <v>515</v>
      </c>
      <c r="I51" s="14" t="s">
        <v>516</v>
      </c>
      <c r="J51" s="16"/>
      <c r="K51" s="14" t="s">
        <v>522</v>
      </c>
      <c r="L51" s="14" t="s">
        <v>609</v>
      </c>
      <c r="M51" s="14" t="s">
        <v>519</v>
      </c>
      <c r="N51" s="14" t="s">
        <v>520</v>
      </c>
      <c r="O51" s="14" t="s">
        <v>602</v>
      </c>
    </row>
    <row r="52" spans="2:15" x14ac:dyDescent="0.4">
      <c r="B52" s="14" t="s">
        <v>129</v>
      </c>
      <c r="C52" s="4" t="s">
        <v>19</v>
      </c>
      <c r="D52" s="17" t="s">
        <v>560</v>
      </c>
      <c r="E52" s="14" t="s">
        <v>613</v>
      </c>
      <c r="F52" s="14" t="s">
        <v>130</v>
      </c>
      <c r="G52" s="15">
        <v>2</v>
      </c>
      <c r="H52" s="14" t="s">
        <v>515</v>
      </c>
      <c r="I52" s="14" t="s">
        <v>516</v>
      </c>
      <c r="J52" s="16"/>
      <c r="K52" s="14" t="s">
        <v>522</v>
      </c>
      <c r="L52" s="14" t="s">
        <v>614</v>
      </c>
      <c r="M52" s="14" t="s">
        <v>577</v>
      </c>
      <c r="N52" s="14" t="s">
        <v>520</v>
      </c>
      <c r="O52" s="16"/>
    </row>
    <row r="53" spans="2:15" x14ac:dyDescent="0.4">
      <c r="B53" s="14" t="s">
        <v>131</v>
      </c>
      <c r="C53" s="4" t="s">
        <v>19</v>
      </c>
      <c r="D53" s="18" t="s">
        <v>565</v>
      </c>
      <c r="E53" s="14" t="s">
        <v>615</v>
      </c>
      <c r="F53" s="14" t="s">
        <v>616</v>
      </c>
      <c r="G53" s="15">
        <v>2</v>
      </c>
      <c r="H53" s="14" t="s">
        <v>515</v>
      </c>
      <c r="I53" s="14" t="s">
        <v>516</v>
      </c>
      <c r="J53" s="16"/>
      <c r="K53" s="14" t="s">
        <v>522</v>
      </c>
      <c r="L53" s="14" t="s">
        <v>617</v>
      </c>
      <c r="M53" s="14" t="s">
        <v>519</v>
      </c>
      <c r="N53" s="14" t="s">
        <v>520</v>
      </c>
      <c r="O53" s="16"/>
    </row>
    <row r="54" spans="2:15" x14ac:dyDescent="0.4">
      <c r="B54" s="14" t="s">
        <v>132</v>
      </c>
      <c r="C54" s="4" t="s">
        <v>19</v>
      </c>
      <c r="D54" s="18" t="s">
        <v>565</v>
      </c>
      <c r="E54" s="14" t="s">
        <v>618</v>
      </c>
      <c r="F54" s="14" t="s">
        <v>619</v>
      </c>
      <c r="G54" s="15">
        <v>2</v>
      </c>
      <c r="H54" s="14" t="s">
        <v>515</v>
      </c>
      <c r="I54" s="14" t="s">
        <v>516</v>
      </c>
      <c r="J54" s="16"/>
      <c r="K54" s="14" t="s">
        <v>522</v>
      </c>
      <c r="L54" s="14" t="s">
        <v>620</v>
      </c>
      <c r="M54" s="14" t="s">
        <v>519</v>
      </c>
      <c r="N54" s="14" t="s">
        <v>520</v>
      </c>
      <c r="O54" s="16"/>
    </row>
    <row r="55" spans="2:15" x14ac:dyDescent="0.4">
      <c r="B55" s="14" t="s">
        <v>133</v>
      </c>
      <c r="C55" s="4" t="s">
        <v>19</v>
      </c>
      <c r="D55" s="18" t="s">
        <v>565</v>
      </c>
      <c r="E55" s="14" t="s">
        <v>621</v>
      </c>
      <c r="F55" s="14" t="s">
        <v>134</v>
      </c>
      <c r="G55" s="15">
        <v>2</v>
      </c>
      <c r="H55" s="14" t="s">
        <v>515</v>
      </c>
      <c r="I55" s="14" t="s">
        <v>516</v>
      </c>
      <c r="J55" s="16"/>
      <c r="K55" s="14" t="s">
        <v>522</v>
      </c>
      <c r="L55" s="14" t="s">
        <v>622</v>
      </c>
      <c r="M55" s="14" t="s">
        <v>575</v>
      </c>
      <c r="N55" s="14" t="s">
        <v>531</v>
      </c>
      <c r="O55" s="16"/>
    </row>
    <row r="56" spans="2:15" x14ac:dyDescent="0.4">
      <c r="B56" s="14" t="s">
        <v>135</v>
      </c>
      <c r="C56" s="4" t="s">
        <v>19</v>
      </c>
      <c r="D56" s="18" t="s">
        <v>565</v>
      </c>
      <c r="E56" s="14" t="s">
        <v>623</v>
      </c>
      <c r="F56" s="14" t="s">
        <v>136</v>
      </c>
      <c r="G56" s="15">
        <v>2</v>
      </c>
      <c r="H56" s="14" t="s">
        <v>515</v>
      </c>
      <c r="I56" s="14" t="s">
        <v>516</v>
      </c>
      <c r="J56" s="16"/>
      <c r="K56" s="14" t="s">
        <v>522</v>
      </c>
      <c r="L56" s="14" t="s">
        <v>624</v>
      </c>
      <c r="M56" s="14" t="s">
        <v>575</v>
      </c>
      <c r="N56" s="14" t="s">
        <v>520</v>
      </c>
      <c r="O56" s="16"/>
    </row>
    <row r="57" spans="2:15" x14ac:dyDescent="0.4">
      <c r="B57" s="14" t="s">
        <v>137</v>
      </c>
      <c r="C57" s="4" t="s">
        <v>19</v>
      </c>
      <c r="D57" s="18" t="s">
        <v>565</v>
      </c>
      <c r="E57" s="14" t="s">
        <v>625</v>
      </c>
      <c r="F57" s="14" t="s">
        <v>138</v>
      </c>
      <c r="G57" s="15">
        <v>2</v>
      </c>
      <c r="H57" s="14" t="s">
        <v>515</v>
      </c>
      <c r="I57" s="14" t="s">
        <v>516</v>
      </c>
      <c r="J57" s="16"/>
      <c r="K57" s="14" t="s">
        <v>522</v>
      </c>
      <c r="L57" s="14" t="s">
        <v>626</v>
      </c>
      <c r="M57" s="14" t="s">
        <v>577</v>
      </c>
      <c r="N57" s="14" t="s">
        <v>531</v>
      </c>
      <c r="O57" s="16"/>
    </row>
    <row r="58" spans="2:15" x14ac:dyDescent="0.4">
      <c r="B58" s="14" t="s">
        <v>139</v>
      </c>
      <c r="C58" s="4" t="s">
        <v>19</v>
      </c>
      <c r="D58" s="14" t="s">
        <v>563</v>
      </c>
      <c r="E58" s="14" t="s">
        <v>627</v>
      </c>
      <c r="F58" s="14" t="s">
        <v>628</v>
      </c>
      <c r="G58" s="15">
        <v>2</v>
      </c>
      <c r="H58" s="14" t="s">
        <v>515</v>
      </c>
      <c r="I58" s="14" t="s">
        <v>516</v>
      </c>
      <c r="J58" s="16"/>
      <c r="K58" s="14" t="s">
        <v>517</v>
      </c>
      <c r="L58" s="14" t="s">
        <v>629</v>
      </c>
      <c r="M58" s="14" t="s">
        <v>577</v>
      </c>
      <c r="N58" s="14" t="s">
        <v>520</v>
      </c>
      <c r="O58" s="16"/>
    </row>
    <row r="59" spans="2:15" x14ac:dyDescent="0.4">
      <c r="B59" s="14" t="s">
        <v>140</v>
      </c>
      <c r="C59" s="4" t="s">
        <v>19</v>
      </c>
      <c r="D59" s="17" t="s">
        <v>560</v>
      </c>
      <c r="E59" s="14" t="s">
        <v>630</v>
      </c>
      <c r="F59" s="14" t="s">
        <v>141</v>
      </c>
      <c r="G59" s="15">
        <v>2</v>
      </c>
      <c r="H59" s="14" t="s">
        <v>515</v>
      </c>
      <c r="I59" s="14" t="s">
        <v>516</v>
      </c>
      <c r="J59" s="16"/>
      <c r="K59" s="14" t="s">
        <v>517</v>
      </c>
      <c r="L59" s="14" t="s">
        <v>631</v>
      </c>
      <c r="M59" s="14" t="s">
        <v>519</v>
      </c>
      <c r="N59" s="14" t="s">
        <v>531</v>
      </c>
      <c r="O59" s="16"/>
    </row>
    <row r="60" spans="2:15" x14ac:dyDescent="0.4">
      <c r="B60" s="14" t="s">
        <v>142</v>
      </c>
      <c r="C60" s="4" t="s">
        <v>19</v>
      </c>
      <c r="D60" s="17" t="s">
        <v>560</v>
      </c>
      <c r="E60" s="14" t="s">
        <v>632</v>
      </c>
      <c r="F60" s="14" t="s">
        <v>143</v>
      </c>
      <c r="G60" s="15">
        <v>2</v>
      </c>
      <c r="H60" s="14" t="s">
        <v>515</v>
      </c>
      <c r="I60" s="14" t="s">
        <v>516</v>
      </c>
      <c r="J60" s="16"/>
      <c r="K60" s="14" t="s">
        <v>522</v>
      </c>
      <c r="L60" s="14" t="s">
        <v>631</v>
      </c>
      <c r="M60" s="14" t="s">
        <v>519</v>
      </c>
      <c r="N60" s="14" t="s">
        <v>531</v>
      </c>
      <c r="O60" s="16"/>
    </row>
    <row r="61" spans="2:15" x14ac:dyDescent="0.4">
      <c r="B61" s="14" t="s">
        <v>144</v>
      </c>
      <c r="C61" s="4" t="s">
        <v>19</v>
      </c>
      <c r="D61" s="14" t="s">
        <v>563</v>
      </c>
      <c r="E61" s="14" t="s">
        <v>633</v>
      </c>
      <c r="F61" s="14" t="s">
        <v>145</v>
      </c>
      <c r="G61" s="15">
        <v>2</v>
      </c>
      <c r="H61" s="14" t="s">
        <v>515</v>
      </c>
      <c r="I61" s="14" t="s">
        <v>516</v>
      </c>
      <c r="J61" s="16"/>
      <c r="K61" s="14" t="s">
        <v>522</v>
      </c>
      <c r="L61" s="14" t="s">
        <v>634</v>
      </c>
      <c r="M61" s="14" t="s">
        <v>519</v>
      </c>
      <c r="N61" s="14" t="s">
        <v>520</v>
      </c>
      <c r="O61" s="16"/>
    </row>
    <row r="62" spans="2:15" ht="18" customHeight="1" x14ac:dyDescent="0.4">
      <c r="B62" s="14" t="s">
        <v>146</v>
      </c>
      <c r="C62" s="4" t="s">
        <v>19</v>
      </c>
      <c r="D62" s="14" t="s">
        <v>563</v>
      </c>
      <c r="E62" s="14" t="s">
        <v>635</v>
      </c>
      <c r="F62" s="14" t="s">
        <v>145</v>
      </c>
      <c r="G62" s="15">
        <v>2</v>
      </c>
      <c r="H62" s="14" t="s">
        <v>515</v>
      </c>
      <c r="I62" s="14" t="s">
        <v>516</v>
      </c>
      <c r="J62" s="16"/>
      <c r="K62" s="14" t="s">
        <v>517</v>
      </c>
      <c r="L62" s="14" t="s">
        <v>634</v>
      </c>
      <c r="M62" s="14" t="s">
        <v>519</v>
      </c>
      <c r="N62" s="14" t="s">
        <v>531</v>
      </c>
      <c r="O62" s="16"/>
    </row>
    <row r="63" spans="2:15" x14ac:dyDescent="0.4">
      <c r="B63" s="19" t="s">
        <v>147</v>
      </c>
      <c r="C63" s="4" t="s">
        <v>19</v>
      </c>
      <c r="D63" s="17" t="s">
        <v>560</v>
      </c>
      <c r="E63" s="14" t="s">
        <v>636</v>
      </c>
      <c r="F63" s="14" t="s">
        <v>148</v>
      </c>
      <c r="G63" s="15">
        <v>2</v>
      </c>
      <c r="H63" s="14" t="s">
        <v>515</v>
      </c>
      <c r="I63" s="14" t="s">
        <v>516</v>
      </c>
      <c r="J63" s="16"/>
      <c r="K63" s="14" t="s">
        <v>522</v>
      </c>
      <c r="L63" s="14" t="s">
        <v>637</v>
      </c>
      <c r="M63" s="14" t="s">
        <v>519</v>
      </c>
      <c r="N63" s="14" t="s">
        <v>531</v>
      </c>
      <c r="O63" s="16"/>
    </row>
    <row r="64" spans="2:15" x14ac:dyDescent="0.4">
      <c r="B64" s="14" t="s">
        <v>149</v>
      </c>
      <c r="C64" s="4" t="s">
        <v>19</v>
      </c>
      <c r="D64" s="14" t="s">
        <v>563</v>
      </c>
      <c r="E64" s="14" t="s">
        <v>638</v>
      </c>
      <c r="F64" s="14" t="s">
        <v>150</v>
      </c>
      <c r="G64" s="15">
        <v>2</v>
      </c>
      <c r="H64" s="14" t="s">
        <v>515</v>
      </c>
      <c r="I64" s="14" t="s">
        <v>516</v>
      </c>
      <c r="J64" s="16"/>
      <c r="K64" s="14" t="s">
        <v>517</v>
      </c>
      <c r="L64" s="14" t="s">
        <v>639</v>
      </c>
      <c r="M64" s="14" t="s">
        <v>519</v>
      </c>
      <c r="N64" s="14" t="s">
        <v>520</v>
      </c>
      <c r="O64" s="16"/>
    </row>
    <row r="65" spans="2:15" x14ac:dyDescent="0.4">
      <c r="B65" s="19" t="s">
        <v>369</v>
      </c>
      <c r="C65" s="4" t="s">
        <v>57</v>
      </c>
      <c r="D65" s="18" t="s">
        <v>565</v>
      </c>
      <c r="E65" s="14" t="s">
        <v>640</v>
      </c>
      <c r="F65" s="14" t="s">
        <v>120</v>
      </c>
      <c r="G65" s="15">
        <v>2</v>
      </c>
      <c r="H65" s="14" t="s">
        <v>515</v>
      </c>
      <c r="I65" s="14" t="s">
        <v>516</v>
      </c>
      <c r="J65" s="16"/>
      <c r="K65" s="14" t="s">
        <v>522</v>
      </c>
      <c r="L65" s="14" t="s">
        <v>641</v>
      </c>
      <c r="M65" s="14" t="s">
        <v>575</v>
      </c>
      <c r="N65" s="14" t="s">
        <v>531</v>
      </c>
      <c r="O65" s="14" t="s">
        <v>602</v>
      </c>
    </row>
    <row r="66" spans="2:15" x14ac:dyDescent="0.4">
      <c r="B66" s="19" t="s">
        <v>370</v>
      </c>
      <c r="C66" s="4" t="s">
        <v>57</v>
      </c>
      <c r="D66" s="18" t="s">
        <v>565</v>
      </c>
      <c r="E66" s="14" t="s">
        <v>642</v>
      </c>
      <c r="F66" s="14" t="s">
        <v>122</v>
      </c>
      <c r="G66" s="15">
        <v>2</v>
      </c>
      <c r="H66" s="14" t="s">
        <v>515</v>
      </c>
      <c r="I66" s="14" t="s">
        <v>516</v>
      </c>
      <c r="J66" s="16"/>
      <c r="K66" s="14" t="s">
        <v>522</v>
      </c>
      <c r="L66" s="14" t="s">
        <v>643</v>
      </c>
      <c r="M66" s="14" t="s">
        <v>577</v>
      </c>
      <c r="N66" s="14" t="s">
        <v>520</v>
      </c>
      <c r="O66" s="14" t="s">
        <v>602</v>
      </c>
    </row>
    <row r="67" spans="2:15" x14ac:dyDescent="0.4">
      <c r="B67" s="19" t="s">
        <v>371</v>
      </c>
      <c r="C67" s="4" t="s">
        <v>57</v>
      </c>
      <c r="D67" s="18" t="s">
        <v>565</v>
      </c>
      <c r="E67" s="14" t="s">
        <v>644</v>
      </c>
      <c r="F67" s="14" t="s">
        <v>124</v>
      </c>
      <c r="G67" s="15">
        <v>2</v>
      </c>
      <c r="H67" s="14" t="s">
        <v>515</v>
      </c>
      <c r="I67" s="14" t="s">
        <v>516</v>
      </c>
      <c r="J67" s="16"/>
      <c r="K67" s="14" t="s">
        <v>522</v>
      </c>
      <c r="L67" s="14" t="s">
        <v>645</v>
      </c>
      <c r="M67" s="14" t="s">
        <v>575</v>
      </c>
      <c r="N67" s="14" t="s">
        <v>520</v>
      </c>
      <c r="O67" s="14" t="s">
        <v>602</v>
      </c>
    </row>
    <row r="68" spans="2:15" x14ac:dyDescent="0.4">
      <c r="B68" s="19" t="s">
        <v>372</v>
      </c>
      <c r="C68" s="4" t="s">
        <v>57</v>
      </c>
      <c r="D68" s="18" t="s">
        <v>565</v>
      </c>
      <c r="E68" s="14" t="s">
        <v>646</v>
      </c>
      <c r="F68" s="14" t="s">
        <v>126</v>
      </c>
      <c r="G68" s="15">
        <v>2</v>
      </c>
      <c r="H68" s="14" t="s">
        <v>515</v>
      </c>
      <c r="I68" s="14" t="s">
        <v>516</v>
      </c>
      <c r="J68" s="16"/>
      <c r="K68" s="14" t="s">
        <v>522</v>
      </c>
      <c r="L68" s="14" t="s">
        <v>647</v>
      </c>
      <c r="M68" s="14" t="s">
        <v>577</v>
      </c>
      <c r="N68" s="14" t="s">
        <v>520</v>
      </c>
      <c r="O68" s="14" t="s">
        <v>602</v>
      </c>
    </row>
    <row r="69" spans="2:15" x14ac:dyDescent="0.4">
      <c r="B69" s="19" t="s">
        <v>373</v>
      </c>
      <c r="C69" s="4" t="s">
        <v>57</v>
      </c>
      <c r="D69" s="18" t="s">
        <v>565</v>
      </c>
      <c r="E69" s="14" t="s">
        <v>648</v>
      </c>
      <c r="F69" s="14" t="s">
        <v>374</v>
      </c>
      <c r="G69" s="15">
        <v>2</v>
      </c>
      <c r="H69" s="14" t="s">
        <v>515</v>
      </c>
      <c r="I69" s="14" t="s">
        <v>516</v>
      </c>
      <c r="J69" s="16"/>
      <c r="K69" s="14" t="s">
        <v>522</v>
      </c>
      <c r="L69" s="14" t="s">
        <v>647</v>
      </c>
      <c r="M69" s="14" t="s">
        <v>575</v>
      </c>
      <c r="N69" s="14" t="s">
        <v>531</v>
      </c>
      <c r="O69" s="14" t="s">
        <v>602</v>
      </c>
    </row>
    <row r="70" spans="2:15" x14ac:dyDescent="0.4">
      <c r="B70" s="19" t="s">
        <v>375</v>
      </c>
      <c r="C70" s="4" t="s">
        <v>57</v>
      </c>
      <c r="D70" s="18" t="s">
        <v>565</v>
      </c>
      <c r="E70" s="14" t="s">
        <v>649</v>
      </c>
      <c r="F70" s="14" t="s">
        <v>128</v>
      </c>
      <c r="G70" s="15">
        <v>2</v>
      </c>
      <c r="H70" s="14" t="s">
        <v>515</v>
      </c>
      <c r="I70" s="14" t="s">
        <v>516</v>
      </c>
      <c r="J70" s="16"/>
      <c r="K70" s="14" t="s">
        <v>522</v>
      </c>
      <c r="L70" s="14" t="s">
        <v>647</v>
      </c>
      <c r="M70" s="14" t="s">
        <v>577</v>
      </c>
      <c r="N70" s="14" t="s">
        <v>531</v>
      </c>
      <c r="O70" s="16"/>
    </row>
    <row r="71" spans="2:15" x14ac:dyDescent="0.4">
      <c r="B71" s="19" t="s">
        <v>376</v>
      </c>
      <c r="C71" s="4" t="s">
        <v>57</v>
      </c>
      <c r="D71" s="17" t="s">
        <v>560</v>
      </c>
      <c r="E71" s="14" t="s">
        <v>650</v>
      </c>
      <c r="F71" s="14" t="s">
        <v>651</v>
      </c>
      <c r="G71" s="15">
        <v>2</v>
      </c>
      <c r="H71" s="14" t="s">
        <v>515</v>
      </c>
      <c r="I71" s="14" t="s">
        <v>516</v>
      </c>
      <c r="J71" s="16"/>
      <c r="K71" s="14" t="s">
        <v>522</v>
      </c>
      <c r="L71" s="14" t="s">
        <v>652</v>
      </c>
      <c r="M71" s="14" t="s">
        <v>519</v>
      </c>
      <c r="N71" s="14" t="s">
        <v>520</v>
      </c>
      <c r="O71" s="16"/>
    </row>
    <row r="72" spans="2:15" x14ac:dyDescent="0.4">
      <c r="B72" s="19" t="s">
        <v>377</v>
      </c>
      <c r="C72" s="4" t="s">
        <v>57</v>
      </c>
      <c r="D72" s="18" t="s">
        <v>565</v>
      </c>
      <c r="E72" s="14" t="s">
        <v>653</v>
      </c>
      <c r="F72" s="14" t="s">
        <v>654</v>
      </c>
      <c r="G72" s="15">
        <v>2</v>
      </c>
      <c r="H72" s="14" t="s">
        <v>515</v>
      </c>
      <c r="I72" s="14" t="s">
        <v>516</v>
      </c>
      <c r="J72" s="16"/>
      <c r="K72" s="14" t="s">
        <v>522</v>
      </c>
      <c r="L72" s="14" t="s">
        <v>655</v>
      </c>
      <c r="M72" s="14" t="s">
        <v>519</v>
      </c>
      <c r="N72" s="14" t="s">
        <v>531</v>
      </c>
      <c r="O72" s="16"/>
    </row>
    <row r="73" spans="2:15" x14ac:dyDescent="0.4">
      <c r="B73" s="19" t="s">
        <v>378</v>
      </c>
      <c r="C73" s="4" t="s">
        <v>57</v>
      </c>
      <c r="D73" s="18" t="s">
        <v>565</v>
      </c>
      <c r="E73" s="14" t="s">
        <v>656</v>
      </c>
      <c r="F73" s="14" t="s">
        <v>379</v>
      </c>
      <c r="G73" s="15">
        <v>2</v>
      </c>
      <c r="H73" s="14" t="s">
        <v>515</v>
      </c>
      <c r="I73" s="14" t="s">
        <v>516</v>
      </c>
      <c r="J73" s="16"/>
      <c r="K73" s="14" t="s">
        <v>522</v>
      </c>
      <c r="L73" s="14" t="s">
        <v>657</v>
      </c>
      <c r="M73" s="14" t="s">
        <v>575</v>
      </c>
      <c r="N73" s="14" t="s">
        <v>520</v>
      </c>
      <c r="O73" s="16"/>
    </row>
    <row r="74" spans="2:15" x14ac:dyDescent="0.4">
      <c r="B74" s="19" t="s">
        <v>380</v>
      </c>
      <c r="C74" s="4" t="s">
        <v>57</v>
      </c>
      <c r="D74" s="18" t="s">
        <v>565</v>
      </c>
      <c r="E74" s="14" t="s">
        <v>658</v>
      </c>
      <c r="F74" s="14" t="s">
        <v>659</v>
      </c>
      <c r="G74" s="15">
        <v>2</v>
      </c>
      <c r="H74" s="14" t="s">
        <v>515</v>
      </c>
      <c r="I74" s="14" t="s">
        <v>516</v>
      </c>
      <c r="J74" s="16"/>
      <c r="K74" s="14" t="s">
        <v>522</v>
      </c>
      <c r="L74" s="14" t="s">
        <v>660</v>
      </c>
      <c r="M74" s="14" t="s">
        <v>519</v>
      </c>
      <c r="N74" s="14" t="s">
        <v>520</v>
      </c>
      <c r="O74" s="16"/>
    </row>
    <row r="75" spans="2:15" x14ac:dyDescent="0.4">
      <c r="B75" s="19" t="s">
        <v>381</v>
      </c>
      <c r="C75" s="4" t="s">
        <v>57</v>
      </c>
      <c r="D75" s="18" t="s">
        <v>565</v>
      </c>
      <c r="E75" s="14" t="s">
        <v>661</v>
      </c>
      <c r="F75" s="14" t="s">
        <v>382</v>
      </c>
      <c r="G75" s="15">
        <v>2</v>
      </c>
      <c r="H75" s="14" t="s">
        <v>515</v>
      </c>
      <c r="I75" s="14" t="s">
        <v>516</v>
      </c>
      <c r="J75" s="16"/>
      <c r="K75" s="14" t="s">
        <v>522</v>
      </c>
      <c r="L75" s="14" t="s">
        <v>662</v>
      </c>
      <c r="M75" s="14" t="s">
        <v>575</v>
      </c>
      <c r="N75" s="14" t="s">
        <v>531</v>
      </c>
      <c r="O75" s="16"/>
    </row>
    <row r="76" spans="2:15" x14ac:dyDescent="0.4">
      <c r="B76" s="19" t="s">
        <v>383</v>
      </c>
      <c r="C76" s="4" t="s">
        <v>57</v>
      </c>
      <c r="D76" s="18" t="s">
        <v>565</v>
      </c>
      <c r="E76" s="14" t="s">
        <v>663</v>
      </c>
      <c r="F76" s="14" t="s">
        <v>384</v>
      </c>
      <c r="G76" s="15">
        <v>2</v>
      </c>
      <c r="H76" s="14" t="s">
        <v>515</v>
      </c>
      <c r="I76" s="14" t="s">
        <v>161</v>
      </c>
      <c r="J76" s="16"/>
      <c r="K76" s="14" t="s">
        <v>522</v>
      </c>
      <c r="L76" s="14" t="s">
        <v>664</v>
      </c>
      <c r="M76" s="14" t="s">
        <v>519</v>
      </c>
      <c r="N76" s="14" t="s">
        <v>531</v>
      </c>
      <c r="O76" s="16"/>
    </row>
    <row r="77" spans="2:15" ht="27" x14ac:dyDescent="0.4">
      <c r="B77" s="19" t="s">
        <v>385</v>
      </c>
      <c r="C77" s="4" t="s">
        <v>57</v>
      </c>
      <c r="D77" s="18" t="s">
        <v>565</v>
      </c>
      <c r="E77" s="16" t="s">
        <v>665</v>
      </c>
      <c r="F77" s="14" t="s">
        <v>666</v>
      </c>
      <c r="G77" s="15">
        <v>2</v>
      </c>
      <c r="H77" s="14" t="s">
        <v>667</v>
      </c>
      <c r="I77" s="14" t="s">
        <v>516</v>
      </c>
      <c r="J77" s="16"/>
      <c r="K77" s="14" t="s">
        <v>517</v>
      </c>
      <c r="L77" s="14" t="s">
        <v>668</v>
      </c>
      <c r="M77" s="14" t="s">
        <v>519</v>
      </c>
      <c r="N77" s="14" t="s">
        <v>524</v>
      </c>
      <c r="O77" s="14" t="s">
        <v>669</v>
      </c>
    </row>
    <row r="78" spans="2:15" ht="27" x14ac:dyDescent="0.4">
      <c r="B78" s="19" t="s">
        <v>386</v>
      </c>
      <c r="C78" s="4" t="s">
        <v>57</v>
      </c>
      <c r="D78" s="18" t="s">
        <v>565</v>
      </c>
      <c r="E78" s="16" t="s">
        <v>670</v>
      </c>
      <c r="F78" s="14" t="s">
        <v>666</v>
      </c>
      <c r="G78" s="15">
        <v>2</v>
      </c>
      <c r="H78" s="14" t="s">
        <v>667</v>
      </c>
      <c r="I78" s="14" t="s">
        <v>516</v>
      </c>
      <c r="J78" s="16"/>
      <c r="K78" s="14" t="s">
        <v>517</v>
      </c>
      <c r="L78" s="14" t="s">
        <v>671</v>
      </c>
      <c r="M78" s="14" t="s">
        <v>519</v>
      </c>
      <c r="N78" s="14" t="s">
        <v>524</v>
      </c>
      <c r="O78" s="14" t="s">
        <v>669</v>
      </c>
    </row>
    <row r="79" spans="2:15" x14ac:dyDescent="0.4">
      <c r="B79" s="19" t="s">
        <v>387</v>
      </c>
      <c r="C79" s="4" t="s">
        <v>57</v>
      </c>
      <c r="D79" s="17" t="s">
        <v>560</v>
      </c>
      <c r="E79" s="14" t="s">
        <v>672</v>
      </c>
      <c r="F79" s="14" t="s">
        <v>388</v>
      </c>
      <c r="G79" s="15">
        <v>2</v>
      </c>
      <c r="H79" s="14" t="s">
        <v>515</v>
      </c>
      <c r="I79" s="14" t="s">
        <v>516</v>
      </c>
      <c r="J79" s="16"/>
      <c r="K79" s="14" t="s">
        <v>522</v>
      </c>
      <c r="L79" s="14" t="s">
        <v>673</v>
      </c>
      <c r="M79" s="14" t="s">
        <v>519</v>
      </c>
      <c r="N79" s="14" t="s">
        <v>531</v>
      </c>
      <c r="O79" s="16"/>
    </row>
    <row r="80" spans="2:15" x14ac:dyDescent="0.4">
      <c r="B80" s="19" t="s">
        <v>389</v>
      </c>
      <c r="C80" s="4" t="s">
        <v>57</v>
      </c>
      <c r="D80" s="17" t="s">
        <v>560</v>
      </c>
      <c r="E80" s="14" t="s">
        <v>674</v>
      </c>
      <c r="F80" s="14" t="s">
        <v>390</v>
      </c>
      <c r="G80" s="15">
        <v>2</v>
      </c>
      <c r="H80" s="14" t="s">
        <v>515</v>
      </c>
      <c r="I80" s="14" t="s">
        <v>516</v>
      </c>
      <c r="J80" s="16"/>
      <c r="K80" s="14" t="s">
        <v>522</v>
      </c>
      <c r="L80" s="14" t="s">
        <v>675</v>
      </c>
      <c r="M80" s="14" t="s">
        <v>519</v>
      </c>
      <c r="N80" s="14" t="s">
        <v>520</v>
      </c>
      <c r="O80" s="16"/>
    </row>
    <row r="81" spans="2:15" x14ac:dyDescent="0.4">
      <c r="B81" s="19" t="s">
        <v>391</v>
      </c>
      <c r="C81" s="4" t="s">
        <v>57</v>
      </c>
      <c r="D81" s="18" t="s">
        <v>565</v>
      </c>
      <c r="E81" s="14" t="s">
        <v>676</v>
      </c>
      <c r="F81" s="14" t="s">
        <v>392</v>
      </c>
      <c r="G81" s="15">
        <v>2</v>
      </c>
      <c r="H81" s="14" t="s">
        <v>515</v>
      </c>
      <c r="I81" s="14" t="s">
        <v>516</v>
      </c>
      <c r="J81" s="16"/>
      <c r="K81" s="14" t="s">
        <v>522</v>
      </c>
      <c r="L81" s="14" t="s">
        <v>652</v>
      </c>
      <c r="M81" s="14" t="s">
        <v>519</v>
      </c>
      <c r="N81" s="14" t="s">
        <v>520</v>
      </c>
      <c r="O81" s="16"/>
    </row>
    <row r="82" spans="2:15" x14ac:dyDescent="0.4">
      <c r="B82" s="19" t="s">
        <v>393</v>
      </c>
      <c r="C82" s="4" t="s">
        <v>57</v>
      </c>
      <c r="D82" s="14" t="s">
        <v>563</v>
      </c>
      <c r="E82" s="14" t="s">
        <v>677</v>
      </c>
      <c r="F82" s="14" t="s">
        <v>394</v>
      </c>
      <c r="G82" s="15">
        <v>2</v>
      </c>
      <c r="H82" s="14" t="s">
        <v>515</v>
      </c>
      <c r="I82" s="14" t="s">
        <v>516</v>
      </c>
      <c r="J82" s="16"/>
      <c r="K82" s="14" t="s">
        <v>522</v>
      </c>
      <c r="L82" s="14" t="s">
        <v>678</v>
      </c>
      <c r="M82" s="14" t="s">
        <v>519</v>
      </c>
      <c r="N82" s="14" t="s">
        <v>531</v>
      </c>
      <c r="O82" s="16"/>
    </row>
    <row r="83" spans="2:15" x14ac:dyDescent="0.4">
      <c r="B83" s="19" t="s">
        <v>395</v>
      </c>
      <c r="C83" s="4" t="s">
        <v>57</v>
      </c>
      <c r="D83" s="18" t="s">
        <v>565</v>
      </c>
      <c r="E83" s="14" t="s">
        <v>679</v>
      </c>
      <c r="F83" s="14" t="s">
        <v>396</v>
      </c>
      <c r="G83" s="15">
        <v>2</v>
      </c>
      <c r="H83" s="14" t="s">
        <v>515</v>
      </c>
      <c r="I83" s="14" t="s">
        <v>516</v>
      </c>
      <c r="J83" s="16"/>
      <c r="K83" s="14" t="s">
        <v>522</v>
      </c>
      <c r="L83" s="14" t="s">
        <v>680</v>
      </c>
      <c r="M83" s="14" t="s">
        <v>519</v>
      </c>
      <c r="N83" s="14" t="s">
        <v>520</v>
      </c>
      <c r="O83" s="16"/>
    </row>
    <row r="84" spans="2:15" x14ac:dyDescent="0.4">
      <c r="B84" s="20" t="s">
        <v>428</v>
      </c>
      <c r="C84" s="4" t="s">
        <v>0</v>
      </c>
      <c r="D84" s="14" t="s">
        <v>563</v>
      </c>
      <c r="E84" s="14" t="s">
        <v>717</v>
      </c>
      <c r="F84" s="14" t="s">
        <v>429</v>
      </c>
      <c r="G84" s="15">
        <v>2</v>
      </c>
      <c r="H84" s="14" t="s">
        <v>515</v>
      </c>
      <c r="I84" s="14" t="s">
        <v>516</v>
      </c>
      <c r="J84" s="16"/>
      <c r="K84" s="14" t="s">
        <v>522</v>
      </c>
      <c r="L84" s="14" t="s">
        <v>718</v>
      </c>
      <c r="M84" s="14" t="s">
        <v>519</v>
      </c>
      <c r="N84" s="14" t="s">
        <v>520</v>
      </c>
      <c r="O84" s="16"/>
    </row>
    <row r="85" spans="2:15" x14ac:dyDescent="0.4">
      <c r="B85" s="20" t="s">
        <v>430</v>
      </c>
      <c r="C85" s="4" t="s">
        <v>0</v>
      </c>
      <c r="D85" s="14" t="s">
        <v>563</v>
      </c>
      <c r="E85" s="14" t="s">
        <v>719</v>
      </c>
      <c r="F85" s="14" t="s">
        <v>431</v>
      </c>
      <c r="G85" s="15">
        <v>2</v>
      </c>
      <c r="H85" s="14" t="s">
        <v>515</v>
      </c>
      <c r="I85" s="14" t="s">
        <v>516</v>
      </c>
      <c r="J85" s="16"/>
      <c r="K85" s="14" t="s">
        <v>522</v>
      </c>
      <c r="L85" s="14" t="s">
        <v>720</v>
      </c>
      <c r="M85" s="14" t="s">
        <v>519</v>
      </c>
      <c r="N85" s="14" t="s">
        <v>520</v>
      </c>
      <c r="O85" s="16"/>
    </row>
    <row r="86" spans="2:15" x14ac:dyDescent="0.4">
      <c r="B86" s="20" t="s">
        <v>432</v>
      </c>
      <c r="C86" s="4" t="s">
        <v>0</v>
      </c>
      <c r="D86" s="18" t="s">
        <v>565</v>
      </c>
      <c r="E86" s="14" t="s">
        <v>721</v>
      </c>
      <c r="F86" s="14" t="s">
        <v>433</v>
      </c>
      <c r="G86" s="15">
        <v>2</v>
      </c>
      <c r="H86" s="14" t="s">
        <v>515</v>
      </c>
      <c r="I86" s="14" t="s">
        <v>516</v>
      </c>
      <c r="J86" s="16"/>
      <c r="K86" s="14" t="s">
        <v>517</v>
      </c>
      <c r="L86" s="14" t="s">
        <v>720</v>
      </c>
      <c r="M86" s="14" t="s">
        <v>575</v>
      </c>
      <c r="N86" s="14" t="s">
        <v>520</v>
      </c>
      <c r="O86" s="16"/>
    </row>
    <row r="87" spans="2:15" x14ac:dyDescent="0.4">
      <c r="B87" s="20" t="s">
        <v>434</v>
      </c>
      <c r="C87" s="4" t="s">
        <v>0</v>
      </c>
      <c r="D87" s="18" t="s">
        <v>565</v>
      </c>
      <c r="E87" s="14" t="s">
        <v>722</v>
      </c>
      <c r="F87" s="14" t="s">
        <v>435</v>
      </c>
      <c r="G87" s="15">
        <v>2</v>
      </c>
      <c r="H87" s="14" t="s">
        <v>515</v>
      </c>
      <c r="I87" s="14" t="s">
        <v>516</v>
      </c>
      <c r="J87" s="16"/>
      <c r="K87" s="14" t="s">
        <v>522</v>
      </c>
      <c r="L87" s="14" t="s">
        <v>723</v>
      </c>
      <c r="M87" s="14" t="s">
        <v>519</v>
      </c>
      <c r="N87" s="14" t="s">
        <v>531</v>
      </c>
      <c r="O87" s="16"/>
    </row>
    <row r="88" spans="2:15" x14ac:dyDescent="0.4">
      <c r="B88" s="20" t="s">
        <v>436</v>
      </c>
      <c r="C88" s="4" t="s">
        <v>0</v>
      </c>
      <c r="D88" s="17" t="s">
        <v>560</v>
      </c>
      <c r="E88" s="14" t="s">
        <v>724</v>
      </c>
      <c r="F88" s="14" t="s">
        <v>437</v>
      </c>
      <c r="G88" s="15">
        <v>2</v>
      </c>
      <c r="H88" s="14" t="s">
        <v>515</v>
      </c>
      <c r="I88" s="14" t="s">
        <v>516</v>
      </c>
      <c r="J88" s="16"/>
      <c r="K88" s="14" t="s">
        <v>517</v>
      </c>
      <c r="L88" s="14" t="s">
        <v>725</v>
      </c>
      <c r="M88" s="14" t="s">
        <v>519</v>
      </c>
      <c r="N88" s="14" t="s">
        <v>520</v>
      </c>
      <c r="O88" s="16"/>
    </row>
    <row r="89" spans="2:15" x14ac:dyDescent="0.4">
      <c r="B89" s="20" t="s">
        <v>438</v>
      </c>
      <c r="C89" s="4" t="s">
        <v>0</v>
      </c>
      <c r="D89" s="17" t="s">
        <v>560</v>
      </c>
      <c r="E89" s="14" t="s">
        <v>726</v>
      </c>
      <c r="F89" s="14" t="s">
        <v>439</v>
      </c>
      <c r="G89" s="15">
        <v>2</v>
      </c>
      <c r="H89" s="14" t="s">
        <v>515</v>
      </c>
      <c r="I89" s="14" t="s">
        <v>516</v>
      </c>
      <c r="J89" s="16"/>
      <c r="K89" s="14" t="s">
        <v>522</v>
      </c>
      <c r="L89" s="14" t="s">
        <v>725</v>
      </c>
      <c r="M89" s="14" t="s">
        <v>519</v>
      </c>
      <c r="N89" s="14" t="s">
        <v>531</v>
      </c>
      <c r="O89" s="16"/>
    </row>
    <row r="90" spans="2:15" x14ac:dyDescent="0.4">
      <c r="B90" s="20" t="s">
        <v>440</v>
      </c>
      <c r="C90" s="4" t="s">
        <v>0</v>
      </c>
      <c r="D90" s="14" t="s">
        <v>563</v>
      </c>
      <c r="E90" s="14" t="s">
        <v>727</v>
      </c>
      <c r="F90" s="14" t="s">
        <v>441</v>
      </c>
      <c r="G90" s="15">
        <v>2</v>
      </c>
      <c r="H90" s="14" t="s">
        <v>515</v>
      </c>
      <c r="I90" s="14" t="s">
        <v>516</v>
      </c>
      <c r="J90" s="16"/>
      <c r="K90" s="14" t="s">
        <v>522</v>
      </c>
      <c r="L90" s="14" t="s">
        <v>725</v>
      </c>
      <c r="M90" s="14" t="s">
        <v>519</v>
      </c>
      <c r="N90" s="14" t="s">
        <v>520</v>
      </c>
      <c r="O90" s="16"/>
    </row>
    <row r="91" spans="2:15" x14ac:dyDescent="0.4">
      <c r="B91" s="20" t="s">
        <v>442</v>
      </c>
      <c r="C91" s="4" t="s">
        <v>0</v>
      </c>
      <c r="D91" s="17" t="s">
        <v>560</v>
      </c>
      <c r="E91" s="14" t="s">
        <v>728</v>
      </c>
      <c r="F91" s="14" t="s">
        <v>443</v>
      </c>
      <c r="G91" s="15">
        <v>2</v>
      </c>
      <c r="H91" s="14" t="s">
        <v>515</v>
      </c>
      <c r="I91" s="14" t="s">
        <v>516</v>
      </c>
      <c r="J91" s="16"/>
      <c r="K91" s="14" t="s">
        <v>517</v>
      </c>
      <c r="L91" s="14" t="s">
        <v>725</v>
      </c>
      <c r="M91" s="14" t="s">
        <v>519</v>
      </c>
      <c r="N91" s="14" t="s">
        <v>531</v>
      </c>
      <c r="O91" s="16"/>
    </row>
    <row r="92" spans="2:15" x14ac:dyDescent="0.4">
      <c r="B92" s="20" t="s">
        <v>444</v>
      </c>
      <c r="C92" s="4" t="s">
        <v>0</v>
      </c>
      <c r="D92" s="18" t="s">
        <v>565</v>
      </c>
      <c r="E92" s="14" t="s">
        <v>729</v>
      </c>
      <c r="F92" s="14" t="s">
        <v>445</v>
      </c>
      <c r="G92" s="15">
        <v>2</v>
      </c>
      <c r="H92" s="14" t="s">
        <v>515</v>
      </c>
      <c r="I92" s="14" t="s">
        <v>516</v>
      </c>
      <c r="J92" s="16"/>
      <c r="K92" s="14" t="s">
        <v>517</v>
      </c>
      <c r="L92" s="14" t="s">
        <v>718</v>
      </c>
      <c r="M92" s="14" t="s">
        <v>577</v>
      </c>
      <c r="N92" s="14" t="s">
        <v>520</v>
      </c>
      <c r="O92" s="16"/>
    </row>
    <row r="93" spans="2:15" x14ac:dyDescent="0.4">
      <c r="B93" s="20" t="s">
        <v>446</v>
      </c>
      <c r="C93" s="4" t="s">
        <v>0</v>
      </c>
      <c r="D93" s="17" t="s">
        <v>560</v>
      </c>
      <c r="E93" s="14" t="s">
        <v>730</v>
      </c>
      <c r="F93" s="14" t="s">
        <v>447</v>
      </c>
      <c r="G93" s="15">
        <v>2</v>
      </c>
      <c r="H93" s="14" t="s">
        <v>515</v>
      </c>
      <c r="I93" s="14" t="s">
        <v>516</v>
      </c>
      <c r="J93" s="16"/>
      <c r="K93" s="14" t="s">
        <v>522</v>
      </c>
      <c r="L93" s="14" t="s">
        <v>731</v>
      </c>
      <c r="M93" s="14" t="s">
        <v>519</v>
      </c>
      <c r="N93" s="14" t="s">
        <v>520</v>
      </c>
      <c r="O93" s="16"/>
    </row>
    <row r="94" spans="2:15" x14ac:dyDescent="0.4">
      <c r="B94" s="20" t="s">
        <v>448</v>
      </c>
      <c r="C94" s="4" t="s">
        <v>0</v>
      </c>
      <c r="D94" s="14" t="s">
        <v>563</v>
      </c>
      <c r="E94" s="14" t="s">
        <v>732</v>
      </c>
      <c r="F94" s="14" t="s">
        <v>449</v>
      </c>
      <c r="G94" s="15">
        <v>2</v>
      </c>
      <c r="H94" s="14" t="s">
        <v>515</v>
      </c>
      <c r="I94" s="14" t="s">
        <v>516</v>
      </c>
      <c r="J94" s="16"/>
      <c r="K94" s="14" t="s">
        <v>517</v>
      </c>
      <c r="L94" s="14" t="s">
        <v>720</v>
      </c>
      <c r="M94" s="14" t="s">
        <v>519</v>
      </c>
      <c r="N94" s="14" t="s">
        <v>531</v>
      </c>
      <c r="O94" s="16"/>
    </row>
    <row r="95" spans="2:15" x14ac:dyDescent="0.4">
      <c r="B95" s="20" t="s">
        <v>450</v>
      </c>
      <c r="C95" s="4" t="s">
        <v>0</v>
      </c>
      <c r="D95" s="14" t="s">
        <v>563</v>
      </c>
      <c r="E95" s="14" t="s">
        <v>733</v>
      </c>
      <c r="F95" s="14" t="s">
        <v>451</v>
      </c>
      <c r="G95" s="15">
        <v>2</v>
      </c>
      <c r="H95" s="14" t="s">
        <v>515</v>
      </c>
      <c r="I95" s="14" t="s">
        <v>516</v>
      </c>
      <c r="J95" s="16"/>
      <c r="K95" s="14" t="s">
        <v>522</v>
      </c>
      <c r="L95" s="14" t="s">
        <v>734</v>
      </c>
      <c r="M95" s="14" t="s">
        <v>519</v>
      </c>
      <c r="N95" s="14" t="s">
        <v>520</v>
      </c>
      <c r="O95" s="16"/>
    </row>
    <row r="96" spans="2:15" x14ac:dyDescent="0.4">
      <c r="B96" s="20" t="s">
        <v>452</v>
      </c>
      <c r="C96" s="4" t="s">
        <v>0</v>
      </c>
      <c r="D96" s="18" t="s">
        <v>565</v>
      </c>
      <c r="E96" s="14" t="s">
        <v>735</v>
      </c>
      <c r="F96" s="14" t="s">
        <v>453</v>
      </c>
      <c r="G96" s="15">
        <v>2</v>
      </c>
      <c r="H96" s="14" t="s">
        <v>515</v>
      </c>
      <c r="I96" s="14" t="s">
        <v>516</v>
      </c>
      <c r="J96" s="16"/>
      <c r="K96" s="14" t="s">
        <v>522</v>
      </c>
      <c r="L96" s="14" t="s">
        <v>720</v>
      </c>
      <c r="M96" s="14" t="s">
        <v>519</v>
      </c>
      <c r="N96" s="14" t="s">
        <v>531</v>
      </c>
      <c r="O96" s="16"/>
    </row>
    <row r="97" spans="2:15" x14ac:dyDescent="0.4">
      <c r="B97" s="20" t="s">
        <v>454</v>
      </c>
      <c r="C97" s="4" t="s">
        <v>0</v>
      </c>
      <c r="D97" s="17" t="s">
        <v>560</v>
      </c>
      <c r="E97" s="14" t="s">
        <v>736</v>
      </c>
      <c r="F97" s="14" t="s">
        <v>455</v>
      </c>
      <c r="G97" s="15">
        <v>2</v>
      </c>
      <c r="H97" s="14" t="s">
        <v>515</v>
      </c>
      <c r="I97" s="14" t="s">
        <v>516</v>
      </c>
      <c r="J97" s="16"/>
      <c r="K97" s="14" t="s">
        <v>522</v>
      </c>
      <c r="L97" s="14" t="s">
        <v>737</v>
      </c>
      <c r="M97" s="14" t="s">
        <v>519</v>
      </c>
      <c r="N97" s="14" t="s">
        <v>520</v>
      </c>
      <c r="O97" s="16"/>
    </row>
    <row r="98" spans="2:15" x14ac:dyDescent="0.4">
      <c r="B98" s="20" t="s">
        <v>456</v>
      </c>
      <c r="C98" s="4" t="s">
        <v>0</v>
      </c>
      <c r="D98" s="14" t="s">
        <v>563</v>
      </c>
      <c r="E98" s="14" t="s">
        <v>738</v>
      </c>
      <c r="F98" s="14" t="s">
        <v>457</v>
      </c>
      <c r="G98" s="15">
        <v>2</v>
      </c>
      <c r="H98" s="14" t="s">
        <v>515</v>
      </c>
      <c r="I98" s="14" t="s">
        <v>516</v>
      </c>
      <c r="J98" s="16"/>
      <c r="K98" s="14" t="s">
        <v>522</v>
      </c>
      <c r="L98" s="14" t="s">
        <v>718</v>
      </c>
      <c r="M98" s="14" t="s">
        <v>519</v>
      </c>
      <c r="N98" s="14" t="s">
        <v>520</v>
      </c>
      <c r="O98" s="16"/>
    </row>
    <row r="99" spans="2:15" x14ac:dyDescent="0.4">
      <c r="B99" s="20" t="s">
        <v>458</v>
      </c>
      <c r="C99" s="4" t="s">
        <v>0</v>
      </c>
      <c r="D99" s="18" t="s">
        <v>565</v>
      </c>
      <c r="E99" s="14" t="s">
        <v>739</v>
      </c>
      <c r="F99" s="14" t="s">
        <v>459</v>
      </c>
      <c r="G99" s="15">
        <v>2</v>
      </c>
      <c r="H99" s="14" t="s">
        <v>515</v>
      </c>
      <c r="I99" s="14" t="s">
        <v>516</v>
      </c>
      <c r="J99" s="16"/>
      <c r="K99" s="14" t="s">
        <v>522</v>
      </c>
      <c r="L99" s="14" t="s">
        <v>720</v>
      </c>
      <c r="M99" s="14" t="s">
        <v>519</v>
      </c>
      <c r="N99" s="14" t="s">
        <v>520</v>
      </c>
      <c r="O99" s="16"/>
    </row>
    <row r="100" spans="2:15" x14ac:dyDescent="0.4">
      <c r="B100" s="20" t="s">
        <v>460</v>
      </c>
      <c r="C100" s="4" t="s">
        <v>0</v>
      </c>
      <c r="D100" s="14" t="s">
        <v>563</v>
      </c>
      <c r="E100" s="14" t="s">
        <v>740</v>
      </c>
      <c r="F100" s="14" t="s">
        <v>461</v>
      </c>
      <c r="G100" s="15">
        <v>2</v>
      </c>
      <c r="H100" s="14" t="s">
        <v>515</v>
      </c>
      <c r="I100" s="14" t="s">
        <v>516</v>
      </c>
      <c r="J100" s="16"/>
      <c r="K100" s="14" t="s">
        <v>522</v>
      </c>
      <c r="L100" s="14" t="s">
        <v>725</v>
      </c>
      <c r="M100" s="14" t="s">
        <v>575</v>
      </c>
      <c r="N100" s="14" t="s">
        <v>531</v>
      </c>
      <c r="O100" s="16"/>
    </row>
    <row r="101" spans="2:15" x14ac:dyDescent="0.4">
      <c r="B101" s="20" t="s">
        <v>462</v>
      </c>
      <c r="C101" s="4" t="s">
        <v>0</v>
      </c>
      <c r="D101" s="14" t="s">
        <v>563</v>
      </c>
      <c r="E101" s="14" t="s">
        <v>741</v>
      </c>
      <c r="F101" s="14" t="s">
        <v>455</v>
      </c>
      <c r="G101" s="15">
        <v>2</v>
      </c>
      <c r="H101" s="14" t="s">
        <v>515</v>
      </c>
      <c r="I101" s="14" t="s">
        <v>516</v>
      </c>
      <c r="J101" s="16"/>
      <c r="K101" s="14" t="s">
        <v>522</v>
      </c>
      <c r="L101" s="14" t="s">
        <v>718</v>
      </c>
      <c r="M101" s="14" t="s">
        <v>519</v>
      </c>
      <c r="N101" s="14" t="s">
        <v>520</v>
      </c>
      <c r="O101" s="16"/>
    </row>
    <row r="102" spans="2:15" x14ac:dyDescent="0.4">
      <c r="B102" s="20" t="s">
        <v>463</v>
      </c>
      <c r="C102" s="4" t="s">
        <v>0</v>
      </c>
      <c r="D102" s="17" t="s">
        <v>560</v>
      </c>
      <c r="E102" s="14" t="s">
        <v>742</v>
      </c>
      <c r="F102" s="14" t="s">
        <v>464</v>
      </c>
      <c r="G102" s="15">
        <v>2</v>
      </c>
      <c r="H102" s="14" t="s">
        <v>515</v>
      </c>
      <c r="I102" s="14" t="s">
        <v>516</v>
      </c>
      <c r="J102" s="16"/>
      <c r="K102" s="14" t="s">
        <v>522</v>
      </c>
      <c r="L102" s="14" t="s">
        <v>743</v>
      </c>
      <c r="M102" s="14" t="s">
        <v>519</v>
      </c>
      <c r="N102" s="14" t="s">
        <v>531</v>
      </c>
      <c r="O102" s="16"/>
    </row>
    <row r="103" spans="2:15" x14ac:dyDescent="0.4">
      <c r="B103" s="20" t="s">
        <v>465</v>
      </c>
      <c r="C103" s="4" t="s">
        <v>0</v>
      </c>
      <c r="D103" s="14" t="s">
        <v>563</v>
      </c>
      <c r="E103" s="14" t="s">
        <v>744</v>
      </c>
      <c r="F103" s="14" t="s">
        <v>745</v>
      </c>
      <c r="G103" s="15">
        <v>2</v>
      </c>
      <c r="H103" s="14" t="s">
        <v>515</v>
      </c>
      <c r="I103" s="15">
        <v>1</v>
      </c>
      <c r="J103" s="16"/>
      <c r="K103" s="14" t="s">
        <v>522</v>
      </c>
      <c r="L103" s="14" t="s">
        <v>720</v>
      </c>
      <c r="M103" s="14" t="s">
        <v>519</v>
      </c>
      <c r="N103" s="14" t="s">
        <v>531</v>
      </c>
      <c r="O103" s="16"/>
    </row>
    <row r="104" spans="2:15" x14ac:dyDescent="0.4">
      <c r="B104" s="20" t="s">
        <v>466</v>
      </c>
      <c r="C104" s="4" t="s">
        <v>0</v>
      </c>
      <c r="D104" s="14" t="s">
        <v>563</v>
      </c>
      <c r="E104" s="14" t="s">
        <v>746</v>
      </c>
      <c r="F104" s="14" t="s">
        <v>745</v>
      </c>
      <c r="G104" s="15">
        <v>2</v>
      </c>
      <c r="H104" s="14" t="s">
        <v>515</v>
      </c>
      <c r="I104" s="15">
        <v>2</v>
      </c>
      <c r="J104" s="16"/>
      <c r="K104" s="14" t="s">
        <v>522</v>
      </c>
      <c r="L104" s="14" t="s">
        <v>720</v>
      </c>
      <c r="M104" s="14" t="s">
        <v>519</v>
      </c>
      <c r="N104" s="14" t="s">
        <v>531</v>
      </c>
      <c r="O104" s="16"/>
    </row>
    <row r="105" spans="2:15" x14ac:dyDescent="0.4">
      <c r="B105" s="20" t="s">
        <v>467</v>
      </c>
      <c r="C105" s="4" t="s">
        <v>0</v>
      </c>
      <c r="D105" s="17" t="s">
        <v>560</v>
      </c>
      <c r="E105" s="14" t="s">
        <v>747</v>
      </c>
      <c r="F105" s="14" t="s">
        <v>748</v>
      </c>
      <c r="G105" s="15">
        <v>2</v>
      </c>
      <c r="H105" s="14" t="s">
        <v>515</v>
      </c>
      <c r="I105" s="15">
        <v>1</v>
      </c>
      <c r="J105" s="16"/>
      <c r="K105" s="14" t="s">
        <v>522</v>
      </c>
      <c r="L105" s="14" t="s">
        <v>749</v>
      </c>
      <c r="M105" s="14" t="s">
        <v>519</v>
      </c>
      <c r="N105" s="14" t="s">
        <v>531</v>
      </c>
      <c r="O105" s="16"/>
    </row>
    <row r="106" spans="2:15" x14ac:dyDescent="0.4">
      <c r="B106" s="20" t="s">
        <v>468</v>
      </c>
      <c r="C106" s="4" t="s">
        <v>0</v>
      </c>
      <c r="D106" s="17" t="s">
        <v>560</v>
      </c>
      <c r="E106" s="14" t="s">
        <v>750</v>
      </c>
      <c r="F106" s="14" t="s">
        <v>748</v>
      </c>
      <c r="G106" s="15">
        <v>2</v>
      </c>
      <c r="H106" s="14" t="s">
        <v>515</v>
      </c>
      <c r="I106" s="15">
        <v>2</v>
      </c>
      <c r="J106" s="16"/>
      <c r="K106" s="14" t="s">
        <v>522</v>
      </c>
      <c r="L106" s="14" t="s">
        <v>749</v>
      </c>
      <c r="M106" s="14" t="s">
        <v>519</v>
      </c>
      <c r="N106" s="14" t="s">
        <v>531</v>
      </c>
      <c r="O106" s="16"/>
    </row>
    <row r="107" spans="2:15" x14ac:dyDescent="0.4">
      <c r="B107" s="20" t="s">
        <v>469</v>
      </c>
      <c r="C107" s="4" t="s">
        <v>0</v>
      </c>
      <c r="D107" s="14" t="s">
        <v>563</v>
      </c>
      <c r="E107" s="14" t="s">
        <v>751</v>
      </c>
      <c r="F107" s="14" t="s">
        <v>752</v>
      </c>
      <c r="G107" s="15">
        <v>2</v>
      </c>
      <c r="H107" s="14" t="s">
        <v>515</v>
      </c>
      <c r="I107" s="15">
        <v>1</v>
      </c>
      <c r="J107" s="16"/>
      <c r="K107" s="14" t="s">
        <v>522</v>
      </c>
      <c r="L107" s="14" t="s">
        <v>725</v>
      </c>
      <c r="M107" s="14" t="s">
        <v>519</v>
      </c>
      <c r="N107" s="14" t="s">
        <v>531</v>
      </c>
      <c r="O107" s="16"/>
    </row>
    <row r="108" spans="2:15" x14ac:dyDescent="0.4">
      <c r="B108" s="20" t="s">
        <v>470</v>
      </c>
      <c r="C108" s="4" t="s">
        <v>0</v>
      </c>
      <c r="D108" s="14" t="s">
        <v>563</v>
      </c>
      <c r="E108" s="14" t="s">
        <v>753</v>
      </c>
      <c r="F108" s="14" t="s">
        <v>752</v>
      </c>
      <c r="G108" s="15">
        <v>2</v>
      </c>
      <c r="H108" s="14" t="s">
        <v>515</v>
      </c>
      <c r="I108" s="15">
        <v>2</v>
      </c>
      <c r="J108" s="16"/>
      <c r="K108" s="14" t="s">
        <v>522</v>
      </c>
      <c r="L108" s="14" t="s">
        <v>725</v>
      </c>
      <c r="M108" s="14" t="s">
        <v>519</v>
      </c>
      <c r="N108" s="14" t="s">
        <v>531</v>
      </c>
      <c r="O108" s="16"/>
    </row>
    <row r="109" spans="2:15" x14ac:dyDescent="0.4">
      <c r="B109" s="20" t="s">
        <v>471</v>
      </c>
      <c r="C109" s="4" t="s">
        <v>0</v>
      </c>
      <c r="D109" s="14" t="s">
        <v>563</v>
      </c>
      <c r="E109" s="14" t="s">
        <v>754</v>
      </c>
      <c r="F109" s="14" t="s">
        <v>472</v>
      </c>
      <c r="G109" s="15">
        <v>2</v>
      </c>
      <c r="H109" s="14" t="s">
        <v>515</v>
      </c>
      <c r="I109" s="14" t="s">
        <v>161</v>
      </c>
      <c r="J109" s="16"/>
      <c r="K109" s="14" t="s">
        <v>522</v>
      </c>
      <c r="L109" s="14" t="s">
        <v>725</v>
      </c>
      <c r="M109" s="14" t="s">
        <v>519</v>
      </c>
      <c r="N109" s="14" t="s">
        <v>520</v>
      </c>
      <c r="O109" s="16"/>
    </row>
    <row r="110" spans="2:15" x14ac:dyDescent="0.4">
      <c r="B110" s="20" t="s">
        <v>473</v>
      </c>
      <c r="C110" s="4" t="s">
        <v>0</v>
      </c>
      <c r="D110" s="14" t="s">
        <v>563</v>
      </c>
      <c r="E110" s="14" t="s">
        <v>755</v>
      </c>
      <c r="F110" s="14" t="s">
        <v>474</v>
      </c>
      <c r="G110" s="15">
        <v>2</v>
      </c>
      <c r="H110" s="14" t="s">
        <v>515</v>
      </c>
      <c r="I110" s="14" t="s">
        <v>161</v>
      </c>
      <c r="J110" s="16"/>
      <c r="K110" s="14" t="s">
        <v>522</v>
      </c>
      <c r="L110" s="14" t="s">
        <v>756</v>
      </c>
      <c r="M110" s="14" t="s">
        <v>519</v>
      </c>
      <c r="N110" s="14" t="s">
        <v>520</v>
      </c>
      <c r="O110" s="16"/>
    </row>
    <row r="111" spans="2:15" x14ac:dyDescent="0.4">
      <c r="B111" s="20" t="s">
        <v>475</v>
      </c>
      <c r="C111" s="4" t="s">
        <v>0</v>
      </c>
      <c r="D111" s="17" t="s">
        <v>560</v>
      </c>
      <c r="E111" s="14" t="s">
        <v>757</v>
      </c>
      <c r="F111" s="14" t="s">
        <v>447</v>
      </c>
      <c r="G111" s="15">
        <v>2</v>
      </c>
      <c r="H111" s="14" t="s">
        <v>515</v>
      </c>
      <c r="I111" s="14" t="s">
        <v>161</v>
      </c>
      <c r="J111" s="16"/>
      <c r="K111" s="14" t="s">
        <v>522</v>
      </c>
      <c r="L111" s="14" t="s">
        <v>758</v>
      </c>
      <c r="M111" s="14" t="s">
        <v>519</v>
      </c>
      <c r="N111" s="14" t="s">
        <v>531</v>
      </c>
      <c r="O111" s="16"/>
    </row>
    <row r="112" spans="2:15" x14ac:dyDescent="0.4">
      <c r="B112" s="20" t="s">
        <v>476</v>
      </c>
      <c r="C112" s="4" t="s">
        <v>0</v>
      </c>
      <c r="D112" s="13" t="s">
        <v>512</v>
      </c>
      <c r="E112" s="14" t="s">
        <v>759</v>
      </c>
      <c r="F112" s="14" t="s">
        <v>760</v>
      </c>
      <c r="G112" s="15">
        <v>2</v>
      </c>
      <c r="H112" s="14" t="s">
        <v>558</v>
      </c>
      <c r="I112" s="14" t="s">
        <v>516</v>
      </c>
      <c r="J112" s="16"/>
      <c r="K112" s="14" t="s">
        <v>517</v>
      </c>
      <c r="L112" s="14" t="s">
        <v>761</v>
      </c>
      <c r="M112" s="14" t="s">
        <v>519</v>
      </c>
      <c r="N112" s="14" t="s">
        <v>520</v>
      </c>
      <c r="O112" s="16"/>
    </row>
    <row r="113" spans="2:15" x14ac:dyDescent="0.4">
      <c r="B113" s="20" t="s">
        <v>477</v>
      </c>
      <c r="C113" s="4" t="s">
        <v>0</v>
      </c>
      <c r="D113" s="13" t="s">
        <v>512</v>
      </c>
      <c r="E113" s="14" t="s">
        <v>762</v>
      </c>
      <c r="F113" s="14" t="s">
        <v>763</v>
      </c>
      <c r="G113" s="15">
        <v>2</v>
      </c>
      <c r="H113" s="14" t="s">
        <v>558</v>
      </c>
      <c r="I113" s="14" t="s">
        <v>516</v>
      </c>
      <c r="J113" s="16"/>
      <c r="K113" s="14" t="s">
        <v>517</v>
      </c>
      <c r="L113" s="14" t="s">
        <v>764</v>
      </c>
      <c r="M113" s="14" t="s">
        <v>519</v>
      </c>
      <c r="N113" s="14" t="s">
        <v>520</v>
      </c>
      <c r="O113" s="16"/>
    </row>
    <row r="114" spans="2:15" x14ac:dyDescent="0.4">
      <c r="B114" s="20" t="s">
        <v>478</v>
      </c>
      <c r="C114" s="4" t="s">
        <v>0</v>
      </c>
      <c r="D114" s="13" t="s">
        <v>512</v>
      </c>
      <c r="E114" s="14" t="s">
        <v>765</v>
      </c>
      <c r="F114" s="14" t="s">
        <v>766</v>
      </c>
      <c r="G114" s="15">
        <v>2</v>
      </c>
      <c r="H114" s="14" t="s">
        <v>558</v>
      </c>
      <c r="I114" s="14" t="s">
        <v>516</v>
      </c>
      <c r="J114" s="16"/>
      <c r="K114" s="14" t="s">
        <v>517</v>
      </c>
      <c r="L114" s="14" t="s">
        <v>767</v>
      </c>
      <c r="M114" s="14" t="s">
        <v>519</v>
      </c>
      <c r="N114" s="14" t="s">
        <v>520</v>
      </c>
      <c r="O114" s="16"/>
    </row>
    <row r="115" spans="2:15" x14ac:dyDescent="0.4">
      <c r="B115" s="20" t="s">
        <v>479</v>
      </c>
      <c r="C115" s="4" t="s">
        <v>0</v>
      </c>
      <c r="D115" s="14" t="s">
        <v>563</v>
      </c>
      <c r="E115" s="14" t="s">
        <v>768</v>
      </c>
      <c r="F115" s="14" t="s">
        <v>480</v>
      </c>
      <c r="G115" s="15">
        <v>2</v>
      </c>
      <c r="H115" s="14" t="s">
        <v>667</v>
      </c>
      <c r="I115" s="15">
        <v>1</v>
      </c>
      <c r="J115" s="14" t="s">
        <v>769</v>
      </c>
      <c r="K115" s="14" t="s">
        <v>517</v>
      </c>
      <c r="L115" s="14" t="s">
        <v>770</v>
      </c>
      <c r="M115" s="14" t="s">
        <v>519</v>
      </c>
      <c r="N115" s="14" t="s">
        <v>520</v>
      </c>
      <c r="O115" s="16"/>
    </row>
    <row r="116" spans="2:15" x14ac:dyDescent="0.4">
      <c r="B116" s="20" t="s">
        <v>481</v>
      </c>
      <c r="C116" s="4" t="s">
        <v>0</v>
      </c>
      <c r="D116" s="14" t="s">
        <v>563</v>
      </c>
      <c r="E116" s="14" t="s">
        <v>771</v>
      </c>
      <c r="F116" s="14" t="s">
        <v>480</v>
      </c>
      <c r="G116" s="15">
        <v>2</v>
      </c>
      <c r="H116" s="14" t="s">
        <v>667</v>
      </c>
      <c r="I116" s="15">
        <v>1</v>
      </c>
      <c r="J116" s="14" t="s">
        <v>769</v>
      </c>
      <c r="K116" s="14" t="s">
        <v>517</v>
      </c>
      <c r="L116" s="14" t="s">
        <v>770</v>
      </c>
      <c r="M116" s="14" t="s">
        <v>519</v>
      </c>
      <c r="N116" s="14" t="s">
        <v>531</v>
      </c>
      <c r="O116" s="16"/>
    </row>
    <row r="117" spans="2:15" x14ac:dyDescent="0.4">
      <c r="B117" s="20" t="s">
        <v>482</v>
      </c>
      <c r="C117" s="4" t="s">
        <v>0</v>
      </c>
      <c r="D117" s="14" t="s">
        <v>563</v>
      </c>
      <c r="E117" s="14" t="s">
        <v>772</v>
      </c>
      <c r="F117" s="14" t="s">
        <v>480</v>
      </c>
      <c r="G117" s="15">
        <v>2</v>
      </c>
      <c r="H117" s="14" t="s">
        <v>667</v>
      </c>
      <c r="I117" s="15">
        <v>2</v>
      </c>
      <c r="J117" s="14" t="s">
        <v>769</v>
      </c>
      <c r="K117" s="14" t="s">
        <v>517</v>
      </c>
      <c r="L117" s="14" t="s">
        <v>770</v>
      </c>
      <c r="M117" s="14" t="s">
        <v>519</v>
      </c>
      <c r="N117" s="14" t="s">
        <v>520</v>
      </c>
      <c r="O117" s="16"/>
    </row>
    <row r="118" spans="2:15" x14ac:dyDescent="0.4">
      <c r="B118" s="20" t="s">
        <v>483</v>
      </c>
      <c r="C118" s="4" t="s">
        <v>0</v>
      </c>
      <c r="D118" s="14" t="s">
        <v>563</v>
      </c>
      <c r="E118" s="14" t="s">
        <v>773</v>
      </c>
      <c r="F118" s="14" t="s">
        <v>480</v>
      </c>
      <c r="G118" s="15">
        <v>2</v>
      </c>
      <c r="H118" s="14" t="s">
        <v>667</v>
      </c>
      <c r="I118" s="15">
        <v>2</v>
      </c>
      <c r="J118" s="14" t="s">
        <v>769</v>
      </c>
      <c r="K118" s="14" t="s">
        <v>517</v>
      </c>
      <c r="L118" s="14" t="s">
        <v>770</v>
      </c>
      <c r="M118" s="14" t="s">
        <v>519</v>
      </c>
      <c r="N118" s="14" t="s">
        <v>531</v>
      </c>
      <c r="O118" s="16"/>
    </row>
    <row r="119" spans="2:15" x14ac:dyDescent="0.4">
      <c r="B119" s="54" t="s">
        <v>980</v>
      </c>
      <c r="C119" s="4" t="s">
        <v>0</v>
      </c>
      <c r="D119" s="17" t="s">
        <v>560</v>
      </c>
      <c r="E119" s="14" t="s">
        <v>774</v>
      </c>
      <c r="F119" s="14" t="s">
        <v>484</v>
      </c>
      <c r="G119" s="15">
        <v>2</v>
      </c>
      <c r="H119" s="14" t="s">
        <v>667</v>
      </c>
      <c r="I119" s="15">
        <v>1</v>
      </c>
      <c r="J119" s="14" t="s">
        <v>769</v>
      </c>
      <c r="K119" s="14" t="s">
        <v>517</v>
      </c>
      <c r="L119" s="14" t="s">
        <v>775</v>
      </c>
      <c r="M119" s="14" t="s">
        <v>519</v>
      </c>
      <c r="N119" s="14" t="s">
        <v>520</v>
      </c>
      <c r="O119" s="16"/>
    </row>
    <row r="120" spans="2:15" x14ac:dyDescent="0.4">
      <c r="B120" s="20" t="s">
        <v>485</v>
      </c>
      <c r="C120" s="4" t="s">
        <v>0</v>
      </c>
      <c r="D120" s="17" t="s">
        <v>560</v>
      </c>
      <c r="E120" s="14" t="s">
        <v>776</v>
      </c>
      <c r="F120" s="14" t="s">
        <v>484</v>
      </c>
      <c r="G120" s="15">
        <v>2</v>
      </c>
      <c r="H120" s="14" t="s">
        <v>667</v>
      </c>
      <c r="I120" s="15">
        <v>1</v>
      </c>
      <c r="J120" s="14" t="s">
        <v>769</v>
      </c>
      <c r="K120" s="14" t="s">
        <v>517</v>
      </c>
      <c r="L120" s="14" t="s">
        <v>775</v>
      </c>
      <c r="M120" s="14" t="s">
        <v>519</v>
      </c>
      <c r="N120" s="14" t="s">
        <v>531</v>
      </c>
      <c r="O120" s="16"/>
    </row>
    <row r="121" spans="2:15" x14ac:dyDescent="0.4">
      <c r="B121" s="20" t="s">
        <v>486</v>
      </c>
      <c r="C121" s="4" t="s">
        <v>0</v>
      </c>
      <c r="D121" s="17" t="s">
        <v>560</v>
      </c>
      <c r="E121" s="14" t="s">
        <v>777</v>
      </c>
      <c r="F121" s="14" t="s">
        <v>484</v>
      </c>
      <c r="G121" s="15">
        <v>2</v>
      </c>
      <c r="H121" s="14" t="s">
        <v>667</v>
      </c>
      <c r="I121" s="15">
        <v>2</v>
      </c>
      <c r="J121" s="14" t="s">
        <v>769</v>
      </c>
      <c r="K121" s="14" t="s">
        <v>517</v>
      </c>
      <c r="L121" s="14" t="s">
        <v>775</v>
      </c>
      <c r="M121" s="14" t="s">
        <v>519</v>
      </c>
      <c r="N121" s="14" t="s">
        <v>520</v>
      </c>
      <c r="O121" s="16"/>
    </row>
    <row r="122" spans="2:15" x14ac:dyDescent="0.4">
      <c r="B122" s="20" t="s">
        <v>487</v>
      </c>
      <c r="C122" s="4" t="s">
        <v>0</v>
      </c>
      <c r="D122" s="17" t="s">
        <v>560</v>
      </c>
      <c r="E122" s="14" t="s">
        <v>778</v>
      </c>
      <c r="F122" s="14" t="s">
        <v>484</v>
      </c>
      <c r="G122" s="15">
        <v>2</v>
      </c>
      <c r="H122" s="14" t="s">
        <v>667</v>
      </c>
      <c r="I122" s="15">
        <v>2</v>
      </c>
      <c r="J122" s="14" t="s">
        <v>769</v>
      </c>
      <c r="K122" s="14" t="s">
        <v>517</v>
      </c>
      <c r="L122" s="14" t="s">
        <v>775</v>
      </c>
      <c r="M122" s="14" t="s">
        <v>519</v>
      </c>
      <c r="N122" s="14" t="s">
        <v>531</v>
      </c>
      <c r="O122" s="16"/>
    </row>
    <row r="123" spans="2:15" x14ac:dyDescent="0.4">
      <c r="B123" s="20" t="s">
        <v>488</v>
      </c>
      <c r="C123" s="4" t="s">
        <v>0</v>
      </c>
      <c r="D123" s="14" t="s">
        <v>563</v>
      </c>
      <c r="E123" s="14" t="s">
        <v>779</v>
      </c>
      <c r="F123" s="14" t="s">
        <v>780</v>
      </c>
      <c r="G123" s="15">
        <v>2</v>
      </c>
      <c r="H123" s="14" t="s">
        <v>667</v>
      </c>
      <c r="I123" s="15">
        <v>1</v>
      </c>
      <c r="J123" s="14" t="s">
        <v>769</v>
      </c>
      <c r="K123" s="14" t="s">
        <v>517</v>
      </c>
      <c r="L123" s="14" t="s">
        <v>781</v>
      </c>
      <c r="M123" s="14" t="s">
        <v>519</v>
      </c>
      <c r="N123" s="14" t="s">
        <v>520</v>
      </c>
      <c r="O123" s="16"/>
    </row>
    <row r="124" spans="2:15" x14ac:dyDescent="0.4">
      <c r="B124" s="20" t="s">
        <v>489</v>
      </c>
      <c r="C124" s="4" t="s">
        <v>0</v>
      </c>
      <c r="D124" s="14" t="s">
        <v>563</v>
      </c>
      <c r="E124" s="14" t="s">
        <v>782</v>
      </c>
      <c r="F124" s="14" t="s">
        <v>780</v>
      </c>
      <c r="G124" s="15">
        <v>2</v>
      </c>
      <c r="H124" s="14" t="s">
        <v>667</v>
      </c>
      <c r="I124" s="15">
        <v>1</v>
      </c>
      <c r="J124" s="14" t="s">
        <v>769</v>
      </c>
      <c r="K124" s="14" t="s">
        <v>517</v>
      </c>
      <c r="L124" s="14" t="s">
        <v>781</v>
      </c>
      <c r="M124" s="14" t="s">
        <v>519</v>
      </c>
      <c r="N124" s="14" t="s">
        <v>531</v>
      </c>
      <c r="O124" s="16"/>
    </row>
    <row r="125" spans="2:15" x14ac:dyDescent="0.4">
      <c r="B125" s="20" t="s">
        <v>490</v>
      </c>
      <c r="C125" s="4" t="s">
        <v>0</v>
      </c>
      <c r="D125" s="14" t="s">
        <v>563</v>
      </c>
      <c r="E125" s="14" t="s">
        <v>783</v>
      </c>
      <c r="F125" s="14" t="s">
        <v>780</v>
      </c>
      <c r="G125" s="15">
        <v>2</v>
      </c>
      <c r="H125" s="14" t="s">
        <v>667</v>
      </c>
      <c r="I125" s="15">
        <v>2</v>
      </c>
      <c r="J125" s="14" t="s">
        <v>769</v>
      </c>
      <c r="K125" s="14" t="s">
        <v>517</v>
      </c>
      <c r="L125" s="14" t="s">
        <v>781</v>
      </c>
      <c r="M125" s="14" t="s">
        <v>519</v>
      </c>
      <c r="N125" s="14" t="s">
        <v>520</v>
      </c>
      <c r="O125" s="16"/>
    </row>
    <row r="126" spans="2:15" x14ac:dyDescent="0.4">
      <c r="B126" s="20" t="s">
        <v>491</v>
      </c>
      <c r="C126" s="4" t="s">
        <v>0</v>
      </c>
      <c r="D126" s="14" t="s">
        <v>563</v>
      </c>
      <c r="E126" s="14" t="s">
        <v>784</v>
      </c>
      <c r="F126" s="14" t="s">
        <v>780</v>
      </c>
      <c r="G126" s="15">
        <v>2</v>
      </c>
      <c r="H126" s="14" t="s">
        <v>667</v>
      </c>
      <c r="I126" s="15">
        <v>2</v>
      </c>
      <c r="J126" s="14" t="s">
        <v>769</v>
      </c>
      <c r="K126" s="14" t="s">
        <v>517</v>
      </c>
      <c r="L126" s="14" t="s">
        <v>781</v>
      </c>
      <c r="M126" s="14" t="s">
        <v>519</v>
      </c>
      <c r="N126" s="14" t="s">
        <v>531</v>
      </c>
      <c r="O126" s="16"/>
    </row>
    <row r="127" spans="2:15" x14ac:dyDescent="0.4">
      <c r="B127" s="20" t="s">
        <v>492</v>
      </c>
      <c r="C127" s="4" t="s">
        <v>0</v>
      </c>
      <c r="D127" s="13" t="s">
        <v>512</v>
      </c>
      <c r="E127" s="16" t="s">
        <v>785</v>
      </c>
      <c r="F127" s="14" t="s">
        <v>760</v>
      </c>
      <c r="G127" s="15">
        <v>4</v>
      </c>
      <c r="H127" s="14" t="s">
        <v>558</v>
      </c>
      <c r="I127" s="14" t="s">
        <v>516</v>
      </c>
      <c r="J127" s="16"/>
      <c r="K127" s="14" t="s">
        <v>522</v>
      </c>
      <c r="L127" s="14" t="s">
        <v>761</v>
      </c>
      <c r="M127" s="14" t="s">
        <v>519</v>
      </c>
      <c r="N127" s="14" t="s">
        <v>524</v>
      </c>
      <c r="O127" s="16"/>
    </row>
    <row r="128" spans="2:15" x14ac:dyDescent="0.4">
      <c r="B128" s="20" t="s">
        <v>493</v>
      </c>
      <c r="C128" s="4" t="s">
        <v>0</v>
      </c>
      <c r="D128" s="13" t="s">
        <v>512</v>
      </c>
      <c r="E128" s="16" t="s">
        <v>786</v>
      </c>
      <c r="F128" s="14" t="s">
        <v>760</v>
      </c>
      <c r="G128" s="15">
        <v>2</v>
      </c>
      <c r="H128" s="14" t="s">
        <v>558</v>
      </c>
      <c r="I128" s="14" t="s">
        <v>516</v>
      </c>
      <c r="J128" s="16"/>
      <c r="K128" s="14" t="s">
        <v>522</v>
      </c>
      <c r="L128" s="14" t="s">
        <v>761</v>
      </c>
      <c r="M128" s="14" t="s">
        <v>519</v>
      </c>
      <c r="N128" s="14" t="s">
        <v>524</v>
      </c>
      <c r="O128" s="16"/>
    </row>
    <row r="129" spans="2:15" x14ac:dyDescent="0.4">
      <c r="B129" s="20" t="s">
        <v>494</v>
      </c>
      <c r="C129" s="4" t="s">
        <v>0</v>
      </c>
      <c r="D129" s="13" t="s">
        <v>512</v>
      </c>
      <c r="E129" s="16" t="s">
        <v>787</v>
      </c>
      <c r="F129" s="14" t="s">
        <v>760</v>
      </c>
      <c r="G129" s="15">
        <v>1</v>
      </c>
      <c r="H129" s="14" t="s">
        <v>558</v>
      </c>
      <c r="I129" s="14" t="s">
        <v>516</v>
      </c>
      <c r="J129" s="16"/>
      <c r="K129" s="14" t="s">
        <v>522</v>
      </c>
      <c r="L129" s="14" t="s">
        <v>761</v>
      </c>
      <c r="M129" s="14" t="s">
        <v>519</v>
      </c>
      <c r="N129" s="14" t="s">
        <v>524</v>
      </c>
      <c r="O129" s="16"/>
    </row>
    <row r="130" spans="2:15" x14ac:dyDescent="0.4">
      <c r="B130" s="54" t="s">
        <v>981</v>
      </c>
      <c r="C130" s="4" t="s">
        <v>0</v>
      </c>
      <c r="D130" s="13" t="s">
        <v>512</v>
      </c>
      <c r="E130" s="16" t="s">
        <v>788</v>
      </c>
      <c r="F130" s="14" t="s">
        <v>763</v>
      </c>
      <c r="G130" s="15">
        <v>4</v>
      </c>
      <c r="H130" s="14" t="s">
        <v>558</v>
      </c>
      <c r="I130" s="14" t="s">
        <v>516</v>
      </c>
      <c r="J130" s="16"/>
      <c r="K130" s="14" t="s">
        <v>522</v>
      </c>
      <c r="L130" s="14" t="s">
        <v>764</v>
      </c>
      <c r="M130" s="14" t="s">
        <v>519</v>
      </c>
      <c r="N130" s="14" t="s">
        <v>524</v>
      </c>
      <c r="O130" s="16"/>
    </row>
    <row r="131" spans="2:15" x14ac:dyDescent="0.4">
      <c r="B131" s="20" t="s">
        <v>495</v>
      </c>
      <c r="C131" s="4" t="s">
        <v>0</v>
      </c>
      <c r="D131" s="13" t="s">
        <v>512</v>
      </c>
      <c r="E131" s="16" t="s">
        <v>789</v>
      </c>
      <c r="F131" s="14" t="s">
        <v>763</v>
      </c>
      <c r="G131" s="15">
        <v>2</v>
      </c>
      <c r="H131" s="14" t="s">
        <v>558</v>
      </c>
      <c r="I131" s="14" t="s">
        <v>516</v>
      </c>
      <c r="J131" s="16"/>
      <c r="K131" s="14" t="s">
        <v>522</v>
      </c>
      <c r="L131" s="14" t="s">
        <v>764</v>
      </c>
      <c r="M131" s="14" t="s">
        <v>519</v>
      </c>
      <c r="N131" s="14" t="s">
        <v>524</v>
      </c>
      <c r="O131" s="16"/>
    </row>
    <row r="132" spans="2:15" x14ac:dyDescent="0.4">
      <c r="B132" s="20" t="s">
        <v>496</v>
      </c>
      <c r="C132" s="4" t="s">
        <v>0</v>
      </c>
      <c r="D132" s="13" t="s">
        <v>512</v>
      </c>
      <c r="E132" s="16" t="s">
        <v>790</v>
      </c>
      <c r="F132" s="14" t="s">
        <v>763</v>
      </c>
      <c r="G132" s="15">
        <v>1</v>
      </c>
      <c r="H132" s="14" t="s">
        <v>558</v>
      </c>
      <c r="I132" s="14" t="s">
        <v>516</v>
      </c>
      <c r="J132" s="16"/>
      <c r="K132" s="14" t="s">
        <v>522</v>
      </c>
      <c r="L132" s="14" t="s">
        <v>764</v>
      </c>
      <c r="M132" s="14" t="s">
        <v>519</v>
      </c>
      <c r="N132" s="14" t="s">
        <v>524</v>
      </c>
      <c r="O132" s="16"/>
    </row>
    <row r="133" spans="2:15" x14ac:dyDescent="0.4">
      <c r="B133" s="20" t="s">
        <v>497</v>
      </c>
      <c r="C133" s="4" t="s">
        <v>0</v>
      </c>
      <c r="D133" s="13" t="s">
        <v>512</v>
      </c>
      <c r="E133" s="16" t="s">
        <v>791</v>
      </c>
      <c r="F133" s="14" t="s">
        <v>766</v>
      </c>
      <c r="G133" s="15">
        <v>4</v>
      </c>
      <c r="H133" s="14" t="s">
        <v>558</v>
      </c>
      <c r="I133" s="14" t="s">
        <v>516</v>
      </c>
      <c r="J133" s="16"/>
      <c r="K133" s="14" t="s">
        <v>522</v>
      </c>
      <c r="L133" s="14" t="s">
        <v>767</v>
      </c>
      <c r="M133" s="14" t="s">
        <v>519</v>
      </c>
      <c r="N133" s="14" t="s">
        <v>524</v>
      </c>
      <c r="O133" s="16"/>
    </row>
    <row r="134" spans="2:15" x14ac:dyDescent="0.4">
      <c r="B134" s="20" t="s">
        <v>498</v>
      </c>
      <c r="C134" s="4" t="s">
        <v>0</v>
      </c>
      <c r="D134" s="13" t="s">
        <v>512</v>
      </c>
      <c r="E134" s="16" t="s">
        <v>792</v>
      </c>
      <c r="F134" s="14" t="s">
        <v>766</v>
      </c>
      <c r="G134" s="15">
        <v>2</v>
      </c>
      <c r="H134" s="14" t="s">
        <v>558</v>
      </c>
      <c r="I134" s="14" t="s">
        <v>516</v>
      </c>
      <c r="J134" s="16"/>
      <c r="K134" s="14" t="s">
        <v>522</v>
      </c>
      <c r="L134" s="14" t="s">
        <v>767</v>
      </c>
      <c r="M134" s="14" t="s">
        <v>519</v>
      </c>
      <c r="N134" s="14" t="s">
        <v>524</v>
      </c>
      <c r="O134" s="16"/>
    </row>
    <row r="135" spans="2:15" x14ac:dyDescent="0.4">
      <c r="B135" s="20" t="s">
        <v>499</v>
      </c>
      <c r="C135" s="4" t="s">
        <v>0</v>
      </c>
      <c r="D135" s="13" t="s">
        <v>512</v>
      </c>
      <c r="E135" s="16" t="s">
        <v>793</v>
      </c>
      <c r="F135" s="14" t="s">
        <v>766</v>
      </c>
      <c r="G135" s="15">
        <v>1</v>
      </c>
      <c r="H135" s="14" t="s">
        <v>558</v>
      </c>
      <c r="I135" s="14" t="s">
        <v>516</v>
      </c>
      <c r="J135" s="16"/>
      <c r="K135" s="14" t="s">
        <v>522</v>
      </c>
      <c r="L135" s="14" t="s">
        <v>767</v>
      </c>
      <c r="M135" s="14" t="s">
        <v>519</v>
      </c>
      <c r="N135" s="14" t="s">
        <v>524</v>
      </c>
      <c r="O135" s="16"/>
    </row>
    <row r="136" spans="2:15" x14ac:dyDescent="0.4">
      <c r="B136" s="20" t="s">
        <v>2182</v>
      </c>
      <c r="C136" s="4" t="s">
        <v>1014</v>
      </c>
      <c r="D136" s="13" t="s">
        <v>1010</v>
      </c>
      <c r="E136" s="16" t="s">
        <v>2185</v>
      </c>
      <c r="F136" s="14" t="s">
        <v>1015</v>
      </c>
      <c r="G136" s="15">
        <v>1</v>
      </c>
      <c r="H136" s="14" t="s">
        <v>1017</v>
      </c>
      <c r="I136" s="14" t="s">
        <v>516</v>
      </c>
      <c r="J136" s="16"/>
      <c r="K136" s="14" t="s">
        <v>1018</v>
      </c>
      <c r="L136" s="14" t="s">
        <v>2168</v>
      </c>
      <c r="M136" s="14" t="s">
        <v>519</v>
      </c>
      <c r="N136" s="14" t="s">
        <v>2177</v>
      </c>
      <c r="O136" s="16"/>
    </row>
    <row r="137" spans="2:15" x14ac:dyDescent="0.4">
      <c r="B137" s="20" t="s">
        <v>2183</v>
      </c>
      <c r="C137" s="4" t="s">
        <v>1014</v>
      </c>
      <c r="D137" s="13" t="s">
        <v>1010</v>
      </c>
      <c r="E137" s="16" t="s">
        <v>2186</v>
      </c>
      <c r="F137" s="14" t="s">
        <v>1015</v>
      </c>
      <c r="G137" s="15">
        <v>1</v>
      </c>
      <c r="H137" s="14" t="s">
        <v>1017</v>
      </c>
      <c r="I137" s="14" t="s">
        <v>2169</v>
      </c>
      <c r="J137" s="16"/>
      <c r="K137" s="14" t="s">
        <v>1018</v>
      </c>
      <c r="L137" s="14" t="s">
        <v>2168</v>
      </c>
      <c r="M137" s="14" t="s">
        <v>519</v>
      </c>
      <c r="N137" s="14" t="s">
        <v>2178</v>
      </c>
      <c r="O137" s="16"/>
    </row>
    <row r="138" spans="2:15" x14ac:dyDescent="0.4">
      <c r="B138" s="20" t="s">
        <v>2170</v>
      </c>
      <c r="C138" s="4" t="s">
        <v>1014</v>
      </c>
      <c r="D138" s="13" t="s">
        <v>1010</v>
      </c>
      <c r="E138" s="16" t="s">
        <v>2187</v>
      </c>
      <c r="F138" s="14" t="s">
        <v>1016</v>
      </c>
      <c r="G138" s="15">
        <v>1</v>
      </c>
      <c r="H138" s="14" t="s">
        <v>1017</v>
      </c>
      <c r="I138" s="14" t="s">
        <v>516</v>
      </c>
      <c r="J138" s="16"/>
      <c r="K138" s="14" t="s">
        <v>1018</v>
      </c>
      <c r="L138" s="14" t="s">
        <v>2168</v>
      </c>
      <c r="M138" s="14" t="s">
        <v>519</v>
      </c>
      <c r="N138" s="14" t="s">
        <v>2175</v>
      </c>
      <c r="O138" s="16"/>
    </row>
    <row r="139" spans="2:15" x14ac:dyDescent="0.4">
      <c r="B139" s="20" t="s">
        <v>2184</v>
      </c>
      <c r="C139" s="4" t="s">
        <v>1014</v>
      </c>
      <c r="D139" s="13" t="s">
        <v>1010</v>
      </c>
      <c r="E139" s="16" t="s">
        <v>2188</v>
      </c>
      <c r="F139" s="14" t="s">
        <v>1016</v>
      </c>
      <c r="G139" s="15">
        <v>1</v>
      </c>
      <c r="H139" s="14" t="s">
        <v>1017</v>
      </c>
      <c r="I139" s="14" t="s">
        <v>2169</v>
      </c>
      <c r="J139" s="16"/>
      <c r="K139" s="14" t="s">
        <v>1018</v>
      </c>
      <c r="L139" s="14" t="s">
        <v>2168</v>
      </c>
      <c r="M139" s="14" t="s">
        <v>519</v>
      </c>
      <c r="N139" s="14" t="s">
        <v>2176</v>
      </c>
      <c r="O139" s="16"/>
    </row>
    <row r="140" spans="2:15" x14ac:dyDescent="0.4"/>
  </sheetData>
  <phoneticPr fontId="5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49642-E356-47E0-B1AB-F9CE281A8591}">
  <sheetPr>
    <tabColor theme="5" tint="0.79998168889431442"/>
  </sheetPr>
  <dimension ref="A1:P414"/>
  <sheetViews>
    <sheetView zoomScale="168" zoomScaleNormal="130" workbookViewId="0">
      <pane ySplit="10" topLeftCell="A11" activePane="bottomLeft" state="frozen"/>
      <selection pane="bottomLeft" activeCell="G16" sqref="G16"/>
    </sheetView>
  </sheetViews>
  <sheetFormatPr defaultColWidth="0" defaultRowHeight="18.75" x14ac:dyDescent="0.4"/>
  <cols>
    <col min="1" max="1" width="0.875" style="56" customWidth="1"/>
    <col min="2" max="9" width="13.375" style="318" customWidth="1"/>
    <col min="10" max="10" width="0.875" style="56" customWidth="1"/>
    <col min="11" max="16" width="0" style="56" hidden="1" customWidth="1"/>
    <col min="17" max="16384" width="8.625" style="56" hidden="1"/>
  </cols>
  <sheetData>
    <row r="1" spans="1:13" ht="5.45" customHeight="1" x14ac:dyDescent="0.4"/>
    <row r="2" spans="1:13" ht="24" x14ac:dyDescent="0.4">
      <c r="B2" s="42" t="str">
        <f ca="1">LEFT(RIGHT(CELL("filename",A1),LEN(CELL("filename",A1))-FIND("]",CELL("filename",A1))),4)&amp;"年度"&amp;RIGHT(RIGHT(CELL("filename",A1),LEN(CELL("filename",A1))-FIND("]",CELL("filename",A1))),5)</f>
        <v>2019年度時間割一覧</v>
      </c>
      <c r="C2" s="319"/>
      <c r="D2" s="42"/>
      <c r="E2" s="42"/>
      <c r="F2" s="42"/>
      <c r="G2" s="42"/>
      <c r="H2" s="42"/>
      <c r="I2" s="42"/>
    </row>
    <row r="3" spans="1:13" ht="24" hidden="1" x14ac:dyDescent="0.4">
      <c r="B3" s="44" t="s">
        <v>950</v>
      </c>
      <c r="C3" s="320"/>
      <c r="D3" s="45"/>
      <c r="E3" s="33"/>
      <c r="F3" s="33"/>
      <c r="G3" s="33"/>
      <c r="H3" s="33"/>
      <c r="I3" s="34"/>
    </row>
    <row r="4" spans="1:13" ht="18" hidden="1" customHeight="1" x14ac:dyDescent="0.4">
      <c r="B4" s="46" t="s">
        <v>951</v>
      </c>
      <c r="C4" s="321"/>
      <c r="D4" s="322"/>
      <c r="E4" s="323"/>
      <c r="F4" s="323"/>
      <c r="G4" s="323"/>
      <c r="H4" s="323"/>
      <c r="I4" s="324"/>
      <c r="J4" s="21"/>
      <c r="K4" s="21"/>
      <c r="L4" s="21"/>
      <c r="M4" s="21"/>
    </row>
    <row r="5" spans="1:13" ht="18" hidden="1" customHeight="1" x14ac:dyDescent="0.4">
      <c r="A5" s="325"/>
      <c r="B5" s="46" t="s">
        <v>952</v>
      </c>
      <c r="C5" s="321"/>
      <c r="D5" s="326"/>
      <c r="E5" s="327"/>
      <c r="F5" s="327"/>
      <c r="G5" s="327"/>
      <c r="H5" s="327"/>
      <c r="I5" s="328"/>
      <c r="J5" s="325"/>
      <c r="K5" s="325"/>
      <c r="L5" s="325"/>
    </row>
    <row r="6" spans="1:13" ht="18" hidden="1" customHeight="1" x14ac:dyDescent="0.4">
      <c r="A6" s="325"/>
      <c r="B6" s="46" t="s">
        <v>956</v>
      </c>
      <c r="C6" s="321"/>
      <c r="D6" s="326"/>
      <c r="E6" s="327"/>
      <c r="F6" s="327"/>
      <c r="G6" s="327"/>
      <c r="H6" s="327"/>
      <c r="I6" s="328"/>
      <c r="J6" s="325"/>
      <c r="K6" s="325"/>
      <c r="L6" s="325"/>
    </row>
    <row r="7" spans="1:13" ht="19.5" hidden="1" thickBot="1" x14ac:dyDescent="0.45">
      <c r="B7" s="47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329"/>
      <c r="D7" s="329"/>
      <c r="E7" s="330"/>
      <c r="F7" s="330"/>
      <c r="G7" s="330"/>
      <c r="H7" s="330"/>
      <c r="I7" s="331"/>
    </row>
    <row r="8" spans="1:13" x14ac:dyDescent="0.4">
      <c r="B8" s="332"/>
      <c r="C8" s="332"/>
      <c r="D8" s="332"/>
      <c r="E8" s="332"/>
      <c r="F8" s="332"/>
      <c r="G8" s="332"/>
      <c r="H8" s="332"/>
      <c r="I8" s="332"/>
      <c r="J8" s="332"/>
    </row>
    <row r="9" spans="1:13" x14ac:dyDescent="0.4">
      <c r="B9" s="332">
        <v>1</v>
      </c>
      <c r="C9" s="332">
        <v>2</v>
      </c>
      <c r="D9" s="332">
        <v>3</v>
      </c>
      <c r="E9" s="332">
        <v>4</v>
      </c>
      <c r="F9" s="332">
        <v>5</v>
      </c>
      <c r="G9" s="332">
        <v>6</v>
      </c>
      <c r="H9" s="332">
        <v>7</v>
      </c>
      <c r="I9" s="332">
        <v>8</v>
      </c>
      <c r="J9" s="332"/>
    </row>
    <row r="10" spans="1:13" ht="19.5" x14ac:dyDescent="0.4">
      <c r="B10" s="348" t="s">
        <v>2382</v>
      </c>
      <c r="C10" s="349" t="s">
        <v>2383</v>
      </c>
      <c r="D10" s="349" t="s">
        <v>2384</v>
      </c>
      <c r="E10" s="350" t="s">
        <v>2385</v>
      </c>
      <c r="F10" s="349" t="s">
        <v>2389</v>
      </c>
      <c r="G10" s="349" t="s">
        <v>2386</v>
      </c>
      <c r="H10" s="349" t="s">
        <v>2387</v>
      </c>
      <c r="I10" s="349" t="s">
        <v>2388</v>
      </c>
    </row>
    <row r="11" spans="1:13" ht="19.5" x14ac:dyDescent="0.4">
      <c r="B11" s="336" t="s">
        <v>963</v>
      </c>
      <c r="C11" s="337" t="s">
        <v>1211</v>
      </c>
      <c r="D11" s="337" t="s">
        <v>2390</v>
      </c>
      <c r="E11" s="337" t="s">
        <v>949</v>
      </c>
      <c r="F11" s="337" t="s">
        <v>1223</v>
      </c>
      <c r="G11" s="338">
        <v>4</v>
      </c>
      <c r="H11" s="339"/>
      <c r="I11" s="337" t="s">
        <v>2391</v>
      </c>
    </row>
    <row r="12" spans="1:13" x14ac:dyDescent="0.4">
      <c r="B12" s="336" t="s">
        <v>1214</v>
      </c>
      <c r="C12" s="337" t="s">
        <v>1215</v>
      </c>
      <c r="D12" s="337" t="s">
        <v>1216</v>
      </c>
      <c r="E12" s="337" t="s">
        <v>1261</v>
      </c>
      <c r="F12" s="337" t="s">
        <v>1218</v>
      </c>
      <c r="G12" s="338">
        <v>2</v>
      </c>
      <c r="H12" s="337" t="s">
        <v>2392</v>
      </c>
      <c r="I12" s="339" t="s">
        <v>2393</v>
      </c>
    </row>
    <row r="13" spans="1:13" x14ac:dyDescent="0.4">
      <c r="B13" s="336" t="s">
        <v>1214</v>
      </c>
      <c r="C13" s="337" t="s">
        <v>1220</v>
      </c>
      <c r="D13" s="337" t="s">
        <v>1216</v>
      </c>
      <c r="E13" s="337" t="s">
        <v>1261</v>
      </c>
      <c r="F13" s="337" t="s">
        <v>1218</v>
      </c>
      <c r="G13" s="338">
        <v>3</v>
      </c>
      <c r="H13" s="337" t="s">
        <v>2392</v>
      </c>
      <c r="I13" s="339" t="s">
        <v>2394</v>
      </c>
    </row>
    <row r="14" spans="1:13" x14ac:dyDescent="0.4">
      <c r="B14" s="336" t="s">
        <v>1214</v>
      </c>
      <c r="C14" s="337" t="s">
        <v>1222</v>
      </c>
      <c r="D14" s="337" t="s">
        <v>1216</v>
      </c>
      <c r="E14" s="337" t="s">
        <v>1261</v>
      </c>
      <c r="F14" s="337" t="s">
        <v>1223</v>
      </c>
      <c r="G14" s="338">
        <v>2</v>
      </c>
      <c r="H14" s="337" t="s">
        <v>2392</v>
      </c>
      <c r="I14" s="339" t="s">
        <v>2395</v>
      </c>
    </row>
    <row r="15" spans="1:13" x14ac:dyDescent="0.4">
      <c r="B15" s="336" t="s">
        <v>1214</v>
      </c>
      <c r="C15" s="337" t="s">
        <v>1225</v>
      </c>
      <c r="D15" s="337" t="s">
        <v>1216</v>
      </c>
      <c r="E15" s="337" t="s">
        <v>1261</v>
      </c>
      <c r="F15" s="337" t="s">
        <v>1223</v>
      </c>
      <c r="G15" s="338">
        <v>3</v>
      </c>
      <c r="H15" s="337" t="s">
        <v>2392</v>
      </c>
      <c r="I15" s="339" t="s">
        <v>2396</v>
      </c>
    </row>
    <row r="16" spans="1:13" x14ac:dyDescent="0.4">
      <c r="B16" s="336" t="s">
        <v>1214</v>
      </c>
      <c r="C16" s="337" t="s">
        <v>1227</v>
      </c>
      <c r="D16" s="337" t="s">
        <v>1216</v>
      </c>
      <c r="E16" s="337" t="s">
        <v>1217</v>
      </c>
      <c r="F16" s="337" t="s">
        <v>1218</v>
      </c>
      <c r="G16" s="338">
        <v>2</v>
      </c>
      <c r="H16" s="337" t="s">
        <v>2392</v>
      </c>
      <c r="I16" s="339" t="s">
        <v>2397</v>
      </c>
    </row>
    <row r="17" spans="2:9" x14ac:dyDescent="0.4">
      <c r="B17" s="336" t="s">
        <v>1214</v>
      </c>
      <c r="C17" s="337" t="s">
        <v>1229</v>
      </c>
      <c r="D17" s="337" t="s">
        <v>1216</v>
      </c>
      <c r="E17" s="337" t="s">
        <v>1217</v>
      </c>
      <c r="F17" s="337" t="s">
        <v>1218</v>
      </c>
      <c r="G17" s="338">
        <v>3</v>
      </c>
      <c r="H17" s="337" t="s">
        <v>2392</v>
      </c>
      <c r="I17" s="339" t="s">
        <v>2398</v>
      </c>
    </row>
    <row r="18" spans="2:9" ht="22.5" customHeight="1" x14ac:dyDescent="0.4">
      <c r="B18" s="336" t="s">
        <v>2399</v>
      </c>
      <c r="C18" s="337" t="s">
        <v>2400</v>
      </c>
      <c r="D18" s="337" t="s">
        <v>1232</v>
      </c>
      <c r="E18" s="337" t="s">
        <v>1261</v>
      </c>
      <c r="F18" s="337" t="s">
        <v>1218</v>
      </c>
      <c r="G18" s="338">
        <v>3</v>
      </c>
      <c r="H18" s="337" t="s">
        <v>2401</v>
      </c>
      <c r="I18" s="339" t="s">
        <v>2393</v>
      </c>
    </row>
    <row r="19" spans="2:9" ht="22.5" customHeight="1" x14ac:dyDescent="0.4">
      <c r="B19" s="336" t="s">
        <v>2399</v>
      </c>
      <c r="C19" s="337" t="s">
        <v>2402</v>
      </c>
      <c r="D19" s="337" t="s">
        <v>1232</v>
      </c>
      <c r="E19" s="337" t="s">
        <v>1261</v>
      </c>
      <c r="F19" s="337" t="s">
        <v>1218</v>
      </c>
      <c r="G19" s="338">
        <v>4</v>
      </c>
      <c r="H19" s="337" t="s">
        <v>2401</v>
      </c>
      <c r="I19" s="339" t="s">
        <v>2394</v>
      </c>
    </row>
    <row r="20" spans="2:9" ht="22.5" customHeight="1" x14ac:dyDescent="0.4">
      <c r="B20" s="336" t="s">
        <v>2399</v>
      </c>
      <c r="C20" s="337" t="s">
        <v>2403</v>
      </c>
      <c r="D20" s="337" t="s">
        <v>1237</v>
      </c>
      <c r="E20" s="337" t="s">
        <v>1261</v>
      </c>
      <c r="F20" s="337" t="s">
        <v>990</v>
      </c>
      <c r="G20" s="338">
        <v>3</v>
      </c>
      <c r="H20" s="337" t="s">
        <v>2401</v>
      </c>
      <c r="I20" s="339" t="s">
        <v>2395</v>
      </c>
    </row>
    <row r="21" spans="2:9" ht="22.5" customHeight="1" x14ac:dyDescent="0.4">
      <c r="B21" s="336" t="s">
        <v>2399</v>
      </c>
      <c r="C21" s="337" t="s">
        <v>2404</v>
      </c>
      <c r="D21" s="337" t="s">
        <v>1237</v>
      </c>
      <c r="E21" s="337" t="s">
        <v>1261</v>
      </c>
      <c r="F21" s="337" t="s">
        <v>990</v>
      </c>
      <c r="G21" s="338">
        <v>4</v>
      </c>
      <c r="H21" s="337" t="s">
        <v>2401</v>
      </c>
      <c r="I21" s="339" t="s">
        <v>2396</v>
      </c>
    </row>
    <row r="22" spans="2:9" ht="22.5" customHeight="1" x14ac:dyDescent="0.4">
      <c r="B22" s="336" t="s">
        <v>2405</v>
      </c>
      <c r="C22" s="337" t="s">
        <v>2406</v>
      </c>
      <c r="D22" s="337" t="s">
        <v>1237</v>
      </c>
      <c r="E22" s="337" t="s">
        <v>1217</v>
      </c>
      <c r="F22" s="337" t="s">
        <v>990</v>
      </c>
      <c r="G22" s="338">
        <v>3</v>
      </c>
      <c r="H22" s="337" t="s">
        <v>2407</v>
      </c>
      <c r="I22" s="339"/>
    </row>
    <row r="23" spans="2:9" ht="22.5" customHeight="1" x14ac:dyDescent="0.4">
      <c r="B23" s="336" t="s">
        <v>964</v>
      </c>
      <c r="C23" s="337" t="s">
        <v>2408</v>
      </c>
      <c r="D23" s="337" t="s">
        <v>2390</v>
      </c>
      <c r="E23" s="337" t="s">
        <v>1261</v>
      </c>
      <c r="F23" s="337" t="s">
        <v>990</v>
      </c>
      <c r="G23" s="338">
        <v>5</v>
      </c>
      <c r="H23" s="337" t="s">
        <v>2409</v>
      </c>
      <c r="I23" s="339"/>
    </row>
    <row r="24" spans="2:9" x14ac:dyDescent="0.4">
      <c r="B24" s="336" t="s">
        <v>1243</v>
      </c>
      <c r="C24" s="337" t="s">
        <v>1244</v>
      </c>
      <c r="D24" s="337" t="s">
        <v>1972</v>
      </c>
      <c r="E24" s="337" t="s">
        <v>1217</v>
      </c>
      <c r="F24" s="337" t="s">
        <v>1246</v>
      </c>
      <c r="G24" s="339"/>
      <c r="H24" s="337" t="s">
        <v>2410</v>
      </c>
      <c r="I24" s="339"/>
    </row>
    <row r="25" spans="2:9" ht="19.5" x14ac:dyDescent="0.4">
      <c r="B25" s="336" t="s">
        <v>1247</v>
      </c>
      <c r="C25" s="337" t="s">
        <v>1248</v>
      </c>
      <c r="D25" s="337" t="s">
        <v>1249</v>
      </c>
      <c r="E25" s="337" t="s">
        <v>1261</v>
      </c>
      <c r="F25" s="337" t="s">
        <v>1250</v>
      </c>
      <c r="G25" s="337" t="s">
        <v>1251</v>
      </c>
      <c r="H25" s="337" t="s">
        <v>2401</v>
      </c>
      <c r="I25" s="337" t="s">
        <v>2411</v>
      </c>
    </row>
    <row r="26" spans="2:9" x14ac:dyDescent="0.4">
      <c r="B26" s="336" t="s">
        <v>1253</v>
      </c>
      <c r="C26" s="337" t="s">
        <v>1254</v>
      </c>
      <c r="D26" s="337" t="s">
        <v>1249</v>
      </c>
      <c r="E26" s="337" t="s">
        <v>1217</v>
      </c>
      <c r="F26" s="337" t="s">
        <v>1246</v>
      </c>
      <c r="G26" s="339"/>
      <c r="H26" s="338">
        <v>-605</v>
      </c>
      <c r="I26" s="339"/>
    </row>
    <row r="27" spans="2:9" ht="19.5" x14ac:dyDescent="0.4">
      <c r="B27" s="336" t="s">
        <v>2412</v>
      </c>
      <c r="C27" s="337" t="s">
        <v>2413</v>
      </c>
      <c r="D27" s="337" t="s">
        <v>2414</v>
      </c>
      <c r="E27" s="337" t="s">
        <v>1261</v>
      </c>
      <c r="F27" s="337" t="s">
        <v>989</v>
      </c>
      <c r="G27" s="338">
        <v>4</v>
      </c>
      <c r="H27" s="337" t="s">
        <v>2401</v>
      </c>
      <c r="I27" s="339"/>
    </row>
    <row r="28" spans="2:9" ht="19.5" x14ac:dyDescent="0.4">
      <c r="B28" s="336" t="s">
        <v>2415</v>
      </c>
      <c r="C28" s="337" t="s">
        <v>2416</v>
      </c>
      <c r="D28" s="337" t="s">
        <v>2414</v>
      </c>
      <c r="E28" s="337" t="s">
        <v>1217</v>
      </c>
      <c r="F28" s="337" t="s">
        <v>1246</v>
      </c>
      <c r="G28" s="339"/>
      <c r="H28" s="337" t="s">
        <v>2407</v>
      </c>
      <c r="I28" s="339"/>
    </row>
    <row r="29" spans="2:9" ht="19.5" x14ac:dyDescent="0.4">
      <c r="B29" s="336" t="s">
        <v>1255</v>
      </c>
      <c r="C29" s="337" t="s">
        <v>1256</v>
      </c>
      <c r="D29" s="337" t="s">
        <v>1257</v>
      </c>
      <c r="E29" s="337" t="s">
        <v>1261</v>
      </c>
      <c r="F29" s="337" t="s">
        <v>989</v>
      </c>
      <c r="G29" s="338">
        <v>2</v>
      </c>
      <c r="H29" s="337" t="s">
        <v>2401</v>
      </c>
      <c r="I29" s="339"/>
    </row>
    <row r="30" spans="2:9" ht="22.5" customHeight="1" x14ac:dyDescent="0.4">
      <c r="B30" s="336" t="s">
        <v>1258</v>
      </c>
      <c r="C30" s="337" t="s">
        <v>1259</v>
      </c>
      <c r="D30" s="337" t="s">
        <v>1260</v>
      </c>
      <c r="E30" s="337" t="s">
        <v>1261</v>
      </c>
      <c r="F30" s="337" t="s">
        <v>990</v>
      </c>
      <c r="G30" s="337" t="s">
        <v>1251</v>
      </c>
      <c r="H30" s="337" t="s">
        <v>2401</v>
      </c>
      <c r="I30" s="337" t="s">
        <v>2417</v>
      </c>
    </row>
    <row r="31" spans="2:9" ht="22.5" customHeight="1" x14ac:dyDescent="0.4">
      <c r="B31" s="336" t="s">
        <v>1262</v>
      </c>
      <c r="C31" s="337" t="s">
        <v>1263</v>
      </c>
      <c r="D31" s="337" t="s">
        <v>1264</v>
      </c>
      <c r="E31" s="337" t="s">
        <v>1261</v>
      </c>
      <c r="F31" s="337" t="s">
        <v>1250</v>
      </c>
      <c r="G31" s="337" t="s">
        <v>1251</v>
      </c>
      <c r="H31" s="337" t="s">
        <v>2401</v>
      </c>
      <c r="I31" s="337" t="s">
        <v>2418</v>
      </c>
    </row>
    <row r="32" spans="2:9" x14ac:dyDescent="0.4">
      <c r="B32" s="336" t="s">
        <v>1266</v>
      </c>
      <c r="C32" s="337" t="s">
        <v>1267</v>
      </c>
      <c r="D32" s="337" t="s">
        <v>1972</v>
      </c>
      <c r="E32" s="337" t="s">
        <v>1404</v>
      </c>
      <c r="F32" s="337" t="s">
        <v>1218</v>
      </c>
      <c r="G32" s="337" t="s">
        <v>2507</v>
      </c>
      <c r="H32" s="337" t="s">
        <v>2419</v>
      </c>
      <c r="I32" s="339"/>
    </row>
    <row r="33" spans="2:9" x14ac:dyDescent="0.4">
      <c r="B33" s="336" t="s">
        <v>1270</v>
      </c>
      <c r="C33" s="337" t="s">
        <v>1271</v>
      </c>
      <c r="D33" s="337" t="s">
        <v>1972</v>
      </c>
      <c r="E33" s="337" t="s">
        <v>2173</v>
      </c>
      <c r="F33" s="337" t="s">
        <v>1218</v>
      </c>
      <c r="G33" s="337" t="s">
        <v>1269</v>
      </c>
      <c r="H33" s="337" t="s">
        <v>2420</v>
      </c>
      <c r="I33" s="339"/>
    </row>
    <row r="34" spans="2:9" x14ac:dyDescent="0.4">
      <c r="B34" s="336" t="s">
        <v>1273</v>
      </c>
      <c r="C34" s="337" t="s">
        <v>1274</v>
      </c>
      <c r="D34" s="337" t="s">
        <v>1275</v>
      </c>
      <c r="E34" s="337" t="s">
        <v>1261</v>
      </c>
      <c r="F34" s="337" t="s">
        <v>1223</v>
      </c>
      <c r="G34" s="338">
        <v>4</v>
      </c>
      <c r="H34" s="337" t="s">
        <v>2421</v>
      </c>
      <c r="I34" s="339"/>
    </row>
    <row r="35" spans="2:9" x14ac:dyDescent="0.4">
      <c r="B35" s="336" t="s">
        <v>1276</v>
      </c>
      <c r="C35" s="337" t="s">
        <v>1277</v>
      </c>
      <c r="D35" s="337" t="s">
        <v>1278</v>
      </c>
      <c r="E35" s="337" t="s">
        <v>1261</v>
      </c>
      <c r="F35" s="337" t="s">
        <v>1223</v>
      </c>
      <c r="G35" s="338">
        <v>3</v>
      </c>
      <c r="H35" s="337" t="s">
        <v>2422</v>
      </c>
      <c r="I35" s="339"/>
    </row>
    <row r="36" spans="2:9" ht="19.5" x14ac:dyDescent="0.4">
      <c r="B36" s="336" t="s">
        <v>1279</v>
      </c>
      <c r="C36" s="337" t="s">
        <v>1280</v>
      </c>
      <c r="D36" s="337" t="s">
        <v>1915</v>
      </c>
      <c r="E36" s="337" t="s">
        <v>1261</v>
      </c>
      <c r="F36" s="337" t="s">
        <v>1246</v>
      </c>
      <c r="G36" s="339"/>
      <c r="H36" s="337" t="s">
        <v>2410</v>
      </c>
      <c r="I36" s="339"/>
    </row>
    <row r="37" spans="2:9" ht="19.5" x14ac:dyDescent="0.4">
      <c r="B37" s="336" t="s">
        <v>1279</v>
      </c>
      <c r="C37" s="337" t="s">
        <v>1282</v>
      </c>
      <c r="D37" s="337" t="s">
        <v>1915</v>
      </c>
      <c r="E37" s="337" t="s">
        <v>1217</v>
      </c>
      <c r="F37" s="337" t="s">
        <v>1246</v>
      </c>
      <c r="G37" s="339"/>
      <c r="H37" s="337" t="s">
        <v>2410</v>
      </c>
      <c r="I37" s="339"/>
    </row>
    <row r="38" spans="2:9" x14ac:dyDescent="0.4">
      <c r="B38" s="336" t="s">
        <v>1283</v>
      </c>
      <c r="C38" s="337" t="s">
        <v>1284</v>
      </c>
      <c r="D38" s="337" t="s">
        <v>1285</v>
      </c>
      <c r="E38" s="337" t="s">
        <v>1261</v>
      </c>
      <c r="F38" s="337" t="s">
        <v>989</v>
      </c>
      <c r="G38" s="338">
        <v>2</v>
      </c>
      <c r="H38" s="337" t="s">
        <v>2392</v>
      </c>
      <c r="I38" s="339"/>
    </row>
    <row r="39" spans="2:9" x14ac:dyDescent="0.4">
      <c r="B39" s="336" t="s">
        <v>1286</v>
      </c>
      <c r="C39" s="337" t="s">
        <v>1287</v>
      </c>
      <c r="D39" s="337" t="s">
        <v>1288</v>
      </c>
      <c r="E39" s="337" t="s">
        <v>1217</v>
      </c>
      <c r="F39" s="337" t="s">
        <v>1218</v>
      </c>
      <c r="G39" s="338">
        <v>1</v>
      </c>
      <c r="H39" s="337" t="s">
        <v>2423</v>
      </c>
      <c r="I39" s="339"/>
    </row>
    <row r="40" spans="2:9" x14ac:dyDescent="0.4">
      <c r="B40" s="336" t="s">
        <v>1289</v>
      </c>
      <c r="C40" s="337" t="s">
        <v>1290</v>
      </c>
      <c r="D40" s="337" t="s">
        <v>1291</v>
      </c>
      <c r="E40" s="337" t="s">
        <v>1217</v>
      </c>
      <c r="F40" s="337" t="s">
        <v>989</v>
      </c>
      <c r="G40" s="338">
        <v>2</v>
      </c>
      <c r="H40" s="337" t="s">
        <v>2424</v>
      </c>
      <c r="I40" s="339"/>
    </row>
    <row r="41" spans="2:9" x14ac:dyDescent="0.4">
      <c r="B41" s="336" t="s">
        <v>1292</v>
      </c>
      <c r="C41" s="337" t="s">
        <v>1293</v>
      </c>
      <c r="D41" s="337" t="s">
        <v>1294</v>
      </c>
      <c r="E41" s="337" t="s">
        <v>1217</v>
      </c>
      <c r="F41" s="337" t="s">
        <v>1223</v>
      </c>
      <c r="G41" s="338">
        <v>1</v>
      </c>
      <c r="H41" s="337" t="s">
        <v>2424</v>
      </c>
      <c r="I41" s="339"/>
    </row>
    <row r="42" spans="2:9" x14ac:dyDescent="0.4">
      <c r="B42" s="336" t="s">
        <v>1295</v>
      </c>
      <c r="C42" s="337" t="s">
        <v>1296</v>
      </c>
      <c r="D42" s="337" t="s">
        <v>1297</v>
      </c>
      <c r="E42" s="337" t="s">
        <v>1217</v>
      </c>
      <c r="F42" s="337" t="s">
        <v>1223</v>
      </c>
      <c r="G42" s="338">
        <v>4</v>
      </c>
      <c r="H42" s="337" t="s">
        <v>2425</v>
      </c>
      <c r="I42" s="339"/>
    </row>
    <row r="43" spans="2:9" x14ac:dyDescent="0.4">
      <c r="B43" s="336" t="s">
        <v>1298</v>
      </c>
      <c r="C43" s="337" t="s">
        <v>1299</v>
      </c>
      <c r="D43" s="337" t="s">
        <v>1300</v>
      </c>
      <c r="E43" s="337" t="s">
        <v>1217</v>
      </c>
      <c r="F43" s="337" t="s">
        <v>1218</v>
      </c>
      <c r="G43" s="338">
        <v>2</v>
      </c>
      <c r="H43" s="337" t="s">
        <v>2426</v>
      </c>
      <c r="I43" s="339"/>
    </row>
    <row r="44" spans="2:9" x14ac:dyDescent="0.4">
      <c r="B44" s="336" t="s">
        <v>1301</v>
      </c>
      <c r="C44" s="337" t="s">
        <v>1302</v>
      </c>
      <c r="D44" s="337" t="s">
        <v>1303</v>
      </c>
      <c r="E44" s="337" t="s">
        <v>1217</v>
      </c>
      <c r="F44" s="337" t="s">
        <v>1223</v>
      </c>
      <c r="G44" s="338">
        <v>4</v>
      </c>
      <c r="H44" s="337" t="s">
        <v>2427</v>
      </c>
      <c r="I44" s="339"/>
    </row>
    <row r="45" spans="2:9" x14ac:dyDescent="0.4">
      <c r="B45" s="336" t="s">
        <v>1305</v>
      </c>
      <c r="C45" s="337" t="s">
        <v>1306</v>
      </c>
      <c r="D45" s="337" t="s">
        <v>1307</v>
      </c>
      <c r="E45" s="340"/>
      <c r="F45" s="340"/>
      <c r="G45" s="340"/>
      <c r="H45" s="340"/>
      <c r="I45" s="337" t="s">
        <v>2428</v>
      </c>
    </row>
    <row r="46" spans="2:9" x14ac:dyDescent="0.4">
      <c r="B46" s="336" t="s">
        <v>1308</v>
      </c>
      <c r="C46" s="337" t="s">
        <v>1309</v>
      </c>
      <c r="D46" s="337" t="s">
        <v>1310</v>
      </c>
      <c r="E46" s="340"/>
      <c r="F46" s="340"/>
      <c r="G46" s="340"/>
      <c r="H46" s="340"/>
      <c r="I46" s="337" t="s">
        <v>2428</v>
      </c>
    </row>
    <row r="47" spans="2:9" ht="19.5" x14ac:dyDescent="0.4">
      <c r="B47" s="333" t="s">
        <v>2382</v>
      </c>
      <c r="C47" s="334" t="s">
        <v>2383</v>
      </c>
      <c r="D47" s="334" t="s">
        <v>2384</v>
      </c>
      <c r="E47" s="335" t="s">
        <v>2385</v>
      </c>
      <c r="F47" s="334" t="s">
        <v>2389</v>
      </c>
      <c r="G47" s="334" t="s">
        <v>2386</v>
      </c>
      <c r="H47" s="334" t="s">
        <v>2387</v>
      </c>
      <c r="I47" s="334" t="s">
        <v>2388</v>
      </c>
    </row>
    <row r="48" spans="2:9" x14ac:dyDescent="0.4">
      <c r="B48" s="336" t="s">
        <v>1311</v>
      </c>
      <c r="C48" s="337" t="s">
        <v>1312</v>
      </c>
      <c r="D48" s="337" t="s">
        <v>1313</v>
      </c>
      <c r="E48" s="340"/>
      <c r="F48" s="340"/>
      <c r="G48" s="340"/>
      <c r="H48" s="340"/>
      <c r="I48" s="337" t="s">
        <v>2428</v>
      </c>
    </row>
    <row r="49" spans="2:9" x14ac:dyDescent="0.4">
      <c r="B49" s="336" t="s">
        <v>2429</v>
      </c>
      <c r="C49" s="337" t="s">
        <v>2430</v>
      </c>
      <c r="D49" s="337" t="s">
        <v>2431</v>
      </c>
      <c r="E49" s="340"/>
      <c r="F49" s="340"/>
      <c r="G49" s="340"/>
      <c r="H49" s="340"/>
      <c r="I49" s="337" t="s">
        <v>2428</v>
      </c>
    </row>
    <row r="50" spans="2:9" x14ac:dyDescent="0.4">
      <c r="B50" s="336" t="s">
        <v>1314</v>
      </c>
      <c r="C50" s="337" t="s">
        <v>1315</v>
      </c>
      <c r="D50" s="337" t="s">
        <v>1316</v>
      </c>
      <c r="E50" s="337" t="s">
        <v>1217</v>
      </c>
      <c r="F50" s="337" t="s">
        <v>1250</v>
      </c>
      <c r="G50" s="338">
        <v>4</v>
      </c>
      <c r="H50" s="337" t="s">
        <v>2432</v>
      </c>
      <c r="I50" s="339"/>
    </row>
    <row r="51" spans="2:9" x14ac:dyDescent="0.4">
      <c r="B51" s="336" t="s">
        <v>1317</v>
      </c>
      <c r="C51" s="337" t="s">
        <v>1318</v>
      </c>
      <c r="D51" s="337" t="s">
        <v>1319</v>
      </c>
      <c r="E51" s="337" t="s">
        <v>1217</v>
      </c>
      <c r="F51" s="337" t="s">
        <v>1218</v>
      </c>
      <c r="G51" s="338">
        <v>3</v>
      </c>
      <c r="H51" s="337" t="s">
        <v>2423</v>
      </c>
      <c r="I51" s="339"/>
    </row>
    <row r="52" spans="2:9" x14ac:dyDescent="0.4">
      <c r="B52" s="336" t="s">
        <v>1320</v>
      </c>
      <c r="C52" s="337" t="s">
        <v>1321</v>
      </c>
      <c r="D52" s="337" t="s">
        <v>1322</v>
      </c>
      <c r="E52" s="340"/>
      <c r="F52" s="340"/>
      <c r="G52" s="340"/>
      <c r="H52" s="340"/>
      <c r="I52" s="337" t="s">
        <v>2428</v>
      </c>
    </row>
    <row r="53" spans="2:9" x14ac:dyDescent="0.4">
      <c r="B53" s="336" t="s">
        <v>1323</v>
      </c>
      <c r="C53" s="337" t="s">
        <v>1324</v>
      </c>
      <c r="D53" s="337" t="s">
        <v>1325</v>
      </c>
      <c r="E53" s="337" t="s">
        <v>1261</v>
      </c>
      <c r="F53" s="337" t="s">
        <v>1223</v>
      </c>
      <c r="G53" s="338">
        <v>1</v>
      </c>
      <c r="H53" s="337" t="s">
        <v>2433</v>
      </c>
      <c r="I53" s="339"/>
    </row>
    <row r="54" spans="2:9" x14ac:dyDescent="0.4">
      <c r="B54" s="336" t="s">
        <v>1326</v>
      </c>
      <c r="C54" s="337" t="s">
        <v>1327</v>
      </c>
      <c r="D54" s="337" t="s">
        <v>1328</v>
      </c>
      <c r="E54" s="337" t="s">
        <v>1217</v>
      </c>
      <c r="F54" s="337" t="s">
        <v>990</v>
      </c>
      <c r="G54" s="338">
        <v>2</v>
      </c>
      <c r="H54" s="337" t="s">
        <v>2434</v>
      </c>
      <c r="I54" s="339"/>
    </row>
    <row r="55" spans="2:9" x14ac:dyDescent="0.4">
      <c r="B55" s="336" t="s">
        <v>1329</v>
      </c>
      <c r="C55" s="337" t="s">
        <v>1330</v>
      </c>
      <c r="D55" s="337" t="s">
        <v>1331</v>
      </c>
      <c r="E55" s="337" t="s">
        <v>1261</v>
      </c>
      <c r="F55" s="337" t="s">
        <v>1223</v>
      </c>
      <c r="G55" s="338">
        <v>5</v>
      </c>
      <c r="H55" s="337" t="s">
        <v>2435</v>
      </c>
      <c r="I55" s="339"/>
    </row>
    <row r="56" spans="2:9" x14ac:dyDescent="0.4">
      <c r="B56" s="336" t="s">
        <v>1332</v>
      </c>
      <c r="C56" s="337" t="s">
        <v>1333</v>
      </c>
      <c r="D56" s="337" t="s">
        <v>1334</v>
      </c>
      <c r="E56" s="337" t="s">
        <v>1335</v>
      </c>
      <c r="F56" s="337" t="s">
        <v>1246</v>
      </c>
      <c r="G56" s="339"/>
      <c r="H56" s="339"/>
      <c r="I56" s="339"/>
    </row>
    <row r="57" spans="2:9" x14ac:dyDescent="0.4">
      <c r="B57" s="336" t="s">
        <v>1336</v>
      </c>
      <c r="C57" s="337" t="s">
        <v>1337</v>
      </c>
      <c r="D57" s="337" t="s">
        <v>1338</v>
      </c>
      <c r="E57" s="340"/>
      <c r="F57" s="340"/>
      <c r="G57" s="340"/>
      <c r="H57" s="340"/>
      <c r="I57" s="337" t="s">
        <v>2428</v>
      </c>
    </row>
    <row r="58" spans="2:9" x14ac:dyDescent="0.4">
      <c r="B58" s="336" t="s">
        <v>1339</v>
      </c>
      <c r="C58" s="337" t="s">
        <v>1340</v>
      </c>
      <c r="D58" s="337" t="s">
        <v>1341</v>
      </c>
      <c r="E58" s="337" t="s">
        <v>1261</v>
      </c>
      <c r="F58" s="337" t="s">
        <v>989</v>
      </c>
      <c r="G58" s="338">
        <v>2</v>
      </c>
      <c r="H58" s="337" t="s">
        <v>2421</v>
      </c>
      <c r="I58" s="339"/>
    </row>
    <row r="59" spans="2:9" x14ac:dyDescent="0.4">
      <c r="B59" s="336" t="s">
        <v>1342</v>
      </c>
      <c r="C59" s="337" t="s">
        <v>1343</v>
      </c>
      <c r="D59" s="337" t="s">
        <v>1344</v>
      </c>
      <c r="E59" s="340"/>
      <c r="F59" s="340"/>
      <c r="G59" s="340"/>
      <c r="H59" s="340"/>
      <c r="I59" s="337" t="s">
        <v>2428</v>
      </c>
    </row>
    <row r="60" spans="2:9" x14ac:dyDescent="0.4">
      <c r="B60" s="336" t="s">
        <v>1345</v>
      </c>
      <c r="C60" s="337" t="s">
        <v>1346</v>
      </c>
      <c r="D60" s="337" t="s">
        <v>1834</v>
      </c>
      <c r="E60" s="337" t="s">
        <v>1261</v>
      </c>
      <c r="F60" s="337" t="s">
        <v>1223</v>
      </c>
      <c r="G60" s="338">
        <v>2</v>
      </c>
      <c r="H60" s="337" t="s">
        <v>2436</v>
      </c>
      <c r="I60" s="339"/>
    </row>
    <row r="61" spans="2:9" ht="19.5" x14ac:dyDescent="0.4">
      <c r="B61" s="336" t="s">
        <v>1348</v>
      </c>
      <c r="C61" s="337" t="s">
        <v>1349</v>
      </c>
      <c r="D61" s="337" t="s">
        <v>1350</v>
      </c>
      <c r="E61" s="337" t="s">
        <v>1261</v>
      </c>
      <c r="F61" s="337" t="s">
        <v>990</v>
      </c>
      <c r="G61" s="338">
        <v>4</v>
      </c>
      <c r="H61" s="337" t="s">
        <v>2425</v>
      </c>
      <c r="I61" s="339"/>
    </row>
    <row r="62" spans="2:9" x14ac:dyDescent="0.4">
      <c r="B62" s="336" t="s">
        <v>1351</v>
      </c>
      <c r="C62" s="337" t="s">
        <v>1352</v>
      </c>
      <c r="D62" s="337" t="s">
        <v>1353</v>
      </c>
      <c r="E62" s="340"/>
      <c r="F62" s="340"/>
      <c r="G62" s="340"/>
      <c r="H62" s="340"/>
      <c r="I62" s="337" t="s">
        <v>2428</v>
      </c>
    </row>
    <row r="63" spans="2:9" x14ac:dyDescent="0.4">
      <c r="B63" s="336" t="s">
        <v>1354</v>
      </c>
      <c r="C63" s="337" t="s">
        <v>1355</v>
      </c>
      <c r="D63" s="337" t="s">
        <v>1356</v>
      </c>
      <c r="E63" s="337" t="s">
        <v>1261</v>
      </c>
      <c r="F63" s="337" t="s">
        <v>989</v>
      </c>
      <c r="G63" s="338">
        <v>3</v>
      </c>
      <c r="H63" s="337" t="s">
        <v>2437</v>
      </c>
      <c r="I63" s="339"/>
    </row>
    <row r="64" spans="2:9" x14ac:dyDescent="0.4">
      <c r="B64" s="336" t="s">
        <v>1357</v>
      </c>
      <c r="C64" s="337" t="s">
        <v>1358</v>
      </c>
      <c r="D64" s="337" t="s">
        <v>1359</v>
      </c>
      <c r="E64" s="337" t="s">
        <v>1261</v>
      </c>
      <c r="F64" s="337" t="s">
        <v>1223</v>
      </c>
      <c r="G64" s="338">
        <v>2</v>
      </c>
      <c r="H64" s="337" t="s">
        <v>2438</v>
      </c>
      <c r="I64" s="339"/>
    </row>
    <row r="65" spans="2:10" x14ac:dyDescent="0.4">
      <c r="B65" s="336" t="s">
        <v>1360</v>
      </c>
      <c r="C65" s="337" t="s">
        <v>1361</v>
      </c>
      <c r="D65" s="337" t="s">
        <v>1362</v>
      </c>
      <c r="E65" s="337" t="s">
        <v>1217</v>
      </c>
      <c r="F65" s="337" t="s">
        <v>1223</v>
      </c>
      <c r="G65" s="338">
        <v>2</v>
      </c>
      <c r="H65" s="337" t="s">
        <v>2439</v>
      </c>
      <c r="I65" s="339"/>
    </row>
    <row r="66" spans="2:10" x14ac:dyDescent="0.4">
      <c r="B66" s="336" t="s">
        <v>1363</v>
      </c>
      <c r="C66" s="337" t="s">
        <v>1364</v>
      </c>
      <c r="D66" s="337" t="s">
        <v>1365</v>
      </c>
      <c r="E66" s="337" t="s">
        <v>1261</v>
      </c>
      <c r="F66" s="337" t="s">
        <v>989</v>
      </c>
      <c r="G66" s="338">
        <v>2</v>
      </c>
      <c r="H66" s="337" t="s">
        <v>2438</v>
      </c>
      <c r="I66" s="339"/>
    </row>
    <row r="67" spans="2:10" x14ac:dyDescent="0.4">
      <c r="B67" s="336" t="s">
        <v>1366</v>
      </c>
      <c r="C67" s="337" t="s">
        <v>1367</v>
      </c>
      <c r="D67" s="337" t="s">
        <v>1368</v>
      </c>
      <c r="E67" s="340"/>
      <c r="F67" s="340"/>
      <c r="G67" s="340"/>
      <c r="H67" s="340"/>
      <c r="I67" s="337" t="s">
        <v>2428</v>
      </c>
    </row>
    <row r="68" spans="2:10" x14ac:dyDescent="0.4">
      <c r="B68" s="336" t="s">
        <v>1369</v>
      </c>
      <c r="C68" s="337" t="s">
        <v>1370</v>
      </c>
      <c r="D68" s="337" t="s">
        <v>1371</v>
      </c>
      <c r="E68" s="340"/>
      <c r="F68" s="340"/>
      <c r="G68" s="340"/>
      <c r="H68" s="340"/>
      <c r="I68" s="337" t="s">
        <v>2428</v>
      </c>
    </row>
    <row r="69" spans="2:10" x14ac:dyDescent="0.4">
      <c r="B69" s="336" t="s">
        <v>1372</v>
      </c>
      <c r="C69" s="337" t="s">
        <v>1373</v>
      </c>
      <c r="D69" s="337" t="s">
        <v>1374</v>
      </c>
      <c r="E69" s="337" t="s">
        <v>1217</v>
      </c>
      <c r="F69" s="337" t="s">
        <v>1218</v>
      </c>
      <c r="G69" s="338">
        <v>4</v>
      </c>
      <c r="H69" s="337" t="s">
        <v>2392</v>
      </c>
      <c r="I69" s="339"/>
    </row>
    <row r="70" spans="2:10" x14ac:dyDescent="0.4">
      <c r="B70" s="336" t="s">
        <v>1375</v>
      </c>
      <c r="C70" s="337" t="s">
        <v>1376</v>
      </c>
      <c r="D70" s="337" t="s">
        <v>1377</v>
      </c>
      <c r="E70" s="337" t="s">
        <v>1217</v>
      </c>
      <c r="F70" s="337" t="s">
        <v>1250</v>
      </c>
      <c r="G70" s="338">
        <v>2</v>
      </c>
      <c r="H70" s="337" t="s">
        <v>2440</v>
      </c>
      <c r="I70" s="339"/>
    </row>
    <row r="71" spans="2:10" x14ac:dyDescent="0.4">
      <c r="B71" s="336" t="s">
        <v>1378</v>
      </c>
      <c r="C71" s="337" t="s">
        <v>1379</v>
      </c>
      <c r="D71" s="337" t="s">
        <v>1380</v>
      </c>
      <c r="E71" s="337" t="s">
        <v>1261</v>
      </c>
      <c r="F71" s="337" t="s">
        <v>990</v>
      </c>
      <c r="G71" s="338">
        <v>2</v>
      </c>
      <c r="H71" s="337" t="s">
        <v>2441</v>
      </c>
      <c r="I71" s="339"/>
    </row>
    <row r="72" spans="2:10" ht="22.5" customHeight="1" x14ac:dyDescent="0.4">
      <c r="B72" s="336" t="s">
        <v>1381</v>
      </c>
      <c r="C72" s="337" t="s">
        <v>1382</v>
      </c>
      <c r="D72" s="337" t="s">
        <v>1380</v>
      </c>
      <c r="E72" s="337" t="s">
        <v>1217</v>
      </c>
      <c r="F72" s="337" t="s">
        <v>990</v>
      </c>
      <c r="G72" s="338">
        <v>4</v>
      </c>
      <c r="H72" s="337" t="s">
        <v>2442</v>
      </c>
      <c r="I72" s="339"/>
    </row>
    <row r="73" spans="2:10" x14ac:dyDescent="0.4">
      <c r="B73" s="336" t="s">
        <v>1383</v>
      </c>
      <c r="C73" s="337" t="s">
        <v>1384</v>
      </c>
      <c r="D73" s="337" t="s">
        <v>1385</v>
      </c>
      <c r="E73" s="337" t="s">
        <v>1217</v>
      </c>
      <c r="F73" s="337" t="s">
        <v>1223</v>
      </c>
      <c r="G73" s="338">
        <v>2</v>
      </c>
      <c r="H73" s="337" t="s">
        <v>2443</v>
      </c>
      <c r="I73" s="339"/>
    </row>
    <row r="74" spans="2:10" ht="19.5" x14ac:dyDescent="0.4">
      <c r="B74" s="336" t="s">
        <v>1386</v>
      </c>
      <c r="C74" s="337" t="s">
        <v>1387</v>
      </c>
      <c r="D74" s="337" t="s">
        <v>1388</v>
      </c>
      <c r="E74" s="337" t="s">
        <v>1261</v>
      </c>
      <c r="F74" s="337" t="s">
        <v>1250</v>
      </c>
      <c r="G74" s="338">
        <v>5</v>
      </c>
      <c r="H74" s="337" t="s">
        <v>2440</v>
      </c>
      <c r="I74" s="339"/>
    </row>
    <row r="75" spans="2:10" x14ac:dyDescent="0.4">
      <c r="B75" s="341"/>
      <c r="C75" s="341" t="s">
        <v>2444</v>
      </c>
      <c r="D75" s="342"/>
      <c r="E75" s="342"/>
      <c r="F75" s="342"/>
      <c r="G75" s="342"/>
      <c r="H75" s="342"/>
      <c r="I75" s="342"/>
      <c r="J75" s="342"/>
    </row>
    <row r="76" spans="2:10" ht="19.5" x14ac:dyDescent="0.4">
      <c r="B76" s="333" t="s">
        <v>2382</v>
      </c>
      <c r="C76" s="334" t="s">
        <v>2383</v>
      </c>
      <c r="D76" s="334" t="s">
        <v>2384</v>
      </c>
      <c r="E76" s="335" t="s">
        <v>2385</v>
      </c>
      <c r="F76" s="334" t="s">
        <v>2389</v>
      </c>
      <c r="G76" s="334" t="s">
        <v>2386</v>
      </c>
      <c r="H76" s="334" t="s">
        <v>2387</v>
      </c>
      <c r="I76" s="334" t="s">
        <v>2388</v>
      </c>
    </row>
    <row r="77" spans="2:10" x14ac:dyDescent="0.4">
      <c r="B77" s="336" t="s">
        <v>1389</v>
      </c>
      <c r="C77" s="337" t="s">
        <v>1390</v>
      </c>
      <c r="D77" s="337" t="s">
        <v>1391</v>
      </c>
      <c r="E77" s="337" t="s">
        <v>1261</v>
      </c>
      <c r="F77" s="337" t="s">
        <v>1223</v>
      </c>
      <c r="G77" s="338">
        <v>3</v>
      </c>
      <c r="H77" s="337" t="s">
        <v>2442</v>
      </c>
      <c r="I77" s="339"/>
    </row>
    <row r="78" spans="2:10" x14ac:dyDescent="0.4">
      <c r="B78" s="336" t="s">
        <v>2445</v>
      </c>
      <c r="C78" s="337" t="s">
        <v>2446</v>
      </c>
      <c r="D78" s="337" t="s">
        <v>2447</v>
      </c>
      <c r="E78" s="337" t="s">
        <v>1217</v>
      </c>
      <c r="F78" s="337" t="s">
        <v>1250</v>
      </c>
      <c r="G78" s="338">
        <v>2</v>
      </c>
      <c r="H78" s="337" t="s">
        <v>2448</v>
      </c>
      <c r="I78" s="339"/>
    </row>
    <row r="79" spans="2:10" x14ac:dyDescent="0.4">
      <c r="B79" s="336" t="s">
        <v>1392</v>
      </c>
      <c r="C79" s="337" t="s">
        <v>1393</v>
      </c>
      <c r="D79" s="337" t="s">
        <v>1394</v>
      </c>
      <c r="E79" s="337" t="s">
        <v>1217</v>
      </c>
      <c r="F79" s="337" t="s">
        <v>990</v>
      </c>
      <c r="G79" s="338">
        <v>2</v>
      </c>
      <c r="H79" s="337" t="s">
        <v>2449</v>
      </c>
      <c r="I79" s="339"/>
    </row>
    <row r="80" spans="2:10" x14ac:dyDescent="0.4">
      <c r="B80" s="336" t="s">
        <v>1395</v>
      </c>
      <c r="C80" s="337" t="s">
        <v>1396</v>
      </c>
      <c r="D80" s="337" t="s">
        <v>1397</v>
      </c>
      <c r="E80" s="337" t="s">
        <v>1217</v>
      </c>
      <c r="F80" s="337" t="s">
        <v>1223</v>
      </c>
      <c r="G80" s="338">
        <v>1</v>
      </c>
      <c r="H80" s="337" t="s">
        <v>2450</v>
      </c>
      <c r="I80" s="339"/>
    </row>
    <row r="81" spans="2:10" x14ac:dyDescent="0.4">
      <c r="B81" s="336" t="s">
        <v>1398</v>
      </c>
      <c r="C81" s="337" t="s">
        <v>1399</v>
      </c>
      <c r="D81" s="337" t="s">
        <v>1400</v>
      </c>
      <c r="E81" s="337" t="s">
        <v>1217</v>
      </c>
      <c r="F81" s="337" t="s">
        <v>989</v>
      </c>
      <c r="G81" s="338">
        <v>3</v>
      </c>
      <c r="H81" s="337" t="s">
        <v>2436</v>
      </c>
      <c r="I81" s="339"/>
    </row>
    <row r="82" spans="2:10" x14ac:dyDescent="0.4">
      <c r="B82" s="336" t="s">
        <v>1401</v>
      </c>
      <c r="C82" s="337" t="s">
        <v>1402</v>
      </c>
      <c r="D82" s="337" t="s">
        <v>1403</v>
      </c>
      <c r="E82" s="337" t="s">
        <v>1404</v>
      </c>
      <c r="F82" s="337" t="s">
        <v>989</v>
      </c>
      <c r="G82" s="337" t="s">
        <v>1405</v>
      </c>
      <c r="H82" s="337" t="s">
        <v>2424</v>
      </c>
      <c r="I82" s="339"/>
    </row>
    <row r="83" spans="2:10" x14ac:dyDescent="0.4">
      <c r="B83" s="336" t="s">
        <v>1406</v>
      </c>
      <c r="C83" s="337" t="s">
        <v>1407</v>
      </c>
      <c r="D83" s="337" t="s">
        <v>1408</v>
      </c>
      <c r="E83" s="337" t="s">
        <v>1261</v>
      </c>
      <c r="F83" s="337" t="s">
        <v>990</v>
      </c>
      <c r="G83" s="338">
        <v>3</v>
      </c>
      <c r="H83" s="337" t="s">
        <v>2421</v>
      </c>
      <c r="I83" s="339"/>
    </row>
    <row r="84" spans="2:10" x14ac:dyDescent="0.4">
      <c r="B84" s="336" t="s">
        <v>1409</v>
      </c>
      <c r="C84" s="337" t="s">
        <v>1410</v>
      </c>
      <c r="D84" s="337" t="s">
        <v>1411</v>
      </c>
      <c r="E84" s="337" t="s">
        <v>1217</v>
      </c>
      <c r="F84" s="337" t="s">
        <v>989</v>
      </c>
      <c r="G84" s="338">
        <v>4</v>
      </c>
      <c r="H84" s="337" t="s">
        <v>2451</v>
      </c>
      <c r="I84" s="339"/>
    </row>
    <row r="85" spans="2:10" x14ac:dyDescent="0.4">
      <c r="B85" s="336" t="s">
        <v>1412</v>
      </c>
      <c r="C85" s="337" t="s">
        <v>1413</v>
      </c>
      <c r="D85" s="337" t="s">
        <v>1414</v>
      </c>
      <c r="E85" s="337" t="s">
        <v>1261</v>
      </c>
      <c r="F85" s="337" t="s">
        <v>990</v>
      </c>
      <c r="G85" s="338">
        <v>1</v>
      </c>
      <c r="H85" s="337" t="s">
        <v>2452</v>
      </c>
      <c r="I85" s="339"/>
    </row>
    <row r="86" spans="2:10" x14ac:dyDescent="0.4">
      <c r="B86" s="336" t="s">
        <v>1415</v>
      </c>
      <c r="C86" s="337" t="s">
        <v>1416</v>
      </c>
      <c r="D86" s="337" t="s">
        <v>1417</v>
      </c>
      <c r="E86" s="337" t="s">
        <v>1261</v>
      </c>
      <c r="F86" s="337" t="s">
        <v>1223</v>
      </c>
      <c r="G86" s="338">
        <v>2</v>
      </c>
      <c r="H86" s="337" t="s">
        <v>2451</v>
      </c>
      <c r="I86" s="339"/>
    </row>
    <row r="87" spans="2:10" x14ac:dyDescent="0.4">
      <c r="B87" s="336" t="s">
        <v>1418</v>
      </c>
      <c r="C87" s="337" t="s">
        <v>1419</v>
      </c>
      <c r="D87" s="337" t="s">
        <v>1420</v>
      </c>
      <c r="E87" s="337" t="s">
        <v>1261</v>
      </c>
      <c r="F87" s="337" t="s">
        <v>1223</v>
      </c>
      <c r="G87" s="338">
        <v>2</v>
      </c>
      <c r="H87" s="337" t="s">
        <v>2453</v>
      </c>
      <c r="I87" s="339"/>
    </row>
    <row r="88" spans="2:10" x14ac:dyDescent="0.4">
      <c r="B88" s="332"/>
      <c r="C88" s="332" t="s">
        <v>2454</v>
      </c>
      <c r="D88" s="332"/>
      <c r="E88" s="332"/>
      <c r="F88" s="332"/>
      <c r="G88" s="332"/>
      <c r="H88" s="332"/>
      <c r="I88" s="332"/>
      <c r="J88" s="332"/>
    </row>
    <row r="89" spans="2:10" ht="19.5" x14ac:dyDescent="0.4">
      <c r="B89" s="333" t="s">
        <v>2382</v>
      </c>
      <c r="C89" s="334" t="s">
        <v>2383</v>
      </c>
      <c r="D89" s="334" t="s">
        <v>2384</v>
      </c>
      <c r="E89" s="335" t="s">
        <v>2385</v>
      </c>
      <c r="F89" s="334" t="s">
        <v>2389</v>
      </c>
      <c r="G89" s="334" t="s">
        <v>2386</v>
      </c>
      <c r="H89" s="334" t="s">
        <v>2387</v>
      </c>
      <c r="I89" s="334" t="s">
        <v>2388</v>
      </c>
    </row>
    <row r="90" spans="2:10" x14ac:dyDescent="0.4">
      <c r="B90" s="336" t="s">
        <v>1421</v>
      </c>
      <c r="C90" s="337" t="s">
        <v>1422</v>
      </c>
      <c r="D90" s="337" t="s">
        <v>1423</v>
      </c>
      <c r="E90" s="337" t="s">
        <v>1217</v>
      </c>
      <c r="F90" s="337" t="s">
        <v>990</v>
      </c>
      <c r="G90" s="338">
        <v>2</v>
      </c>
      <c r="H90" s="337" t="s">
        <v>2455</v>
      </c>
      <c r="I90" s="339"/>
    </row>
    <row r="91" spans="2:10" x14ac:dyDescent="0.4">
      <c r="B91" s="336" t="s">
        <v>1424</v>
      </c>
      <c r="C91" s="337" t="s">
        <v>1425</v>
      </c>
      <c r="D91" s="337" t="s">
        <v>1426</v>
      </c>
      <c r="E91" s="337" t="s">
        <v>1261</v>
      </c>
      <c r="F91" s="337" t="s">
        <v>990</v>
      </c>
      <c r="G91" s="338">
        <v>3</v>
      </c>
      <c r="H91" s="337" t="s">
        <v>2448</v>
      </c>
      <c r="I91" s="339"/>
    </row>
    <row r="92" spans="2:10" x14ac:dyDescent="0.4">
      <c r="B92" s="336" t="s">
        <v>1427</v>
      </c>
      <c r="C92" s="337" t="s">
        <v>1428</v>
      </c>
      <c r="D92" s="337" t="s">
        <v>1429</v>
      </c>
      <c r="E92" s="337" t="s">
        <v>1217</v>
      </c>
      <c r="F92" s="337" t="s">
        <v>1223</v>
      </c>
      <c r="G92" s="338">
        <v>3</v>
      </c>
      <c r="H92" s="337" t="s">
        <v>2448</v>
      </c>
      <c r="I92" s="339"/>
    </row>
    <row r="93" spans="2:10" x14ac:dyDescent="0.4">
      <c r="B93" s="336" t="s">
        <v>1430</v>
      </c>
      <c r="C93" s="337" t="s">
        <v>1431</v>
      </c>
      <c r="D93" s="337" t="s">
        <v>1432</v>
      </c>
      <c r="E93" s="337" t="s">
        <v>1261</v>
      </c>
      <c r="F93" s="337" t="s">
        <v>990</v>
      </c>
      <c r="G93" s="338">
        <v>2</v>
      </c>
      <c r="H93" s="337" t="s">
        <v>2426</v>
      </c>
      <c r="I93" s="339"/>
    </row>
    <row r="94" spans="2:10" x14ac:dyDescent="0.4">
      <c r="B94" s="336" t="s">
        <v>1433</v>
      </c>
      <c r="C94" s="337" t="s">
        <v>1434</v>
      </c>
      <c r="D94" s="337" t="s">
        <v>1435</v>
      </c>
      <c r="E94" s="337" t="s">
        <v>1261</v>
      </c>
      <c r="F94" s="337" t="s">
        <v>1218</v>
      </c>
      <c r="G94" s="338">
        <v>2</v>
      </c>
      <c r="H94" s="337" t="s">
        <v>2448</v>
      </c>
      <c r="I94" s="339"/>
    </row>
    <row r="95" spans="2:10" x14ac:dyDescent="0.4">
      <c r="B95" s="336" t="s">
        <v>1436</v>
      </c>
      <c r="C95" s="337" t="s">
        <v>1437</v>
      </c>
      <c r="D95" s="337" t="s">
        <v>1438</v>
      </c>
      <c r="E95" s="337" t="s">
        <v>1261</v>
      </c>
      <c r="F95" s="337" t="s">
        <v>1250</v>
      </c>
      <c r="G95" s="338">
        <v>2</v>
      </c>
      <c r="H95" s="337" t="s">
        <v>2427</v>
      </c>
      <c r="I95" s="339"/>
    </row>
    <row r="96" spans="2:10" x14ac:dyDescent="0.4">
      <c r="B96" s="336" t="s">
        <v>1439</v>
      </c>
      <c r="C96" s="337" t="s">
        <v>1440</v>
      </c>
      <c r="D96" s="337" t="s">
        <v>1441</v>
      </c>
      <c r="E96" s="337" t="s">
        <v>1217</v>
      </c>
      <c r="F96" s="337" t="s">
        <v>989</v>
      </c>
      <c r="G96" s="338">
        <v>3</v>
      </c>
      <c r="H96" s="337" t="s">
        <v>2448</v>
      </c>
      <c r="I96" s="339"/>
    </row>
    <row r="97" spans="2:9" x14ac:dyDescent="0.4">
      <c r="B97" s="336" t="s">
        <v>1442</v>
      </c>
      <c r="C97" s="337" t="s">
        <v>1443</v>
      </c>
      <c r="D97" s="337" t="s">
        <v>1444</v>
      </c>
      <c r="E97" s="337" t="s">
        <v>1217</v>
      </c>
      <c r="F97" s="337" t="s">
        <v>990</v>
      </c>
      <c r="G97" s="338">
        <v>3</v>
      </c>
      <c r="H97" s="337" t="s">
        <v>2449</v>
      </c>
      <c r="I97" s="339"/>
    </row>
    <row r="98" spans="2:9" x14ac:dyDescent="0.4">
      <c r="B98" s="336" t="s">
        <v>1445</v>
      </c>
      <c r="C98" s="337" t="s">
        <v>1446</v>
      </c>
      <c r="D98" s="337" t="s">
        <v>1447</v>
      </c>
      <c r="E98" s="337" t="s">
        <v>1217</v>
      </c>
      <c r="F98" s="337" t="s">
        <v>990</v>
      </c>
      <c r="G98" s="338">
        <v>3</v>
      </c>
      <c r="H98" s="337" t="s">
        <v>2421</v>
      </c>
      <c r="I98" s="339"/>
    </row>
    <row r="99" spans="2:9" x14ac:dyDescent="0.4">
      <c r="B99" s="336" t="s">
        <v>1448</v>
      </c>
      <c r="C99" s="337" t="s">
        <v>1449</v>
      </c>
      <c r="D99" s="337" t="s">
        <v>1450</v>
      </c>
      <c r="E99" s="337" t="s">
        <v>1217</v>
      </c>
      <c r="F99" s="337" t="s">
        <v>1223</v>
      </c>
      <c r="G99" s="338">
        <v>2</v>
      </c>
      <c r="H99" s="337" t="s">
        <v>2455</v>
      </c>
      <c r="I99" s="339"/>
    </row>
    <row r="100" spans="2:9" x14ac:dyDescent="0.4">
      <c r="B100" s="336" t="s">
        <v>1451</v>
      </c>
      <c r="C100" s="337" t="s">
        <v>1452</v>
      </c>
      <c r="D100" s="337" t="s">
        <v>1453</v>
      </c>
      <c r="E100" s="337" t="s">
        <v>1217</v>
      </c>
      <c r="F100" s="337" t="s">
        <v>990</v>
      </c>
      <c r="G100" s="338">
        <v>4</v>
      </c>
      <c r="H100" s="337" t="s">
        <v>2449</v>
      </c>
      <c r="I100" s="339"/>
    </row>
    <row r="101" spans="2:9" x14ac:dyDescent="0.4">
      <c r="B101" s="336" t="s">
        <v>1454</v>
      </c>
      <c r="C101" s="337" t="s">
        <v>1455</v>
      </c>
      <c r="D101" s="337" t="s">
        <v>1456</v>
      </c>
      <c r="E101" s="337" t="s">
        <v>1217</v>
      </c>
      <c r="F101" s="337" t="s">
        <v>989</v>
      </c>
      <c r="G101" s="338">
        <v>2</v>
      </c>
      <c r="H101" s="337" t="s">
        <v>2419</v>
      </c>
      <c r="I101" s="339"/>
    </row>
    <row r="102" spans="2:9" x14ac:dyDescent="0.4">
      <c r="B102" s="336" t="s">
        <v>1457</v>
      </c>
      <c r="C102" s="337" t="s">
        <v>1458</v>
      </c>
      <c r="D102" s="337" t="s">
        <v>1459</v>
      </c>
      <c r="E102" s="337" t="s">
        <v>1217</v>
      </c>
      <c r="F102" s="337" t="s">
        <v>989</v>
      </c>
      <c r="G102" s="338">
        <v>4</v>
      </c>
      <c r="H102" s="337" t="s">
        <v>2448</v>
      </c>
      <c r="I102" s="339"/>
    </row>
    <row r="103" spans="2:9" x14ac:dyDescent="0.4">
      <c r="B103" s="336" t="s">
        <v>1460</v>
      </c>
      <c r="C103" s="337" t="s">
        <v>1461</v>
      </c>
      <c r="D103" s="337" t="s">
        <v>1462</v>
      </c>
      <c r="E103" s="337" t="s">
        <v>1217</v>
      </c>
      <c r="F103" s="337" t="s">
        <v>989</v>
      </c>
      <c r="G103" s="338">
        <v>2</v>
      </c>
      <c r="H103" s="337" t="s">
        <v>2448</v>
      </c>
      <c r="I103" s="339"/>
    </row>
    <row r="104" spans="2:9" x14ac:dyDescent="0.4">
      <c r="B104" s="336" t="s">
        <v>1463</v>
      </c>
      <c r="C104" s="337" t="s">
        <v>1464</v>
      </c>
      <c r="D104" s="337" t="s">
        <v>1465</v>
      </c>
      <c r="E104" s="337" t="s">
        <v>1261</v>
      </c>
      <c r="F104" s="337" t="s">
        <v>989</v>
      </c>
      <c r="G104" s="338">
        <v>4</v>
      </c>
      <c r="H104" s="337" t="s">
        <v>2419</v>
      </c>
      <c r="I104" s="339"/>
    </row>
    <row r="105" spans="2:9" x14ac:dyDescent="0.4">
      <c r="B105" s="336" t="s">
        <v>1466</v>
      </c>
      <c r="C105" s="337" t="s">
        <v>1467</v>
      </c>
      <c r="D105" s="337" t="s">
        <v>1468</v>
      </c>
      <c r="E105" s="337" t="s">
        <v>1261</v>
      </c>
      <c r="F105" s="337" t="s">
        <v>1223</v>
      </c>
      <c r="G105" s="338">
        <v>5</v>
      </c>
      <c r="H105" s="337" t="s">
        <v>2423</v>
      </c>
      <c r="I105" s="339"/>
    </row>
    <row r="106" spans="2:9" x14ac:dyDescent="0.4">
      <c r="B106" s="336" t="s">
        <v>1469</v>
      </c>
      <c r="C106" s="337" t="s">
        <v>1470</v>
      </c>
      <c r="D106" s="337" t="s">
        <v>1471</v>
      </c>
      <c r="E106" s="337" t="s">
        <v>1261</v>
      </c>
      <c r="F106" s="337" t="s">
        <v>1218</v>
      </c>
      <c r="G106" s="338">
        <v>3</v>
      </c>
      <c r="H106" s="339"/>
      <c r="I106" s="339"/>
    </row>
    <row r="107" spans="2:9" x14ac:dyDescent="0.4">
      <c r="B107" s="336" t="s">
        <v>1469</v>
      </c>
      <c r="C107" s="337" t="s">
        <v>1472</v>
      </c>
      <c r="D107" s="337" t="s">
        <v>1471</v>
      </c>
      <c r="E107" s="337" t="s">
        <v>1217</v>
      </c>
      <c r="F107" s="337" t="s">
        <v>1218</v>
      </c>
      <c r="G107" s="338">
        <v>3</v>
      </c>
      <c r="H107" s="339"/>
      <c r="I107" s="339"/>
    </row>
    <row r="108" spans="2:9" x14ac:dyDescent="0.4">
      <c r="B108" s="336" t="s">
        <v>1473</v>
      </c>
      <c r="C108" s="337" t="s">
        <v>1474</v>
      </c>
      <c r="D108" s="337" t="s">
        <v>1471</v>
      </c>
      <c r="E108" s="337" t="s">
        <v>1261</v>
      </c>
      <c r="F108" s="337" t="s">
        <v>1218</v>
      </c>
      <c r="G108" s="338">
        <v>3</v>
      </c>
      <c r="H108" s="339"/>
      <c r="I108" s="339"/>
    </row>
    <row r="109" spans="2:9" x14ac:dyDescent="0.4">
      <c r="B109" s="336" t="s">
        <v>1473</v>
      </c>
      <c r="C109" s="337" t="s">
        <v>1475</v>
      </c>
      <c r="D109" s="337" t="s">
        <v>1471</v>
      </c>
      <c r="E109" s="337" t="s">
        <v>1217</v>
      </c>
      <c r="F109" s="337" t="s">
        <v>1218</v>
      </c>
      <c r="G109" s="338">
        <v>3</v>
      </c>
      <c r="H109" s="339"/>
      <c r="I109" s="339"/>
    </row>
    <row r="110" spans="2:9" x14ac:dyDescent="0.4">
      <c r="B110" s="336" t="s">
        <v>1476</v>
      </c>
      <c r="C110" s="337" t="s">
        <v>1477</v>
      </c>
      <c r="D110" s="337" t="s">
        <v>1471</v>
      </c>
      <c r="E110" s="337" t="s">
        <v>1261</v>
      </c>
      <c r="F110" s="337" t="s">
        <v>1218</v>
      </c>
      <c r="G110" s="338">
        <v>5</v>
      </c>
      <c r="H110" s="339"/>
      <c r="I110" s="339"/>
    </row>
    <row r="111" spans="2:9" x14ac:dyDescent="0.4">
      <c r="B111" s="336" t="s">
        <v>1476</v>
      </c>
      <c r="C111" s="337" t="s">
        <v>1478</v>
      </c>
      <c r="D111" s="337" t="s">
        <v>1471</v>
      </c>
      <c r="E111" s="337" t="s">
        <v>1217</v>
      </c>
      <c r="F111" s="337" t="s">
        <v>1218</v>
      </c>
      <c r="G111" s="338">
        <v>5</v>
      </c>
      <c r="H111" s="339"/>
      <c r="I111" s="339"/>
    </row>
    <row r="112" spans="2:9" ht="19.5" x14ac:dyDescent="0.4">
      <c r="B112" s="333" t="s">
        <v>2382</v>
      </c>
      <c r="C112" s="334" t="s">
        <v>2383</v>
      </c>
      <c r="D112" s="334" t="s">
        <v>2384</v>
      </c>
      <c r="E112" s="335" t="s">
        <v>2385</v>
      </c>
      <c r="F112" s="334" t="s">
        <v>2389</v>
      </c>
      <c r="G112" s="334" t="s">
        <v>2386</v>
      </c>
      <c r="H112" s="334" t="s">
        <v>2387</v>
      </c>
      <c r="I112" s="334" t="s">
        <v>2388</v>
      </c>
    </row>
    <row r="113" spans="2:9" x14ac:dyDescent="0.4">
      <c r="B113" s="336" t="s">
        <v>1479</v>
      </c>
      <c r="C113" s="337" t="s">
        <v>1480</v>
      </c>
      <c r="D113" s="337" t="s">
        <v>1471</v>
      </c>
      <c r="E113" s="337" t="s">
        <v>1261</v>
      </c>
      <c r="F113" s="337" t="s">
        <v>1218</v>
      </c>
      <c r="G113" s="338">
        <v>5</v>
      </c>
      <c r="H113" s="339"/>
      <c r="I113" s="339"/>
    </row>
    <row r="114" spans="2:9" x14ac:dyDescent="0.4">
      <c r="B114" s="336" t="s">
        <v>1479</v>
      </c>
      <c r="C114" s="337" t="s">
        <v>1481</v>
      </c>
      <c r="D114" s="337" t="s">
        <v>1471</v>
      </c>
      <c r="E114" s="337" t="s">
        <v>1217</v>
      </c>
      <c r="F114" s="337" t="s">
        <v>1218</v>
      </c>
      <c r="G114" s="338">
        <v>5</v>
      </c>
      <c r="H114" s="339"/>
      <c r="I114" s="339"/>
    </row>
    <row r="115" spans="2:9" x14ac:dyDescent="0.4">
      <c r="B115" s="336" t="s">
        <v>965</v>
      </c>
      <c r="C115" s="337" t="s">
        <v>1483</v>
      </c>
      <c r="D115" s="337" t="s">
        <v>1471</v>
      </c>
      <c r="E115" s="337" t="s">
        <v>1261</v>
      </c>
      <c r="F115" s="337" t="s">
        <v>1246</v>
      </c>
      <c r="G115" s="339"/>
      <c r="H115" s="337" t="s">
        <v>2410</v>
      </c>
      <c r="I115" s="339"/>
    </row>
    <row r="116" spans="2:9" x14ac:dyDescent="0.4">
      <c r="B116" s="336" t="s">
        <v>1482</v>
      </c>
      <c r="C116" s="337" t="s">
        <v>1484</v>
      </c>
      <c r="D116" s="337" t="s">
        <v>1471</v>
      </c>
      <c r="E116" s="337" t="s">
        <v>1217</v>
      </c>
      <c r="F116" s="337" t="s">
        <v>1246</v>
      </c>
      <c r="G116" s="339"/>
      <c r="H116" s="337" t="s">
        <v>2410</v>
      </c>
      <c r="I116" s="339"/>
    </row>
    <row r="117" spans="2:9" x14ac:dyDescent="0.4">
      <c r="B117" s="336" t="s">
        <v>1485</v>
      </c>
      <c r="C117" s="337" t="s">
        <v>1486</v>
      </c>
      <c r="D117" s="337" t="s">
        <v>1471</v>
      </c>
      <c r="E117" s="337" t="s">
        <v>1261</v>
      </c>
      <c r="F117" s="337" t="s">
        <v>1246</v>
      </c>
      <c r="G117" s="339"/>
      <c r="H117" s="337" t="s">
        <v>2410</v>
      </c>
      <c r="I117" s="339"/>
    </row>
    <row r="118" spans="2:9" x14ac:dyDescent="0.4">
      <c r="B118" s="336" t="s">
        <v>1485</v>
      </c>
      <c r="C118" s="337" t="s">
        <v>1487</v>
      </c>
      <c r="D118" s="337" t="s">
        <v>1471</v>
      </c>
      <c r="E118" s="337" t="s">
        <v>1217</v>
      </c>
      <c r="F118" s="337" t="s">
        <v>1246</v>
      </c>
      <c r="G118" s="339"/>
      <c r="H118" s="337" t="s">
        <v>2410</v>
      </c>
      <c r="I118" s="339"/>
    </row>
    <row r="119" spans="2:9" x14ac:dyDescent="0.4">
      <c r="B119" s="336" t="s">
        <v>1488</v>
      </c>
      <c r="C119" s="337" t="s">
        <v>1489</v>
      </c>
      <c r="D119" s="337" t="s">
        <v>1471</v>
      </c>
      <c r="E119" s="337" t="s">
        <v>1261</v>
      </c>
      <c r="F119" s="337" t="s">
        <v>1246</v>
      </c>
      <c r="G119" s="339"/>
      <c r="H119" s="337" t="s">
        <v>2410</v>
      </c>
      <c r="I119" s="339"/>
    </row>
    <row r="120" spans="2:9" x14ac:dyDescent="0.4">
      <c r="B120" s="336" t="s">
        <v>1488</v>
      </c>
      <c r="C120" s="337" t="s">
        <v>1490</v>
      </c>
      <c r="D120" s="337" t="s">
        <v>1471</v>
      </c>
      <c r="E120" s="337" t="s">
        <v>1217</v>
      </c>
      <c r="F120" s="337" t="s">
        <v>1246</v>
      </c>
      <c r="G120" s="339"/>
      <c r="H120" s="337" t="s">
        <v>2410</v>
      </c>
      <c r="I120" s="339"/>
    </row>
    <row r="121" spans="2:9" x14ac:dyDescent="0.4">
      <c r="B121" s="336" t="s">
        <v>1491</v>
      </c>
      <c r="C121" s="337" t="s">
        <v>1492</v>
      </c>
      <c r="D121" s="337" t="s">
        <v>1493</v>
      </c>
      <c r="E121" s="337" t="s">
        <v>1261</v>
      </c>
      <c r="F121" s="337" t="s">
        <v>1223</v>
      </c>
      <c r="G121" s="338">
        <v>2</v>
      </c>
      <c r="H121" s="337" t="s">
        <v>2424</v>
      </c>
      <c r="I121" s="339"/>
    </row>
    <row r="122" spans="2:9" x14ac:dyDescent="0.4">
      <c r="B122" s="336" t="s">
        <v>1494</v>
      </c>
      <c r="C122" s="337" t="s">
        <v>1495</v>
      </c>
      <c r="D122" s="337" t="s">
        <v>1496</v>
      </c>
      <c r="E122" s="337" t="s">
        <v>1217</v>
      </c>
      <c r="F122" s="337" t="s">
        <v>1223</v>
      </c>
      <c r="G122" s="338">
        <v>2</v>
      </c>
      <c r="H122" s="337" t="s">
        <v>2424</v>
      </c>
      <c r="I122" s="339"/>
    </row>
    <row r="123" spans="2:9" x14ac:dyDescent="0.4">
      <c r="B123" s="336" t="s">
        <v>1497</v>
      </c>
      <c r="C123" s="337" t="s">
        <v>1498</v>
      </c>
      <c r="D123" s="337" t="s">
        <v>1499</v>
      </c>
      <c r="E123" s="337" t="s">
        <v>1217</v>
      </c>
      <c r="F123" s="337" t="s">
        <v>1250</v>
      </c>
      <c r="G123" s="338">
        <v>4</v>
      </c>
      <c r="H123" s="337" t="s">
        <v>2424</v>
      </c>
      <c r="I123" s="339"/>
    </row>
    <row r="124" spans="2:9" x14ac:dyDescent="0.4">
      <c r="B124" s="336" t="s">
        <v>1500</v>
      </c>
      <c r="C124" s="337" t="s">
        <v>1501</v>
      </c>
      <c r="D124" s="337" t="s">
        <v>1502</v>
      </c>
      <c r="E124" s="337" t="s">
        <v>1217</v>
      </c>
      <c r="F124" s="337" t="s">
        <v>1218</v>
      </c>
      <c r="G124" s="338">
        <v>3</v>
      </c>
      <c r="H124" s="337" t="s">
        <v>2424</v>
      </c>
      <c r="I124" s="339"/>
    </row>
    <row r="125" spans="2:9" x14ac:dyDescent="0.4">
      <c r="B125" s="336" t="s">
        <v>1503</v>
      </c>
      <c r="C125" s="337" t="s">
        <v>1504</v>
      </c>
      <c r="D125" s="337" t="s">
        <v>1505</v>
      </c>
      <c r="E125" s="337" t="s">
        <v>1217</v>
      </c>
      <c r="F125" s="337" t="s">
        <v>990</v>
      </c>
      <c r="G125" s="338">
        <v>3</v>
      </c>
      <c r="H125" s="337" t="s">
        <v>2424</v>
      </c>
      <c r="I125" s="339"/>
    </row>
    <row r="126" spans="2:9" x14ac:dyDescent="0.4">
      <c r="B126" s="336" t="s">
        <v>2456</v>
      </c>
      <c r="C126" s="337" t="s">
        <v>2457</v>
      </c>
      <c r="D126" s="337" t="s">
        <v>2458</v>
      </c>
      <c r="E126" s="337" t="s">
        <v>1217</v>
      </c>
      <c r="F126" s="337" t="s">
        <v>989</v>
      </c>
      <c r="G126" s="338">
        <v>3</v>
      </c>
      <c r="H126" s="337" t="s">
        <v>2424</v>
      </c>
      <c r="I126" s="339"/>
    </row>
    <row r="127" spans="2:9" x14ac:dyDescent="0.4">
      <c r="B127" s="336" t="s">
        <v>1506</v>
      </c>
      <c r="C127" s="337" t="s">
        <v>1507</v>
      </c>
      <c r="D127" s="337" t="s">
        <v>1508</v>
      </c>
      <c r="E127" s="337" t="s">
        <v>1261</v>
      </c>
      <c r="F127" s="337" t="s">
        <v>989</v>
      </c>
      <c r="G127" s="338">
        <v>4</v>
      </c>
      <c r="H127" s="337" t="s">
        <v>2424</v>
      </c>
      <c r="I127" s="339"/>
    </row>
    <row r="128" spans="2:9" x14ac:dyDescent="0.4">
      <c r="B128" s="336" t="s">
        <v>1509</v>
      </c>
      <c r="C128" s="337" t="s">
        <v>1510</v>
      </c>
      <c r="D128" s="337" t="s">
        <v>1511</v>
      </c>
      <c r="E128" s="337" t="s">
        <v>1217</v>
      </c>
      <c r="F128" s="337" t="s">
        <v>1250</v>
      </c>
      <c r="G128" s="338">
        <v>3</v>
      </c>
      <c r="H128" s="337" t="s">
        <v>2424</v>
      </c>
      <c r="I128" s="339"/>
    </row>
    <row r="129" spans="2:9" x14ac:dyDescent="0.4">
      <c r="B129" s="336" t="s">
        <v>1512</v>
      </c>
      <c r="C129" s="337" t="s">
        <v>1513</v>
      </c>
      <c r="D129" s="337" t="s">
        <v>1514</v>
      </c>
      <c r="E129" s="337" t="s">
        <v>1217</v>
      </c>
      <c r="F129" s="337" t="s">
        <v>1223</v>
      </c>
      <c r="G129" s="337" t="s">
        <v>1251</v>
      </c>
      <c r="H129" s="337" t="s">
        <v>2424</v>
      </c>
      <c r="I129" s="339"/>
    </row>
    <row r="130" spans="2:9" x14ac:dyDescent="0.4">
      <c r="B130" s="336" t="s">
        <v>1515</v>
      </c>
      <c r="C130" s="337" t="s">
        <v>1516</v>
      </c>
      <c r="D130" s="337" t="s">
        <v>1499</v>
      </c>
      <c r="E130" s="337" t="s">
        <v>1261</v>
      </c>
      <c r="F130" s="337" t="s">
        <v>1218</v>
      </c>
      <c r="G130" s="338">
        <v>4</v>
      </c>
      <c r="H130" s="339"/>
      <c r="I130" s="339"/>
    </row>
    <row r="131" spans="2:9" x14ac:dyDescent="0.4">
      <c r="B131" s="336" t="s">
        <v>1515</v>
      </c>
      <c r="C131" s="337" t="s">
        <v>1517</v>
      </c>
      <c r="D131" s="337" t="s">
        <v>1499</v>
      </c>
      <c r="E131" s="337" t="s">
        <v>1217</v>
      </c>
      <c r="F131" s="337" t="s">
        <v>1218</v>
      </c>
      <c r="G131" s="338">
        <v>4</v>
      </c>
      <c r="H131" s="339"/>
      <c r="I131" s="339"/>
    </row>
    <row r="132" spans="2:9" x14ac:dyDescent="0.4">
      <c r="B132" s="336" t="s">
        <v>1518</v>
      </c>
      <c r="C132" s="337" t="s">
        <v>1519</v>
      </c>
      <c r="D132" s="337" t="s">
        <v>1499</v>
      </c>
      <c r="E132" s="337" t="s">
        <v>1261</v>
      </c>
      <c r="F132" s="337" t="s">
        <v>989</v>
      </c>
      <c r="G132" s="338">
        <v>5</v>
      </c>
      <c r="H132" s="339"/>
      <c r="I132" s="339"/>
    </row>
    <row r="133" spans="2:9" x14ac:dyDescent="0.4">
      <c r="B133" s="336" t="s">
        <v>1518</v>
      </c>
      <c r="C133" s="337" t="s">
        <v>1520</v>
      </c>
      <c r="D133" s="337" t="s">
        <v>1499</v>
      </c>
      <c r="E133" s="337" t="s">
        <v>1217</v>
      </c>
      <c r="F133" s="337" t="s">
        <v>989</v>
      </c>
      <c r="G133" s="338">
        <v>5</v>
      </c>
      <c r="H133" s="339"/>
      <c r="I133" s="339"/>
    </row>
    <row r="134" spans="2:9" x14ac:dyDescent="0.4">
      <c r="B134" s="336" t="s">
        <v>1521</v>
      </c>
      <c r="C134" s="337" t="s">
        <v>1522</v>
      </c>
      <c r="D134" s="337" t="s">
        <v>1499</v>
      </c>
      <c r="E134" s="337" t="s">
        <v>1261</v>
      </c>
      <c r="F134" s="337" t="s">
        <v>990</v>
      </c>
      <c r="G134" s="338">
        <v>5</v>
      </c>
      <c r="H134" s="339"/>
      <c r="I134" s="339"/>
    </row>
    <row r="135" spans="2:9" x14ac:dyDescent="0.4">
      <c r="B135" s="336" t="s">
        <v>1521</v>
      </c>
      <c r="C135" s="337" t="s">
        <v>1523</v>
      </c>
      <c r="D135" s="337" t="s">
        <v>1499</v>
      </c>
      <c r="E135" s="337" t="s">
        <v>1217</v>
      </c>
      <c r="F135" s="337" t="s">
        <v>990</v>
      </c>
      <c r="G135" s="338">
        <v>5</v>
      </c>
      <c r="H135" s="339"/>
      <c r="I135" s="339"/>
    </row>
    <row r="136" spans="2:9" x14ac:dyDescent="0.4">
      <c r="B136" s="336" t="s">
        <v>1524</v>
      </c>
      <c r="C136" s="337" t="s">
        <v>1525</v>
      </c>
      <c r="D136" s="337" t="s">
        <v>1499</v>
      </c>
      <c r="E136" s="337" t="s">
        <v>1261</v>
      </c>
      <c r="F136" s="337" t="s">
        <v>1223</v>
      </c>
      <c r="G136" s="338">
        <v>5</v>
      </c>
      <c r="H136" s="339"/>
      <c r="I136" s="339"/>
    </row>
    <row r="137" spans="2:9" x14ac:dyDescent="0.4">
      <c r="B137" s="336" t="s">
        <v>1524</v>
      </c>
      <c r="C137" s="337" t="s">
        <v>1526</v>
      </c>
      <c r="D137" s="337" t="s">
        <v>1499</v>
      </c>
      <c r="E137" s="337" t="s">
        <v>1217</v>
      </c>
      <c r="F137" s="337" t="s">
        <v>1223</v>
      </c>
      <c r="G137" s="338">
        <v>5</v>
      </c>
      <c r="H137" s="339"/>
      <c r="I137" s="339"/>
    </row>
    <row r="138" spans="2:9" x14ac:dyDescent="0.4">
      <c r="B138" s="336" t="s">
        <v>1527</v>
      </c>
      <c r="C138" s="337" t="s">
        <v>1528</v>
      </c>
      <c r="D138" s="337" t="s">
        <v>1499</v>
      </c>
      <c r="E138" s="337" t="s">
        <v>1261</v>
      </c>
      <c r="F138" s="337" t="s">
        <v>1246</v>
      </c>
      <c r="G138" s="339"/>
      <c r="H138" s="337" t="s">
        <v>2410</v>
      </c>
      <c r="I138" s="339"/>
    </row>
    <row r="139" spans="2:9" x14ac:dyDescent="0.4">
      <c r="B139" s="336" t="s">
        <v>1527</v>
      </c>
      <c r="C139" s="337" t="s">
        <v>1529</v>
      </c>
      <c r="D139" s="337" t="s">
        <v>1499</v>
      </c>
      <c r="E139" s="337" t="s">
        <v>1217</v>
      </c>
      <c r="F139" s="337" t="s">
        <v>1246</v>
      </c>
      <c r="G139" s="339"/>
      <c r="H139" s="337" t="s">
        <v>2410</v>
      </c>
      <c r="I139" s="339"/>
    </row>
    <row r="140" spans="2:9" x14ac:dyDescent="0.4">
      <c r="B140" s="336" t="s">
        <v>1530</v>
      </c>
      <c r="C140" s="337" t="s">
        <v>1531</v>
      </c>
      <c r="D140" s="337" t="s">
        <v>1499</v>
      </c>
      <c r="E140" s="337" t="s">
        <v>1261</v>
      </c>
      <c r="F140" s="337" t="s">
        <v>1246</v>
      </c>
      <c r="G140" s="339"/>
      <c r="H140" s="337" t="s">
        <v>2410</v>
      </c>
      <c r="I140" s="339"/>
    </row>
    <row r="141" spans="2:9" x14ac:dyDescent="0.4">
      <c r="B141" s="336" t="s">
        <v>1530</v>
      </c>
      <c r="C141" s="337" t="s">
        <v>1532</v>
      </c>
      <c r="D141" s="337" t="s">
        <v>1499</v>
      </c>
      <c r="E141" s="337" t="s">
        <v>1217</v>
      </c>
      <c r="F141" s="337" t="s">
        <v>1246</v>
      </c>
      <c r="G141" s="339"/>
      <c r="H141" s="337" t="s">
        <v>2410</v>
      </c>
      <c r="I141" s="339"/>
    </row>
    <row r="142" spans="2:9" x14ac:dyDescent="0.4">
      <c r="B142" s="336" t="s">
        <v>1533</v>
      </c>
      <c r="C142" s="337" t="s">
        <v>1534</v>
      </c>
      <c r="D142" s="337" t="s">
        <v>1499</v>
      </c>
      <c r="E142" s="337" t="s">
        <v>1261</v>
      </c>
      <c r="F142" s="337" t="s">
        <v>1246</v>
      </c>
      <c r="G142" s="339"/>
      <c r="H142" s="337" t="s">
        <v>2410</v>
      </c>
      <c r="I142" s="339"/>
    </row>
    <row r="143" spans="2:9" x14ac:dyDescent="0.4">
      <c r="B143" s="336" t="s">
        <v>1533</v>
      </c>
      <c r="C143" s="337" t="s">
        <v>1535</v>
      </c>
      <c r="D143" s="337" t="s">
        <v>1499</v>
      </c>
      <c r="E143" s="337" t="s">
        <v>1217</v>
      </c>
      <c r="F143" s="337" t="s">
        <v>1246</v>
      </c>
      <c r="G143" s="339"/>
      <c r="H143" s="337" t="s">
        <v>2410</v>
      </c>
      <c r="I143" s="339"/>
    </row>
    <row r="144" spans="2:9" x14ac:dyDescent="0.4">
      <c r="B144" s="336" t="s">
        <v>1536</v>
      </c>
      <c r="C144" s="337" t="s">
        <v>1537</v>
      </c>
      <c r="D144" s="337" t="s">
        <v>1538</v>
      </c>
      <c r="E144" s="337" t="s">
        <v>1261</v>
      </c>
      <c r="F144" s="337" t="s">
        <v>1218</v>
      </c>
      <c r="G144" s="338">
        <v>2</v>
      </c>
      <c r="H144" s="337" t="s">
        <v>2459</v>
      </c>
      <c r="I144" s="339"/>
    </row>
    <row r="145" spans="2:9" x14ac:dyDescent="0.4">
      <c r="B145" s="336" t="s">
        <v>1539</v>
      </c>
      <c r="C145" s="337" t="s">
        <v>1540</v>
      </c>
      <c r="D145" s="337" t="s">
        <v>1541</v>
      </c>
      <c r="E145" s="337" t="s">
        <v>1217</v>
      </c>
      <c r="F145" s="337" t="s">
        <v>989</v>
      </c>
      <c r="G145" s="338">
        <v>2</v>
      </c>
      <c r="H145" s="337" t="s">
        <v>2460</v>
      </c>
      <c r="I145" s="339"/>
    </row>
    <row r="146" spans="2:9" x14ac:dyDescent="0.4">
      <c r="B146" s="336" t="s">
        <v>1542</v>
      </c>
      <c r="C146" s="337" t="s">
        <v>1543</v>
      </c>
      <c r="D146" s="337" t="s">
        <v>1544</v>
      </c>
      <c r="E146" s="340"/>
      <c r="F146" s="340"/>
      <c r="G146" s="340"/>
      <c r="H146" s="340"/>
      <c r="I146" s="337" t="s">
        <v>2428</v>
      </c>
    </row>
    <row r="147" spans="2:9" x14ac:dyDescent="0.4">
      <c r="B147" s="336" t="s">
        <v>1545</v>
      </c>
      <c r="C147" s="337" t="s">
        <v>1546</v>
      </c>
      <c r="D147" s="337" t="s">
        <v>2461</v>
      </c>
      <c r="E147" s="337" t="s">
        <v>1261</v>
      </c>
      <c r="F147" s="337" t="s">
        <v>1250</v>
      </c>
      <c r="G147" s="338">
        <v>2</v>
      </c>
      <c r="H147" s="337" t="s">
        <v>2436</v>
      </c>
      <c r="I147" s="339"/>
    </row>
    <row r="148" spans="2:9" ht="19.5" x14ac:dyDescent="0.4">
      <c r="B148" s="336" t="s">
        <v>1548</v>
      </c>
      <c r="C148" s="337" t="s">
        <v>1549</v>
      </c>
      <c r="D148" s="337" t="s">
        <v>1550</v>
      </c>
      <c r="E148" s="337" t="s">
        <v>1217</v>
      </c>
      <c r="F148" s="337" t="s">
        <v>1250</v>
      </c>
      <c r="G148" s="338">
        <v>4</v>
      </c>
      <c r="H148" s="337" t="s">
        <v>2462</v>
      </c>
      <c r="I148" s="339"/>
    </row>
    <row r="149" spans="2:9" x14ac:dyDescent="0.4">
      <c r="B149" s="336" t="s">
        <v>1551</v>
      </c>
      <c r="C149" s="337" t="s">
        <v>1552</v>
      </c>
      <c r="D149" s="337" t="s">
        <v>1553</v>
      </c>
      <c r="E149" s="337" t="s">
        <v>1261</v>
      </c>
      <c r="F149" s="337" t="s">
        <v>989</v>
      </c>
      <c r="G149" s="338">
        <v>4</v>
      </c>
      <c r="H149" s="337" t="s">
        <v>2451</v>
      </c>
      <c r="I149" s="339"/>
    </row>
    <row r="150" spans="2:9" ht="22.5" customHeight="1" x14ac:dyDescent="0.4">
      <c r="B150" s="336" t="s">
        <v>1554</v>
      </c>
      <c r="C150" s="337" t="s">
        <v>1555</v>
      </c>
      <c r="D150" s="337" t="s">
        <v>1556</v>
      </c>
      <c r="E150" s="337" t="s">
        <v>1261</v>
      </c>
      <c r="F150" s="337" t="s">
        <v>1557</v>
      </c>
      <c r="G150" s="339"/>
      <c r="H150" s="339"/>
      <c r="I150" s="337" t="s">
        <v>2463</v>
      </c>
    </row>
    <row r="151" spans="2:9" ht="22.5" customHeight="1" x14ac:dyDescent="0.4">
      <c r="B151" s="336" t="s">
        <v>1554</v>
      </c>
      <c r="C151" s="337" t="s">
        <v>1558</v>
      </c>
      <c r="D151" s="337" t="s">
        <v>1556</v>
      </c>
      <c r="E151" s="337" t="s">
        <v>1217</v>
      </c>
      <c r="F151" s="337" t="s">
        <v>1557</v>
      </c>
      <c r="G151" s="339"/>
      <c r="H151" s="339"/>
      <c r="I151" s="337" t="s">
        <v>2463</v>
      </c>
    </row>
    <row r="152" spans="2:9" ht="22.5" customHeight="1" x14ac:dyDescent="0.4">
      <c r="B152" s="336" t="s">
        <v>1559</v>
      </c>
      <c r="C152" s="337" t="s">
        <v>1560</v>
      </c>
      <c r="D152" s="337" t="s">
        <v>1556</v>
      </c>
      <c r="E152" s="337" t="s">
        <v>1261</v>
      </c>
      <c r="F152" s="337" t="s">
        <v>1557</v>
      </c>
      <c r="G152" s="339"/>
      <c r="H152" s="339"/>
      <c r="I152" s="337" t="s">
        <v>2463</v>
      </c>
    </row>
    <row r="153" spans="2:9" ht="22.5" customHeight="1" x14ac:dyDescent="0.4">
      <c r="B153" s="336" t="s">
        <v>1559</v>
      </c>
      <c r="C153" s="337" t="s">
        <v>1561</v>
      </c>
      <c r="D153" s="337" t="s">
        <v>1556</v>
      </c>
      <c r="E153" s="337" t="s">
        <v>1217</v>
      </c>
      <c r="F153" s="337" t="s">
        <v>1557</v>
      </c>
      <c r="G153" s="339"/>
      <c r="H153" s="339"/>
      <c r="I153" s="337" t="s">
        <v>2463</v>
      </c>
    </row>
    <row r="154" spans="2:9" ht="22.5" customHeight="1" x14ac:dyDescent="0.4">
      <c r="B154" s="336" t="s">
        <v>1562</v>
      </c>
      <c r="C154" s="337" t="s">
        <v>1563</v>
      </c>
      <c r="D154" s="337" t="s">
        <v>1556</v>
      </c>
      <c r="E154" s="337" t="s">
        <v>1261</v>
      </c>
      <c r="F154" s="337" t="s">
        <v>1557</v>
      </c>
      <c r="G154" s="339"/>
      <c r="H154" s="339"/>
      <c r="I154" s="337" t="s">
        <v>2463</v>
      </c>
    </row>
    <row r="155" spans="2:9" ht="22.5" customHeight="1" x14ac:dyDescent="0.4">
      <c r="B155" s="336" t="s">
        <v>1562</v>
      </c>
      <c r="C155" s="337" t="s">
        <v>1564</v>
      </c>
      <c r="D155" s="337" t="s">
        <v>1556</v>
      </c>
      <c r="E155" s="337" t="s">
        <v>1217</v>
      </c>
      <c r="F155" s="337" t="s">
        <v>1557</v>
      </c>
      <c r="G155" s="339"/>
      <c r="H155" s="339"/>
      <c r="I155" s="337" t="s">
        <v>2463</v>
      </c>
    </row>
    <row r="156" spans="2:9" ht="22.5" customHeight="1" x14ac:dyDescent="0.4">
      <c r="B156" s="336" t="s">
        <v>1565</v>
      </c>
      <c r="C156" s="337" t="s">
        <v>1566</v>
      </c>
      <c r="D156" s="337" t="s">
        <v>1556</v>
      </c>
      <c r="E156" s="337" t="s">
        <v>1261</v>
      </c>
      <c r="F156" s="337" t="s">
        <v>1557</v>
      </c>
      <c r="G156" s="339"/>
      <c r="H156" s="339"/>
      <c r="I156" s="337" t="s">
        <v>2463</v>
      </c>
    </row>
    <row r="157" spans="2:9" ht="22.5" customHeight="1" x14ac:dyDescent="0.4">
      <c r="B157" s="336" t="s">
        <v>1565</v>
      </c>
      <c r="C157" s="337" t="s">
        <v>1567</v>
      </c>
      <c r="D157" s="337" t="s">
        <v>1556</v>
      </c>
      <c r="E157" s="337" t="s">
        <v>1217</v>
      </c>
      <c r="F157" s="337" t="s">
        <v>1557</v>
      </c>
      <c r="G157" s="339"/>
      <c r="H157" s="339"/>
      <c r="I157" s="337" t="s">
        <v>2463</v>
      </c>
    </row>
    <row r="158" spans="2:9" x14ac:dyDescent="0.4">
      <c r="B158" s="336" t="s">
        <v>1568</v>
      </c>
      <c r="C158" s="337" t="s">
        <v>1569</v>
      </c>
      <c r="D158" s="337" t="s">
        <v>1570</v>
      </c>
      <c r="E158" s="337" t="s">
        <v>1261</v>
      </c>
      <c r="F158" s="337" t="s">
        <v>990</v>
      </c>
      <c r="G158" s="338">
        <v>6</v>
      </c>
      <c r="H158" s="339"/>
      <c r="I158" s="339"/>
    </row>
    <row r="159" spans="2:9" ht="19.5" x14ac:dyDescent="0.4">
      <c r="B159" s="333" t="s">
        <v>2382</v>
      </c>
      <c r="C159" s="334" t="s">
        <v>2383</v>
      </c>
      <c r="D159" s="334" t="s">
        <v>2384</v>
      </c>
      <c r="E159" s="335" t="s">
        <v>2385</v>
      </c>
      <c r="F159" s="334" t="s">
        <v>2389</v>
      </c>
      <c r="G159" s="334" t="s">
        <v>2386</v>
      </c>
      <c r="H159" s="334" t="s">
        <v>2387</v>
      </c>
      <c r="I159" s="334" t="s">
        <v>2388</v>
      </c>
    </row>
    <row r="160" spans="2:9" x14ac:dyDescent="0.4">
      <c r="B160" s="336" t="s">
        <v>1571</v>
      </c>
      <c r="C160" s="337" t="s">
        <v>1572</v>
      </c>
      <c r="D160" s="337" t="s">
        <v>1570</v>
      </c>
      <c r="E160" s="337" t="s">
        <v>1261</v>
      </c>
      <c r="F160" s="337" t="s">
        <v>1250</v>
      </c>
      <c r="G160" s="338">
        <v>6</v>
      </c>
      <c r="H160" s="339"/>
      <c r="I160" s="339"/>
    </row>
    <row r="161" spans="2:9" x14ac:dyDescent="0.4">
      <c r="B161" s="336" t="s">
        <v>1573</v>
      </c>
      <c r="C161" s="337" t="s">
        <v>1574</v>
      </c>
      <c r="D161" s="337" t="s">
        <v>1570</v>
      </c>
      <c r="E161" s="337" t="s">
        <v>1217</v>
      </c>
      <c r="F161" s="337" t="s">
        <v>1557</v>
      </c>
      <c r="G161" s="339"/>
      <c r="H161" s="339"/>
      <c r="I161" s="337" t="s">
        <v>2463</v>
      </c>
    </row>
    <row r="162" spans="2:9" x14ac:dyDescent="0.4">
      <c r="B162" s="336" t="s">
        <v>1575</v>
      </c>
      <c r="C162" s="337" t="s">
        <v>1576</v>
      </c>
      <c r="D162" s="337" t="s">
        <v>1570</v>
      </c>
      <c r="E162" s="337" t="s">
        <v>1217</v>
      </c>
      <c r="F162" s="337" t="s">
        <v>1557</v>
      </c>
      <c r="G162" s="339"/>
      <c r="H162" s="339"/>
      <c r="I162" s="337" t="s">
        <v>2463</v>
      </c>
    </row>
    <row r="163" spans="2:9" x14ac:dyDescent="0.4">
      <c r="B163" s="336" t="s">
        <v>1577</v>
      </c>
      <c r="C163" s="337" t="s">
        <v>1578</v>
      </c>
      <c r="D163" s="337" t="s">
        <v>1579</v>
      </c>
      <c r="E163" s="337" t="s">
        <v>1217</v>
      </c>
      <c r="F163" s="337" t="s">
        <v>1223</v>
      </c>
      <c r="G163" s="338">
        <v>2</v>
      </c>
      <c r="H163" s="337" t="s">
        <v>2464</v>
      </c>
      <c r="I163" s="339"/>
    </row>
    <row r="164" spans="2:9" x14ac:dyDescent="0.4">
      <c r="B164" s="336" t="s">
        <v>1580</v>
      </c>
      <c r="C164" s="337" t="s">
        <v>1581</v>
      </c>
      <c r="D164" s="337" t="s">
        <v>1582</v>
      </c>
      <c r="E164" s="337" t="s">
        <v>1217</v>
      </c>
      <c r="F164" s="337" t="s">
        <v>1250</v>
      </c>
      <c r="G164" s="338">
        <v>1</v>
      </c>
      <c r="H164" s="337" t="s">
        <v>2421</v>
      </c>
      <c r="I164" s="339"/>
    </row>
    <row r="165" spans="2:9" x14ac:dyDescent="0.4">
      <c r="B165" s="336" t="s">
        <v>1583</v>
      </c>
      <c r="C165" s="337" t="s">
        <v>1584</v>
      </c>
      <c r="D165" s="337" t="s">
        <v>1585</v>
      </c>
      <c r="E165" s="337" t="s">
        <v>1261</v>
      </c>
      <c r="F165" s="337" t="s">
        <v>1218</v>
      </c>
      <c r="G165" s="337" t="s">
        <v>1269</v>
      </c>
      <c r="H165" s="337" t="s">
        <v>2465</v>
      </c>
      <c r="I165" s="339"/>
    </row>
    <row r="166" spans="2:9" x14ac:dyDescent="0.4">
      <c r="B166" s="336" t="s">
        <v>1586</v>
      </c>
      <c r="C166" s="337" t="s">
        <v>1587</v>
      </c>
      <c r="D166" s="337" t="s">
        <v>1588</v>
      </c>
      <c r="E166" s="337" t="s">
        <v>1261</v>
      </c>
      <c r="F166" s="337" t="s">
        <v>1218</v>
      </c>
      <c r="G166" s="337" t="s">
        <v>1269</v>
      </c>
      <c r="H166" s="337" t="s">
        <v>2465</v>
      </c>
      <c r="I166" s="339"/>
    </row>
    <row r="167" spans="2:9" x14ac:dyDescent="0.4">
      <c r="B167" s="336" t="s">
        <v>1589</v>
      </c>
      <c r="C167" s="337" t="s">
        <v>1590</v>
      </c>
      <c r="D167" s="337" t="s">
        <v>1591</v>
      </c>
      <c r="E167" s="337" t="s">
        <v>1217</v>
      </c>
      <c r="F167" s="337" t="s">
        <v>990</v>
      </c>
      <c r="G167" s="338">
        <v>2</v>
      </c>
      <c r="H167" s="337" t="s">
        <v>2423</v>
      </c>
      <c r="I167" s="339"/>
    </row>
    <row r="168" spans="2:9" ht="19.5" x14ac:dyDescent="0.4">
      <c r="B168" s="336" t="s">
        <v>1592</v>
      </c>
      <c r="C168" s="337" t="s">
        <v>1593</v>
      </c>
      <c r="D168" s="337" t="s">
        <v>1594</v>
      </c>
      <c r="E168" s="337" t="s">
        <v>1261</v>
      </c>
      <c r="F168" s="337" t="s">
        <v>1557</v>
      </c>
      <c r="G168" s="339"/>
      <c r="H168" s="339"/>
      <c r="I168" s="339"/>
    </row>
    <row r="169" spans="2:9" ht="19.5" x14ac:dyDescent="0.4">
      <c r="B169" s="336" t="s">
        <v>1592</v>
      </c>
      <c r="C169" s="337" t="s">
        <v>1595</v>
      </c>
      <c r="D169" s="337" t="s">
        <v>1594</v>
      </c>
      <c r="E169" s="337" t="s">
        <v>1217</v>
      </c>
      <c r="F169" s="337" t="s">
        <v>1557</v>
      </c>
      <c r="G169" s="339"/>
      <c r="H169" s="339"/>
      <c r="I169" s="339"/>
    </row>
    <row r="170" spans="2:9" ht="19.5" x14ac:dyDescent="0.4">
      <c r="B170" s="336" t="s">
        <v>1596</v>
      </c>
      <c r="C170" s="337" t="s">
        <v>1597</v>
      </c>
      <c r="D170" s="337" t="s">
        <v>1594</v>
      </c>
      <c r="E170" s="337" t="s">
        <v>1261</v>
      </c>
      <c r="F170" s="337" t="s">
        <v>1557</v>
      </c>
      <c r="G170" s="339"/>
      <c r="H170" s="339"/>
      <c r="I170" s="339"/>
    </row>
    <row r="171" spans="2:9" ht="19.5" x14ac:dyDescent="0.4">
      <c r="B171" s="336" t="s">
        <v>1596</v>
      </c>
      <c r="C171" s="337" t="s">
        <v>1598</v>
      </c>
      <c r="D171" s="337" t="s">
        <v>1594</v>
      </c>
      <c r="E171" s="337" t="s">
        <v>1217</v>
      </c>
      <c r="F171" s="337" t="s">
        <v>1557</v>
      </c>
      <c r="G171" s="339"/>
      <c r="H171" s="339"/>
      <c r="I171" s="339"/>
    </row>
    <row r="172" spans="2:9" ht="19.5" x14ac:dyDescent="0.4">
      <c r="B172" s="336" t="s">
        <v>1599</v>
      </c>
      <c r="C172" s="337" t="s">
        <v>1600</v>
      </c>
      <c r="D172" s="337" t="s">
        <v>1601</v>
      </c>
      <c r="E172" s="337" t="s">
        <v>1261</v>
      </c>
      <c r="F172" s="337" t="s">
        <v>1557</v>
      </c>
      <c r="G172" s="339"/>
      <c r="H172" s="339"/>
      <c r="I172" s="339"/>
    </row>
    <row r="173" spans="2:9" ht="19.5" x14ac:dyDescent="0.4">
      <c r="B173" s="336" t="s">
        <v>1599</v>
      </c>
      <c r="C173" s="337" t="s">
        <v>1602</v>
      </c>
      <c r="D173" s="337" t="s">
        <v>1601</v>
      </c>
      <c r="E173" s="337" t="s">
        <v>1217</v>
      </c>
      <c r="F173" s="337" t="s">
        <v>1557</v>
      </c>
      <c r="G173" s="339"/>
      <c r="H173" s="339"/>
      <c r="I173" s="339"/>
    </row>
    <row r="174" spans="2:9" ht="19.5" x14ac:dyDescent="0.4">
      <c r="B174" s="336" t="s">
        <v>1603</v>
      </c>
      <c r="C174" s="337" t="s">
        <v>1604</v>
      </c>
      <c r="D174" s="337" t="s">
        <v>1601</v>
      </c>
      <c r="E174" s="337" t="s">
        <v>1261</v>
      </c>
      <c r="F174" s="337" t="s">
        <v>1557</v>
      </c>
      <c r="G174" s="339"/>
      <c r="H174" s="339"/>
      <c r="I174" s="339"/>
    </row>
    <row r="175" spans="2:9" ht="19.5" x14ac:dyDescent="0.4">
      <c r="B175" s="336" t="s">
        <v>1603</v>
      </c>
      <c r="C175" s="337" t="s">
        <v>1605</v>
      </c>
      <c r="D175" s="337" t="s">
        <v>1601</v>
      </c>
      <c r="E175" s="337" t="s">
        <v>1217</v>
      </c>
      <c r="F175" s="337" t="s">
        <v>1557</v>
      </c>
      <c r="G175" s="339"/>
      <c r="H175" s="339"/>
      <c r="I175" s="339"/>
    </row>
    <row r="176" spans="2:9" ht="19.5" x14ac:dyDescent="0.4">
      <c r="B176" s="336" t="s">
        <v>1606</v>
      </c>
      <c r="C176" s="337" t="s">
        <v>1607</v>
      </c>
      <c r="D176" s="337" t="s">
        <v>1594</v>
      </c>
      <c r="E176" s="337" t="s">
        <v>1261</v>
      </c>
      <c r="F176" s="337" t="s">
        <v>1246</v>
      </c>
      <c r="G176" s="339"/>
      <c r="H176" s="337" t="s">
        <v>2410</v>
      </c>
      <c r="I176" s="339"/>
    </row>
    <row r="177" spans="2:9" ht="19.5" x14ac:dyDescent="0.4">
      <c r="B177" s="336" t="s">
        <v>1606</v>
      </c>
      <c r="C177" s="337" t="s">
        <v>1608</v>
      </c>
      <c r="D177" s="337" t="s">
        <v>1594</v>
      </c>
      <c r="E177" s="337" t="s">
        <v>1217</v>
      </c>
      <c r="F177" s="337" t="s">
        <v>1246</v>
      </c>
      <c r="G177" s="339"/>
      <c r="H177" s="337" t="s">
        <v>2410</v>
      </c>
      <c r="I177" s="339"/>
    </row>
    <row r="178" spans="2:9" ht="19.5" x14ac:dyDescent="0.4">
      <c r="B178" s="336" t="s">
        <v>1609</v>
      </c>
      <c r="C178" s="337" t="s">
        <v>1610</v>
      </c>
      <c r="D178" s="337" t="s">
        <v>1594</v>
      </c>
      <c r="E178" s="337" t="s">
        <v>1261</v>
      </c>
      <c r="F178" s="337" t="s">
        <v>1557</v>
      </c>
      <c r="G178" s="339"/>
      <c r="H178" s="337" t="s">
        <v>2410</v>
      </c>
      <c r="I178" s="339"/>
    </row>
    <row r="179" spans="2:9" ht="19.5" x14ac:dyDescent="0.4">
      <c r="B179" s="336" t="s">
        <v>1609</v>
      </c>
      <c r="C179" s="337" t="s">
        <v>1611</v>
      </c>
      <c r="D179" s="337" t="s">
        <v>1594</v>
      </c>
      <c r="E179" s="337" t="s">
        <v>1217</v>
      </c>
      <c r="F179" s="337" t="s">
        <v>1557</v>
      </c>
      <c r="G179" s="339"/>
      <c r="H179" s="337" t="s">
        <v>2410</v>
      </c>
      <c r="I179" s="339"/>
    </row>
    <row r="180" spans="2:9" ht="19.5" x14ac:dyDescent="0.4">
      <c r="B180" s="336" t="s">
        <v>1612</v>
      </c>
      <c r="C180" s="337" t="s">
        <v>1613</v>
      </c>
      <c r="D180" s="337" t="s">
        <v>1594</v>
      </c>
      <c r="E180" s="337" t="s">
        <v>1261</v>
      </c>
      <c r="F180" s="337" t="s">
        <v>1557</v>
      </c>
      <c r="G180" s="339"/>
      <c r="H180" s="339"/>
      <c r="I180" s="339"/>
    </row>
    <row r="181" spans="2:9" ht="19.5" x14ac:dyDescent="0.4">
      <c r="B181" s="336" t="s">
        <v>1612</v>
      </c>
      <c r="C181" s="337" t="s">
        <v>1614</v>
      </c>
      <c r="D181" s="337" t="s">
        <v>1594</v>
      </c>
      <c r="E181" s="337" t="s">
        <v>1217</v>
      </c>
      <c r="F181" s="337" t="s">
        <v>1557</v>
      </c>
      <c r="G181" s="339"/>
      <c r="H181" s="339"/>
      <c r="I181" s="339"/>
    </row>
    <row r="182" spans="2:9" ht="19.5" x14ac:dyDescent="0.4">
      <c r="B182" s="336" t="s">
        <v>1615</v>
      </c>
      <c r="C182" s="337" t="s">
        <v>1616</v>
      </c>
      <c r="D182" s="337" t="s">
        <v>1594</v>
      </c>
      <c r="E182" s="337" t="s">
        <v>1261</v>
      </c>
      <c r="F182" s="337" t="s">
        <v>1557</v>
      </c>
      <c r="G182" s="339"/>
      <c r="H182" s="339"/>
      <c r="I182" s="339"/>
    </row>
    <row r="183" spans="2:9" ht="19.5" x14ac:dyDescent="0.4">
      <c r="B183" s="336" t="s">
        <v>1615</v>
      </c>
      <c r="C183" s="337" t="s">
        <v>1617</v>
      </c>
      <c r="D183" s="337" t="s">
        <v>1594</v>
      </c>
      <c r="E183" s="337" t="s">
        <v>1217</v>
      </c>
      <c r="F183" s="337" t="s">
        <v>1557</v>
      </c>
      <c r="G183" s="339"/>
      <c r="H183" s="339"/>
      <c r="I183" s="339"/>
    </row>
    <row r="184" spans="2:9" ht="22.5" customHeight="1" x14ac:dyDescent="0.4">
      <c r="B184" s="336" t="s">
        <v>1618</v>
      </c>
      <c r="C184" s="337" t="s">
        <v>1619</v>
      </c>
      <c r="D184" s="337" t="s">
        <v>1594</v>
      </c>
      <c r="E184" s="337" t="s">
        <v>1261</v>
      </c>
      <c r="F184" s="337" t="s">
        <v>1246</v>
      </c>
      <c r="G184" s="339"/>
      <c r="H184" s="337" t="s">
        <v>2410</v>
      </c>
      <c r="I184" s="339"/>
    </row>
    <row r="185" spans="2:9" ht="22.5" customHeight="1" x14ac:dyDescent="0.4">
      <c r="B185" s="336" t="s">
        <v>1618</v>
      </c>
      <c r="C185" s="337" t="s">
        <v>1620</v>
      </c>
      <c r="D185" s="337" t="s">
        <v>1594</v>
      </c>
      <c r="E185" s="337" t="s">
        <v>1217</v>
      </c>
      <c r="F185" s="337" t="s">
        <v>1246</v>
      </c>
      <c r="G185" s="339"/>
      <c r="H185" s="337" t="s">
        <v>2410</v>
      </c>
      <c r="I185" s="339"/>
    </row>
    <row r="186" spans="2:9" ht="22.5" customHeight="1" x14ac:dyDescent="0.4">
      <c r="B186" s="336" t="s">
        <v>1621</v>
      </c>
      <c r="C186" s="337" t="s">
        <v>1622</v>
      </c>
      <c r="D186" s="337" t="s">
        <v>1594</v>
      </c>
      <c r="E186" s="337" t="s">
        <v>1261</v>
      </c>
      <c r="F186" s="337" t="s">
        <v>1246</v>
      </c>
      <c r="G186" s="339"/>
      <c r="H186" s="337" t="s">
        <v>2410</v>
      </c>
      <c r="I186" s="339"/>
    </row>
    <row r="187" spans="2:9" ht="22.5" customHeight="1" x14ac:dyDescent="0.4">
      <c r="B187" s="336" t="s">
        <v>1621</v>
      </c>
      <c r="C187" s="337" t="s">
        <v>1623</v>
      </c>
      <c r="D187" s="337" t="s">
        <v>1594</v>
      </c>
      <c r="E187" s="337" t="s">
        <v>1217</v>
      </c>
      <c r="F187" s="337" t="s">
        <v>1246</v>
      </c>
      <c r="G187" s="339"/>
      <c r="H187" s="337" t="s">
        <v>2410</v>
      </c>
      <c r="I187" s="339"/>
    </row>
    <row r="188" spans="2:9" ht="22.5" customHeight="1" x14ac:dyDescent="0.4">
      <c r="B188" s="336" t="s">
        <v>1624</v>
      </c>
      <c r="C188" s="337" t="s">
        <v>1625</v>
      </c>
      <c r="D188" s="337" t="s">
        <v>1594</v>
      </c>
      <c r="E188" s="337" t="s">
        <v>1261</v>
      </c>
      <c r="F188" s="337" t="s">
        <v>1246</v>
      </c>
      <c r="G188" s="339"/>
      <c r="H188" s="337" t="s">
        <v>2410</v>
      </c>
      <c r="I188" s="339"/>
    </row>
    <row r="189" spans="2:9" ht="22.5" customHeight="1" x14ac:dyDescent="0.4">
      <c r="B189" s="336" t="s">
        <v>1624</v>
      </c>
      <c r="C189" s="337" t="s">
        <v>1626</v>
      </c>
      <c r="D189" s="337" t="s">
        <v>1594</v>
      </c>
      <c r="E189" s="337" t="s">
        <v>1217</v>
      </c>
      <c r="F189" s="337" t="s">
        <v>1246</v>
      </c>
      <c r="G189" s="339"/>
      <c r="H189" s="337" t="s">
        <v>2410</v>
      </c>
      <c r="I189" s="339"/>
    </row>
    <row r="190" spans="2:9" ht="19.5" x14ac:dyDescent="0.4">
      <c r="B190" s="336" t="s">
        <v>1627</v>
      </c>
      <c r="C190" s="337" t="s">
        <v>1628</v>
      </c>
      <c r="D190" s="337" t="s">
        <v>1629</v>
      </c>
      <c r="E190" s="337" t="s">
        <v>1261</v>
      </c>
      <c r="F190" s="337" t="s">
        <v>1557</v>
      </c>
      <c r="G190" s="339"/>
      <c r="H190" s="339"/>
      <c r="I190" s="339"/>
    </row>
    <row r="191" spans="2:9" ht="19.5" x14ac:dyDescent="0.4">
      <c r="B191" s="336" t="s">
        <v>1627</v>
      </c>
      <c r="C191" s="337" t="s">
        <v>1630</v>
      </c>
      <c r="D191" s="337" t="s">
        <v>1629</v>
      </c>
      <c r="E191" s="337" t="s">
        <v>1217</v>
      </c>
      <c r="F191" s="337" t="s">
        <v>1557</v>
      </c>
      <c r="G191" s="339"/>
      <c r="H191" s="339"/>
      <c r="I191" s="339"/>
    </row>
    <row r="192" spans="2:9" ht="19.5" x14ac:dyDescent="0.4">
      <c r="B192" s="336" t="s">
        <v>1631</v>
      </c>
      <c r="C192" s="337" t="s">
        <v>1632</v>
      </c>
      <c r="D192" s="337" t="s">
        <v>1629</v>
      </c>
      <c r="E192" s="337" t="s">
        <v>1261</v>
      </c>
      <c r="F192" s="337" t="s">
        <v>1557</v>
      </c>
      <c r="G192" s="339"/>
      <c r="H192" s="339"/>
      <c r="I192" s="339"/>
    </row>
    <row r="193" spans="2:10" ht="19.5" x14ac:dyDescent="0.4">
      <c r="B193" s="336" t="s">
        <v>1631</v>
      </c>
      <c r="C193" s="337" t="s">
        <v>1633</v>
      </c>
      <c r="D193" s="337" t="s">
        <v>1629</v>
      </c>
      <c r="E193" s="337" t="s">
        <v>1217</v>
      </c>
      <c r="F193" s="337" t="s">
        <v>1557</v>
      </c>
      <c r="G193" s="339"/>
      <c r="H193" s="339"/>
      <c r="I193" s="339"/>
    </row>
    <row r="194" spans="2:10" x14ac:dyDescent="0.4">
      <c r="B194" s="341"/>
      <c r="C194" s="341" t="s">
        <v>2444</v>
      </c>
      <c r="D194" s="342"/>
      <c r="E194" s="342"/>
      <c r="F194" s="342"/>
      <c r="G194" s="342"/>
      <c r="H194" s="342"/>
      <c r="I194" s="342"/>
      <c r="J194" s="342"/>
    </row>
    <row r="195" spans="2:10" ht="19.5" x14ac:dyDescent="0.4">
      <c r="B195" s="333" t="s">
        <v>2382</v>
      </c>
      <c r="C195" s="334" t="s">
        <v>2383</v>
      </c>
      <c r="D195" s="334" t="s">
        <v>2384</v>
      </c>
      <c r="E195" s="335" t="s">
        <v>2385</v>
      </c>
      <c r="F195" s="334" t="s">
        <v>2389</v>
      </c>
      <c r="G195" s="334" t="s">
        <v>2386</v>
      </c>
      <c r="H195" s="334" t="s">
        <v>2387</v>
      </c>
      <c r="I195" s="334" t="s">
        <v>2388</v>
      </c>
    </row>
    <row r="196" spans="2:10" x14ac:dyDescent="0.4">
      <c r="B196" s="336" t="s">
        <v>1634</v>
      </c>
      <c r="C196" s="337" t="s">
        <v>1635</v>
      </c>
      <c r="D196" s="337" t="s">
        <v>1636</v>
      </c>
      <c r="E196" s="340"/>
      <c r="F196" s="340"/>
      <c r="G196" s="340"/>
      <c r="H196" s="340"/>
      <c r="I196" s="337" t="s">
        <v>2428</v>
      </c>
    </row>
    <row r="197" spans="2:10" x14ac:dyDescent="0.4">
      <c r="B197" s="336" t="s">
        <v>1637</v>
      </c>
      <c r="C197" s="337" t="s">
        <v>1638</v>
      </c>
      <c r="D197" s="337" t="s">
        <v>1639</v>
      </c>
      <c r="E197" s="340"/>
      <c r="F197" s="340"/>
      <c r="G197" s="340"/>
      <c r="H197" s="340"/>
      <c r="I197" s="337" t="s">
        <v>2428</v>
      </c>
    </row>
    <row r="198" spans="2:10" x14ac:dyDescent="0.4">
      <c r="B198" s="336" t="s">
        <v>1640</v>
      </c>
      <c r="C198" s="337" t="s">
        <v>1641</v>
      </c>
      <c r="D198" s="337" t="s">
        <v>1642</v>
      </c>
      <c r="E198" s="337" t="s">
        <v>1217</v>
      </c>
      <c r="F198" s="337" t="s">
        <v>1223</v>
      </c>
      <c r="G198" s="338">
        <v>1</v>
      </c>
      <c r="H198" s="337" t="s">
        <v>2455</v>
      </c>
      <c r="I198" s="339"/>
    </row>
    <row r="199" spans="2:10" x14ac:dyDescent="0.4">
      <c r="B199" s="336" t="s">
        <v>1643</v>
      </c>
      <c r="C199" s="337" t="s">
        <v>1644</v>
      </c>
      <c r="D199" s="337" t="s">
        <v>2466</v>
      </c>
      <c r="E199" s="337" t="s">
        <v>1261</v>
      </c>
      <c r="F199" s="337" t="s">
        <v>1246</v>
      </c>
      <c r="G199" s="339"/>
      <c r="H199" s="337" t="s">
        <v>2419</v>
      </c>
      <c r="I199" s="339"/>
    </row>
    <row r="200" spans="2:10" x14ac:dyDescent="0.4">
      <c r="B200" s="336" t="s">
        <v>1646</v>
      </c>
      <c r="C200" s="337" t="s">
        <v>1647</v>
      </c>
      <c r="D200" s="337" t="s">
        <v>2467</v>
      </c>
      <c r="E200" s="340"/>
      <c r="F200" s="340"/>
      <c r="G200" s="340"/>
      <c r="H200" s="340"/>
      <c r="I200" s="337" t="s">
        <v>2428</v>
      </c>
    </row>
    <row r="201" spans="2:10" x14ac:dyDescent="0.4">
      <c r="B201" s="336" t="s">
        <v>1649</v>
      </c>
      <c r="C201" s="337" t="s">
        <v>1650</v>
      </c>
      <c r="D201" s="337" t="s">
        <v>1651</v>
      </c>
      <c r="E201" s="337" t="s">
        <v>1217</v>
      </c>
      <c r="F201" s="337" t="s">
        <v>989</v>
      </c>
      <c r="G201" s="338">
        <v>2</v>
      </c>
      <c r="H201" s="337" t="s">
        <v>2455</v>
      </c>
      <c r="I201" s="339"/>
    </row>
    <row r="202" spans="2:10" x14ac:dyDescent="0.4">
      <c r="B202" s="336" t="s">
        <v>1652</v>
      </c>
      <c r="C202" s="337" t="s">
        <v>1653</v>
      </c>
      <c r="D202" s="337" t="s">
        <v>1654</v>
      </c>
      <c r="E202" s="337" t="s">
        <v>1261</v>
      </c>
      <c r="F202" s="337" t="s">
        <v>1223</v>
      </c>
      <c r="G202" s="338">
        <v>5</v>
      </c>
      <c r="H202" s="337" t="s">
        <v>2427</v>
      </c>
      <c r="I202" s="339"/>
    </row>
    <row r="203" spans="2:10" x14ac:dyDescent="0.4">
      <c r="B203" s="336" t="s">
        <v>1655</v>
      </c>
      <c r="C203" s="337" t="s">
        <v>1656</v>
      </c>
      <c r="D203" s="337" t="s">
        <v>1334</v>
      </c>
      <c r="E203" s="337" t="s">
        <v>1261</v>
      </c>
      <c r="F203" s="337" t="s">
        <v>990</v>
      </c>
      <c r="G203" s="338">
        <v>1</v>
      </c>
      <c r="H203" s="337" t="s">
        <v>2468</v>
      </c>
      <c r="I203" s="339"/>
    </row>
    <row r="204" spans="2:10" x14ac:dyDescent="0.4">
      <c r="B204" s="336" t="s">
        <v>1657</v>
      </c>
      <c r="C204" s="337" t="s">
        <v>1658</v>
      </c>
      <c r="D204" s="337" t="s">
        <v>1659</v>
      </c>
      <c r="E204" s="337" t="s">
        <v>1217</v>
      </c>
      <c r="F204" s="337" t="s">
        <v>989</v>
      </c>
      <c r="G204" s="338">
        <v>2</v>
      </c>
      <c r="H204" s="337" t="s">
        <v>2469</v>
      </c>
      <c r="I204" s="339"/>
    </row>
    <row r="205" spans="2:10" x14ac:dyDescent="0.4">
      <c r="B205" s="336" t="s">
        <v>1660</v>
      </c>
      <c r="C205" s="337" t="s">
        <v>1661</v>
      </c>
      <c r="D205" s="337" t="s">
        <v>1662</v>
      </c>
      <c r="E205" s="337" t="s">
        <v>1261</v>
      </c>
      <c r="F205" s="337" t="s">
        <v>1246</v>
      </c>
      <c r="G205" s="339"/>
      <c r="H205" s="339"/>
      <c r="I205" s="339"/>
    </row>
    <row r="206" spans="2:10" x14ac:dyDescent="0.4">
      <c r="B206" s="336" t="s">
        <v>1663</v>
      </c>
      <c r="C206" s="337" t="s">
        <v>1664</v>
      </c>
      <c r="D206" s="337" t="s">
        <v>1665</v>
      </c>
      <c r="E206" s="337" t="s">
        <v>1217</v>
      </c>
      <c r="F206" s="337" t="s">
        <v>989</v>
      </c>
      <c r="G206" s="338">
        <v>1</v>
      </c>
      <c r="H206" s="337" t="s">
        <v>2469</v>
      </c>
      <c r="I206" s="339"/>
    </row>
    <row r="207" spans="2:10" x14ac:dyDescent="0.4">
      <c r="B207" s="336" t="s">
        <v>2470</v>
      </c>
      <c r="C207" s="337" t="s">
        <v>2471</v>
      </c>
      <c r="D207" s="337" t="s">
        <v>2472</v>
      </c>
      <c r="E207" s="337" t="s">
        <v>1217</v>
      </c>
      <c r="F207" s="337" t="s">
        <v>1223</v>
      </c>
      <c r="G207" s="338">
        <v>1</v>
      </c>
      <c r="H207" s="337" t="s">
        <v>2473</v>
      </c>
      <c r="I207" s="339"/>
    </row>
    <row r="208" spans="2:10" x14ac:dyDescent="0.4">
      <c r="B208" s="336" t="s">
        <v>1666</v>
      </c>
      <c r="C208" s="337" t="s">
        <v>1667</v>
      </c>
      <c r="D208" s="337" t="s">
        <v>2474</v>
      </c>
      <c r="E208" s="337" t="s">
        <v>1217</v>
      </c>
      <c r="F208" s="337" t="s">
        <v>1223</v>
      </c>
      <c r="G208" s="338">
        <v>5</v>
      </c>
      <c r="H208" s="337" t="s">
        <v>2435</v>
      </c>
      <c r="I208" s="339"/>
    </row>
    <row r="209" spans="2:10" ht="22.5" customHeight="1" x14ac:dyDescent="0.4">
      <c r="B209" s="336" t="s">
        <v>1669</v>
      </c>
      <c r="C209" s="337" t="s">
        <v>1670</v>
      </c>
      <c r="D209" s="337" t="s">
        <v>1671</v>
      </c>
      <c r="E209" s="337" t="s">
        <v>1217</v>
      </c>
      <c r="F209" s="337" t="s">
        <v>1250</v>
      </c>
      <c r="G209" s="338">
        <v>1</v>
      </c>
      <c r="H209" s="337" t="s">
        <v>2468</v>
      </c>
      <c r="I209" s="339"/>
    </row>
    <row r="210" spans="2:10" x14ac:dyDescent="0.4">
      <c r="B210" s="336" t="s">
        <v>1672</v>
      </c>
      <c r="C210" s="337" t="s">
        <v>1673</v>
      </c>
      <c r="D210" s="337" t="s">
        <v>1674</v>
      </c>
      <c r="E210" s="337" t="s">
        <v>1217</v>
      </c>
      <c r="F210" s="337" t="s">
        <v>1223</v>
      </c>
      <c r="G210" s="338">
        <v>4</v>
      </c>
      <c r="H210" s="337" t="s">
        <v>2426</v>
      </c>
      <c r="I210" s="339"/>
    </row>
    <row r="211" spans="2:10" x14ac:dyDescent="0.4">
      <c r="B211" s="336" t="s">
        <v>1675</v>
      </c>
      <c r="C211" s="337" t="s">
        <v>1676</v>
      </c>
      <c r="D211" s="337" t="s">
        <v>1677</v>
      </c>
      <c r="E211" s="337" t="s">
        <v>1261</v>
      </c>
      <c r="F211" s="337" t="s">
        <v>1250</v>
      </c>
      <c r="G211" s="338">
        <v>1</v>
      </c>
      <c r="H211" s="337" t="s">
        <v>2468</v>
      </c>
      <c r="I211" s="339"/>
    </row>
    <row r="212" spans="2:10" x14ac:dyDescent="0.4">
      <c r="B212" s="336" t="s">
        <v>1679</v>
      </c>
      <c r="C212" s="337" t="s">
        <v>1680</v>
      </c>
      <c r="D212" s="337" t="s">
        <v>1681</v>
      </c>
      <c r="E212" s="337" t="s">
        <v>1261</v>
      </c>
      <c r="F212" s="337" t="s">
        <v>1246</v>
      </c>
      <c r="G212" s="339"/>
      <c r="H212" s="339"/>
      <c r="I212" s="339"/>
    </row>
    <row r="213" spans="2:10" x14ac:dyDescent="0.4">
      <c r="B213" s="332"/>
      <c r="C213" s="332" t="s">
        <v>2454</v>
      </c>
      <c r="D213" s="332"/>
      <c r="E213" s="332"/>
      <c r="F213" s="332"/>
      <c r="G213" s="332"/>
      <c r="H213" s="332"/>
      <c r="I213" s="332"/>
      <c r="J213" s="332"/>
    </row>
    <row r="214" spans="2:10" ht="19.5" x14ac:dyDescent="0.4">
      <c r="B214" s="333" t="s">
        <v>2382</v>
      </c>
      <c r="C214" s="334" t="s">
        <v>2383</v>
      </c>
      <c r="D214" s="334" t="s">
        <v>2384</v>
      </c>
      <c r="E214" s="335" t="s">
        <v>2385</v>
      </c>
      <c r="F214" s="334" t="s">
        <v>2389</v>
      </c>
      <c r="G214" s="334" t="s">
        <v>2386</v>
      </c>
      <c r="H214" s="334" t="s">
        <v>2387</v>
      </c>
      <c r="I214" s="334" t="s">
        <v>2388</v>
      </c>
    </row>
    <row r="215" spans="2:10" x14ac:dyDescent="0.4">
      <c r="B215" s="336" t="s">
        <v>1682</v>
      </c>
      <c r="C215" s="337" t="s">
        <v>1683</v>
      </c>
      <c r="D215" s="337" t="s">
        <v>1684</v>
      </c>
      <c r="E215" s="337" t="s">
        <v>1261</v>
      </c>
      <c r="F215" s="337" t="s">
        <v>1250</v>
      </c>
      <c r="G215" s="338">
        <v>2</v>
      </c>
      <c r="H215" s="337" t="s">
        <v>2475</v>
      </c>
      <c r="I215" s="339"/>
    </row>
    <row r="216" spans="2:10" ht="19.5" x14ac:dyDescent="0.4">
      <c r="B216" s="336" t="s">
        <v>1685</v>
      </c>
      <c r="C216" s="337" t="s">
        <v>1686</v>
      </c>
      <c r="D216" s="337" t="s">
        <v>1687</v>
      </c>
      <c r="E216" s="340"/>
      <c r="F216" s="340"/>
      <c r="G216" s="340"/>
      <c r="H216" s="340"/>
      <c r="I216" s="337" t="s">
        <v>2428</v>
      </c>
    </row>
    <row r="217" spans="2:10" x14ac:dyDescent="0.4">
      <c r="B217" s="336" t="s">
        <v>1688</v>
      </c>
      <c r="C217" s="337" t="s">
        <v>1689</v>
      </c>
      <c r="D217" s="337" t="s">
        <v>1690</v>
      </c>
      <c r="E217" s="337" t="s">
        <v>1261</v>
      </c>
      <c r="F217" s="337" t="s">
        <v>989</v>
      </c>
      <c r="G217" s="338">
        <v>4</v>
      </c>
      <c r="H217" s="337" t="s">
        <v>2475</v>
      </c>
      <c r="I217" s="339"/>
    </row>
    <row r="218" spans="2:10" x14ac:dyDescent="0.4">
      <c r="B218" s="336" t="s">
        <v>1691</v>
      </c>
      <c r="C218" s="337" t="s">
        <v>1692</v>
      </c>
      <c r="D218" s="337" t="s">
        <v>1693</v>
      </c>
      <c r="E218" s="337" t="s">
        <v>1268</v>
      </c>
      <c r="F218" s="337" t="s">
        <v>989</v>
      </c>
      <c r="G218" s="338">
        <v>4</v>
      </c>
      <c r="H218" s="337" t="s">
        <v>2434</v>
      </c>
      <c r="I218" s="339"/>
    </row>
    <row r="219" spans="2:10" x14ac:dyDescent="0.4">
      <c r="B219" s="336" t="s">
        <v>1694</v>
      </c>
      <c r="C219" s="337" t="s">
        <v>1695</v>
      </c>
      <c r="D219" s="337" t="s">
        <v>1696</v>
      </c>
      <c r="E219" s="337" t="s">
        <v>1268</v>
      </c>
      <c r="F219" s="337" t="s">
        <v>1250</v>
      </c>
      <c r="G219" s="338">
        <v>3</v>
      </c>
      <c r="H219" s="337" t="s">
        <v>2476</v>
      </c>
      <c r="I219" s="339"/>
    </row>
    <row r="220" spans="2:10" x14ac:dyDescent="0.4">
      <c r="B220" s="336" t="s">
        <v>1697</v>
      </c>
      <c r="C220" s="337" t="s">
        <v>1698</v>
      </c>
      <c r="D220" s="337" t="s">
        <v>1699</v>
      </c>
      <c r="E220" s="337" t="s">
        <v>1261</v>
      </c>
      <c r="F220" s="337" t="s">
        <v>1223</v>
      </c>
      <c r="G220" s="338">
        <v>2</v>
      </c>
      <c r="H220" s="337" t="s">
        <v>2477</v>
      </c>
      <c r="I220" s="339"/>
    </row>
    <row r="221" spans="2:10" x14ac:dyDescent="0.4">
      <c r="B221" s="336" t="s">
        <v>1700</v>
      </c>
      <c r="C221" s="337" t="s">
        <v>1701</v>
      </c>
      <c r="D221" s="337" t="s">
        <v>1702</v>
      </c>
      <c r="E221" s="337" t="s">
        <v>1261</v>
      </c>
      <c r="F221" s="337" t="s">
        <v>989</v>
      </c>
      <c r="G221" s="338">
        <v>2</v>
      </c>
      <c r="H221" s="337" t="s">
        <v>2478</v>
      </c>
      <c r="I221" s="339"/>
    </row>
    <row r="222" spans="2:10" x14ac:dyDescent="0.4">
      <c r="B222" s="336" t="s">
        <v>1703</v>
      </c>
      <c r="C222" s="337" t="s">
        <v>1704</v>
      </c>
      <c r="D222" s="337" t="s">
        <v>2479</v>
      </c>
      <c r="E222" s="340"/>
      <c r="F222" s="340"/>
      <c r="G222" s="340"/>
      <c r="H222" s="340"/>
      <c r="I222" s="337" t="s">
        <v>2428</v>
      </c>
    </row>
    <row r="223" spans="2:10" x14ac:dyDescent="0.4">
      <c r="B223" s="336" t="s">
        <v>1706</v>
      </c>
      <c r="C223" s="337" t="s">
        <v>1707</v>
      </c>
      <c r="D223" s="337" t="s">
        <v>1708</v>
      </c>
      <c r="E223" s="337" t="s">
        <v>1261</v>
      </c>
      <c r="F223" s="337" t="s">
        <v>1223</v>
      </c>
      <c r="G223" s="338">
        <v>3</v>
      </c>
      <c r="H223" s="337" t="s">
        <v>2480</v>
      </c>
      <c r="I223" s="339"/>
    </row>
    <row r="224" spans="2:10" x14ac:dyDescent="0.4">
      <c r="B224" s="336" t="s">
        <v>1709</v>
      </c>
      <c r="C224" s="337" t="s">
        <v>1710</v>
      </c>
      <c r="D224" s="337" t="s">
        <v>1711</v>
      </c>
      <c r="E224" s="337" t="s">
        <v>1261</v>
      </c>
      <c r="F224" s="337" t="s">
        <v>990</v>
      </c>
      <c r="G224" s="338">
        <v>1</v>
      </c>
      <c r="H224" s="337" t="s">
        <v>2480</v>
      </c>
      <c r="I224" s="339"/>
    </row>
    <row r="225" spans="2:9" x14ac:dyDescent="0.4">
      <c r="B225" s="336" t="s">
        <v>1712</v>
      </c>
      <c r="C225" s="337" t="s">
        <v>1713</v>
      </c>
      <c r="D225" s="337" t="s">
        <v>1714</v>
      </c>
      <c r="E225" s="337" t="s">
        <v>1261</v>
      </c>
      <c r="F225" s="337" t="s">
        <v>989</v>
      </c>
      <c r="G225" s="338">
        <v>5</v>
      </c>
      <c r="H225" s="339"/>
      <c r="I225" s="339"/>
    </row>
    <row r="226" spans="2:9" x14ac:dyDescent="0.4">
      <c r="B226" s="336" t="s">
        <v>1715</v>
      </c>
      <c r="C226" s="337" t="s">
        <v>1716</v>
      </c>
      <c r="D226" s="337" t="s">
        <v>1714</v>
      </c>
      <c r="E226" s="337" t="s">
        <v>1217</v>
      </c>
      <c r="F226" s="337" t="s">
        <v>989</v>
      </c>
      <c r="G226" s="338">
        <v>5</v>
      </c>
      <c r="H226" s="339"/>
      <c r="I226" s="339"/>
    </row>
    <row r="227" spans="2:9" x14ac:dyDescent="0.4">
      <c r="B227" s="336" t="s">
        <v>1717</v>
      </c>
      <c r="C227" s="337" t="s">
        <v>1718</v>
      </c>
      <c r="D227" s="337" t="s">
        <v>1714</v>
      </c>
      <c r="E227" s="337" t="s">
        <v>1261</v>
      </c>
      <c r="F227" s="337" t="s">
        <v>989</v>
      </c>
      <c r="G227" s="338">
        <v>5</v>
      </c>
      <c r="H227" s="339"/>
      <c r="I227" s="339"/>
    </row>
    <row r="228" spans="2:9" x14ac:dyDescent="0.4">
      <c r="B228" s="336" t="s">
        <v>1719</v>
      </c>
      <c r="C228" s="337" t="s">
        <v>1720</v>
      </c>
      <c r="D228" s="337" t="s">
        <v>1714</v>
      </c>
      <c r="E228" s="337" t="s">
        <v>1217</v>
      </c>
      <c r="F228" s="337" t="s">
        <v>989</v>
      </c>
      <c r="G228" s="338">
        <v>5</v>
      </c>
      <c r="H228" s="339"/>
      <c r="I228" s="339"/>
    </row>
    <row r="229" spans="2:9" ht="19.5" x14ac:dyDescent="0.4">
      <c r="B229" s="333" t="s">
        <v>2382</v>
      </c>
      <c r="C229" s="334" t="s">
        <v>2383</v>
      </c>
      <c r="D229" s="334" t="s">
        <v>2384</v>
      </c>
      <c r="E229" s="335" t="s">
        <v>2385</v>
      </c>
      <c r="F229" s="334" t="s">
        <v>2389</v>
      </c>
      <c r="G229" s="334" t="s">
        <v>2386</v>
      </c>
      <c r="H229" s="334" t="s">
        <v>2387</v>
      </c>
      <c r="I229" s="334" t="s">
        <v>2388</v>
      </c>
    </row>
    <row r="230" spans="2:9" x14ac:dyDescent="0.4">
      <c r="B230" s="336" t="s">
        <v>1721</v>
      </c>
      <c r="C230" s="337" t="s">
        <v>1722</v>
      </c>
      <c r="D230" s="337" t="s">
        <v>1714</v>
      </c>
      <c r="E230" s="337" t="s">
        <v>1217</v>
      </c>
      <c r="F230" s="337" t="s">
        <v>1223</v>
      </c>
      <c r="G230" s="338">
        <v>5</v>
      </c>
      <c r="H230" s="339"/>
      <c r="I230" s="339"/>
    </row>
    <row r="231" spans="2:9" x14ac:dyDescent="0.4">
      <c r="B231" s="336" t="s">
        <v>1723</v>
      </c>
      <c r="C231" s="337" t="s">
        <v>1724</v>
      </c>
      <c r="D231" s="337" t="s">
        <v>1714</v>
      </c>
      <c r="E231" s="337" t="s">
        <v>1261</v>
      </c>
      <c r="F231" s="337" t="s">
        <v>1246</v>
      </c>
      <c r="G231" s="339"/>
      <c r="H231" s="339"/>
      <c r="I231" s="339"/>
    </row>
    <row r="232" spans="2:9" ht="19.5" x14ac:dyDescent="0.4">
      <c r="B232" s="336" t="s">
        <v>1726</v>
      </c>
      <c r="C232" s="337" t="s">
        <v>1727</v>
      </c>
      <c r="D232" s="337" t="s">
        <v>1714</v>
      </c>
      <c r="E232" s="337" t="s">
        <v>1261</v>
      </c>
      <c r="F232" s="337" t="s">
        <v>1246</v>
      </c>
      <c r="G232" s="339"/>
      <c r="H232" s="339"/>
      <c r="I232" s="339"/>
    </row>
    <row r="233" spans="2:9" x14ac:dyDescent="0.4">
      <c r="B233" s="336" t="s">
        <v>1728</v>
      </c>
      <c r="C233" s="337" t="s">
        <v>1729</v>
      </c>
      <c r="D233" s="337" t="s">
        <v>1730</v>
      </c>
      <c r="E233" s="337" t="s">
        <v>1261</v>
      </c>
      <c r="F233" s="337" t="s">
        <v>989</v>
      </c>
      <c r="G233" s="338">
        <v>5</v>
      </c>
      <c r="H233" s="339"/>
      <c r="I233" s="339"/>
    </row>
    <row r="234" spans="2:9" x14ac:dyDescent="0.4">
      <c r="B234" s="336" t="s">
        <v>1731</v>
      </c>
      <c r="C234" s="337" t="s">
        <v>1732</v>
      </c>
      <c r="D234" s="337" t="s">
        <v>1730</v>
      </c>
      <c r="E234" s="337" t="s">
        <v>1217</v>
      </c>
      <c r="F234" s="337" t="s">
        <v>989</v>
      </c>
      <c r="G234" s="338">
        <v>5</v>
      </c>
      <c r="H234" s="339"/>
      <c r="I234" s="339"/>
    </row>
    <row r="235" spans="2:9" x14ac:dyDescent="0.4">
      <c r="B235" s="336" t="s">
        <v>1733</v>
      </c>
      <c r="C235" s="337" t="s">
        <v>1734</v>
      </c>
      <c r="D235" s="337" t="s">
        <v>1714</v>
      </c>
      <c r="E235" s="337" t="s">
        <v>1217</v>
      </c>
      <c r="F235" s="337" t="s">
        <v>1223</v>
      </c>
      <c r="G235" s="338">
        <v>5</v>
      </c>
      <c r="H235" s="339"/>
      <c r="I235" s="339"/>
    </row>
    <row r="236" spans="2:9" x14ac:dyDescent="0.4">
      <c r="B236" s="336" t="s">
        <v>1735</v>
      </c>
      <c r="C236" s="337" t="s">
        <v>1736</v>
      </c>
      <c r="D236" s="337" t="s">
        <v>1714</v>
      </c>
      <c r="E236" s="337" t="s">
        <v>1261</v>
      </c>
      <c r="F236" s="337" t="s">
        <v>1246</v>
      </c>
      <c r="G236" s="339"/>
      <c r="H236" s="339"/>
      <c r="I236" s="339"/>
    </row>
    <row r="237" spans="2:9" ht="19.5" x14ac:dyDescent="0.4">
      <c r="B237" s="336" t="s">
        <v>1738</v>
      </c>
      <c r="C237" s="337" t="s">
        <v>1739</v>
      </c>
      <c r="D237" s="337" t="s">
        <v>1714</v>
      </c>
      <c r="E237" s="337" t="s">
        <v>1261</v>
      </c>
      <c r="F237" s="337" t="s">
        <v>1557</v>
      </c>
      <c r="G237" s="339"/>
      <c r="H237" s="339"/>
      <c r="I237" s="339"/>
    </row>
    <row r="238" spans="2:9" x14ac:dyDescent="0.4">
      <c r="B238" s="336" t="s">
        <v>1740</v>
      </c>
      <c r="C238" s="337" t="s">
        <v>1741</v>
      </c>
      <c r="D238" s="337" t="s">
        <v>1742</v>
      </c>
      <c r="E238" s="337" t="s">
        <v>1261</v>
      </c>
      <c r="F238" s="337" t="s">
        <v>989</v>
      </c>
      <c r="G238" s="338">
        <v>5</v>
      </c>
      <c r="H238" s="339"/>
      <c r="I238" s="339"/>
    </row>
    <row r="239" spans="2:9" x14ac:dyDescent="0.4">
      <c r="B239" s="336" t="s">
        <v>1743</v>
      </c>
      <c r="C239" s="337" t="s">
        <v>1744</v>
      </c>
      <c r="D239" s="337" t="s">
        <v>1742</v>
      </c>
      <c r="E239" s="337" t="s">
        <v>1217</v>
      </c>
      <c r="F239" s="337" t="s">
        <v>989</v>
      </c>
      <c r="G239" s="338">
        <v>5</v>
      </c>
      <c r="H239" s="339"/>
      <c r="I239" s="339"/>
    </row>
    <row r="240" spans="2:9" x14ac:dyDescent="0.4">
      <c r="B240" s="336" t="s">
        <v>1745</v>
      </c>
      <c r="C240" s="337" t="s">
        <v>1746</v>
      </c>
      <c r="D240" s="337" t="s">
        <v>1714</v>
      </c>
      <c r="E240" s="337" t="s">
        <v>1261</v>
      </c>
      <c r="F240" s="337" t="s">
        <v>1246</v>
      </c>
      <c r="G240" s="339"/>
      <c r="H240" s="337" t="s">
        <v>2410</v>
      </c>
      <c r="I240" s="339"/>
    </row>
    <row r="241" spans="2:9" x14ac:dyDescent="0.4">
      <c r="B241" s="336" t="s">
        <v>1745</v>
      </c>
      <c r="C241" s="337" t="s">
        <v>1747</v>
      </c>
      <c r="D241" s="337" t="s">
        <v>1714</v>
      </c>
      <c r="E241" s="337" t="s">
        <v>1217</v>
      </c>
      <c r="F241" s="337" t="s">
        <v>1246</v>
      </c>
      <c r="G241" s="339"/>
      <c r="H241" s="337" t="s">
        <v>2410</v>
      </c>
      <c r="I241" s="339"/>
    </row>
    <row r="242" spans="2:9" x14ac:dyDescent="0.4">
      <c r="B242" s="336" t="s">
        <v>1748</v>
      </c>
      <c r="C242" s="337" t="s">
        <v>1749</v>
      </c>
      <c r="D242" s="337" t="s">
        <v>1714</v>
      </c>
      <c r="E242" s="337" t="s">
        <v>1261</v>
      </c>
      <c r="F242" s="337" t="s">
        <v>1246</v>
      </c>
      <c r="G242" s="339"/>
      <c r="H242" s="337" t="s">
        <v>2410</v>
      </c>
      <c r="I242" s="339"/>
    </row>
    <row r="243" spans="2:9" x14ac:dyDescent="0.4">
      <c r="B243" s="336" t="s">
        <v>1748</v>
      </c>
      <c r="C243" s="337" t="s">
        <v>1750</v>
      </c>
      <c r="D243" s="337" t="s">
        <v>1714</v>
      </c>
      <c r="E243" s="337" t="s">
        <v>1217</v>
      </c>
      <c r="F243" s="337" t="s">
        <v>1246</v>
      </c>
      <c r="G243" s="339"/>
      <c r="H243" s="337" t="s">
        <v>2410</v>
      </c>
      <c r="I243" s="339"/>
    </row>
    <row r="244" spans="2:9" x14ac:dyDescent="0.4">
      <c r="B244" s="336" t="s">
        <v>1751</v>
      </c>
      <c r="C244" s="337" t="s">
        <v>1752</v>
      </c>
      <c r="D244" s="337" t="s">
        <v>1714</v>
      </c>
      <c r="E244" s="337" t="s">
        <v>1261</v>
      </c>
      <c r="F244" s="337" t="s">
        <v>1246</v>
      </c>
      <c r="G244" s="339"/>
      <c r="H244" s="337" t="s">
        <v>2410</v>
      </c>
      <c r="I244" s="339"/>
    </row>
    <row r="245" spans="2:9" x14ac:dyDescent="0.4">
      <c r="B245" s="336" t="s">
        <v>1751</v>
      </c>
      <c r="C245" s="337" t="s">
        <v>1753</v>
      </c>
      <c r="D245" s="337" t="s">
        <v>1714</v>
      </c>
      <c r="E245" s="337" t="s">
        <v>1217</v>
      </c>
      <c r="F245" s="337" t="s">
        <v>1246</v>
      </c>
      <c r="G245" s="339"/>
      <c r="H245" s="337" t="s">
        <v>2410</v>
      </c>
      <c r="I245" s="339"/>
    </row>
    <row r="246" spans="2:9" x14ac:dyDescent="0.4">
      <c r="B246" s="336" t="s">
        <v>1754</v>
      </c>
      <c r="C246" s="337" t="s">
        <v>1755</v>
      </c>
      <c r="D246" s="337" t="s">
        <v>1714</v>
      </c>
      <c r="E246" s="337" t="s">
        <v>1261</v>
      </c>
      <c r="F246" s="337" t="s">
        <v>1246</v>
      </c>
      <c r="G246" s="339"/>
      <c r="H246" s="337" t="s">
        <v>2410</v>
      </c>
      <c r="I246" s="339"/>
    </row>
    <row r="247" spans="2:9" x14ac:dyDescent="0.4">
      <c r="B247" s="336" t="s">
        <v>1754</v>
      </c>
      <c r="C247" s="337" t="s">
        <v>1756</v>
      </c>
      <c r="D247" s="337" t="s">
        <v>1714</v>
      </c>
      <c r="E247" s="337" t="s">
        <v>1217</v>
      </c>
      <c r="F247" s="337" t="s">
        <v>1246</v>
      </c>
      <c r="G247" s="339"/>
      <c r="H247" s="337" t="s">
        <v>2410</v>
      </c>
      <c r="I247" s="339"/>
    </row>
    <row r="248" spans="2:9" x14ac:dyDescent="0.4">
      <c r="B248" s="336" t="s">
        <v>1757</v>
      </c>
      <c r="C248" s="337" t="s">
        <v>1758</v>
      </c>
      <c r="D248" s="337" t="s">
        <v>1714</v>
      </c>
      <c r="E248" s="337" t="s">
        <v>1261</v>
      </c>
      <c r="F248" s="337" t="s">
        <v>1246</v>
      </c>
      <c r="G248" s="339"/>
      <c r="H248" s="337" t="s">
        <v>2410</v>
      </c>
      <c r="I248" s="339"/>
    </row>
    <row r="249" spans="2:9" x14ac:dyDescent="0.4">
      <c r="B249" s="336" t="s">
        <v>1757</v>
      </c>
      <c r="C249" s="337" t="s">
        <v>1759</v>
      </c>
      <c r="D249" s="337" t="s">
        <v>1714</v>
      </c>
      <c r="E249" s="337" t="s">
        <v>1217</v>
      </c>
      <c r="F249" s="337" t="s">
        <v>1246</v>
      </c>
      <c r="G249" s="339"/>
      <c r="H249" s="337" t="s">
        <v>2410</v>
      </c>
      <c r="I249" s="339"/>
    </row>
    <row r="250" spans="2:9" x14ac:dyDescent="0.4">
      <c r="B250" s="336" t="s">
        <v>1760</v>
      </c>
      <c r="C250" s="337" t="s">
        <v>1761</v>
      </c>
      <c r="D250" s="337" t="s">
        <v>1714</v>
      </c>
      <c r="E250" s="337" t="s">
        <v>1261</v>
      </c>
      <c r="F250" s="337" t="s">
        <v>1246</v>
      </c>
      <c r="G250" s="339"/>
      <c r="H250" s="337" t="s">
        <v>2410</v>
      </c>
      <c r="I250" s="339"/>
    </row>
    <row r="251" spans="2:9" x14ac:dyDescent="0.4">
      <c r="B251" s="336" t="s">
        <v>1760</v>
      </c>
      <c r="C251" s="337" t="s">
        <v>1762</v>
      </c>
      <c r="D251" s="337" t="s">
        <v>1714</v>
      </c>
      <c r="E251" s="337" t="s">
        <v>1217</v>
      </c>
      <c r="F251" s="337" t="s">
        <v>1246</v>
      </c>
      <c r="G251" s="339"/>
      <c r="H251" s="337" t="s">
        <v>2410</v>
      </c>
      <c r="I251" s="339"/>
    </row>
    <row r="252" spans="2:9" x14ac:dyDescent="0.4">
      <c r="B252" s="336" t="s">
        <v>1763</v>
      </c>
      <c r="C252" s="337" t="s">
        <v>1764</v>
      </c>
      <c r="D252" s="337" t="s">
        <v>1765</v>
      </c>
      <c r="E252" s="337" t="s">
        <v>1261</v>
      </c>
      <c r="F252" s="337" t="s">
        <v>989</v>
      </c>
      <c r="G252" s="338">
        <v>3</v>
      </c>
      <c r="H252" s="337" t="s">
        <v>2419</v>
      </c>
      <c r="I252" s="339"/>
    </row>
    <row r="253" spans="2:9" x14ac:dyDescent="0.4">
      <c r="B253" s="336" t="s">
        <v>1766</v>
      </c>
      <c r="C253" s="337" t="s">
        <v>1767</v>
      </c>
      <c r="D253" s="337" t="s">
        <v>1325</v>
      </c>
      <c r="E253" s="337" t="s">
        <v>1217</v>
      </c>
      <c r="F253" s="337" t="s">
        <v>1218</v>
      </c>
      <c r="G253" s="338">
        <v>6</v>
      </c>
      <c r="H253" s="337" t="s">
        <v>2481</v>
      </c>
      <c r="I253" s="339"/>
    </row>
    <row r="254" spans="2:9" x14ac:dyDescent="0.4">
      <c r="B254" s="336" t="s">
        <v>1768</v>
      </c>
      <c r="C254" s="337" t="s">
        <v>2482</v>
      </c>
      <c r="D254" s="337" t="s">
        <v>2472</v>
      </c>
      <c r="E254" s="337" t="s">
        <v>1217</v>
      </c>
      <c r="F254" s="337" t="s">
        <v>1250</v>
      </c>
      <c r="G254" s="338">
        <v>2</v>
      </c>
      <c r="H254" s="337" t="s">
        <v>2483</v>
      </c>
      <c r="I254" s="339"/>
    </row>
    <row r="255" spans="2:9" x14ac:dyDescent="0.4">
      <c r="B255" s="336" t="s">
        <v>1768</v>
      </c>
      <c r="C255" s="337" t="s">
        <v>1769</v>
      </c>
      <c r="D255" s="337" t="s">
        <v>1770</v>
      </c>
      <c r="E255" s="337" t="s">
        <v>1217</v>
      </c>
      <c r="F255" s="337" t="s">
        <v>1250</v>
      </c>
      <c r="G255" s="338">
        <v>2</v>
      </c>
      <c r="H255" s="337" t="s">
        <v>2473</v>
      </c>
      <c r="I255" s="339"/>
    </row>
    <row r="256" spans="2:9" x14ac:dyDescent="0.4">
      <c r="B256" s="336" t="s">
        <v>1771</v>
      </c>
      <c r="C256" s="337" t="s">
        <v>1772</v>
      </c>
      <c r="D256" s="337" t="s">
        <v>1773</v>
      </c>
      <c r="E256" s="337" t="s">
        <v>1261</v>
      </c>
      <c r="F256" s="337" t="s">
        <v>989</v>
      </c>
      <c r="G256" s="338">
        <v>2</v>
      </c>
      <c r="H256" s="337" t="s">
        <v>2468</v>
      </c>
      <c r="I256" s="339"/>
    </row>
    <row r="257" spans="2:9" x14ac:dyDescent="0.4">
      <c r="B257" s="336" t="s">
        <v>1774</v>
      </c>
      <c r="C257" s="337" t="s">
        <v>1775</v>
      </c>
      <c r="D257" s="337" t="s">
        <v>1776</v>
      </c>
      <c r="E257" s="337" t="s">
        <v>1217</v>
      </c>
      <c r="F257" s="337" t="s">
        <v>990</v>
      </c>
      <c r="G257" s="338">
        <v>4</v>
      </c>
      <c r="H257" s="337" t="s">
        <v>2455</v>
      </c>
      <c r="I257" s="339"/>
    </row>
    <row r="258" spans="2:9" x14ac:dyDescent="0.4">
      <c r="B258" s="336" t="s">
        <v>1777</v>
      </c>
      <c r="C258" s="337" t="s">
        <v>1778</v>
      </c>
      <c r="D258" s="337" t="s">
        <v>1779</v>
      </c>
      <c r="E258" s="337" t="s">
        <v>1217</v>
      </c>
      <c r="F258" s="337" t="s">
        <v>990</v>
      </c>
      <c r="G258" s="338">
        <v>3</v>
      </c>
      <c r="H258" s="337" t="s">
        <v>2435</v>
      </c>
      <c r="I258" s="339"/>
    </row>
    <row r="259" spans="2:9" ht="22.5" customHeight="1" x14ac:dyDescent="0.4">
      <c r="B259" s="336" t="s">
        <v>1780</v>
      </c>
      <c r="C259" s="337" t="s">
        <v>1781</v>
      </c>
      <c r="D259" s="337" t="s">
        <v>2484</v>
      </c>
      <c r="E259" s="337" t="s">
        <v>1261</v>
      </c>
      <c r="F259" s="337" t="s">
        <v>1246</v>
      </c>
      <c r="G259" s="339"/>
      <c r="H259" s="337" t="s">
        <v>2473</v>
      </c>
      <c r="I259" s="337" t="s">
        <v>2485</v>
      </c>
    </row>
    <row r="260" spans="2:9" x14ac:dyDescent="0.4">
      <c r="B260" s="336" t="s">
        <v>1782</v>
      </c>
      <c r="C260" s="337" t="s">
        <v>1783</v>
      </c>
      <c r="D260" s="337" t="s">
        <v>1784</v>
      </c>
      <c r="E260" s="337" t="s">
        <v>1261</v>
      </c>
      <c r="F260" s="337" t="s">
        <v>1250</v>
      </c>
      <c r="G260" s="338">
        <v>4</v>
      </c>
      <c r="H260" s="337" t="s">
        <v>2476</v>
      </c>
      <c r="I260" s="339"/>
    </row>
    <row r="261" spans="2:9" ht="22.5" customHeight="1" x14ac:dyDescent="0.4">
      <c r="B261" s="336" t="s">
        <v>1785</v>
      </c>
      <c r="C261" s="337" t="s">
        <v>1786</v>
      </c>
      <c r="D261" s="337" t="s">
        <v>1787</v>
      </c>
      <c r="E261" s="337" t="s">
        <v>1261</v>
      </c>
      <c r="F261" s="337" t="s">
        <v>1223</v>
      </c>
      <c r="G261" s="338">
        <v>4</v>
      </c>
      <c r="H261" s="337" t="s">
        <v>2468</v>
      </c>
      <c r="I261" s="339"/>
    </row>
    <row r="262" spans="2:9" ht="19.5" x14ac:dyDescent="0.4">
      <c r="B262" s="336" t="s">
        <v>1788</v>
      </c>
      <c r="C262" s="337" t="s">
        <v>1789</v>
      </c>
      <c r="D262" s="337" t="s">
        <v>2486</v>
      </c>
      <c r="E262" s="337" t="s">
        <v>1261</v>
      </c>
      <c r="F262" s="337" t="s">
        <v>989</v>
      </c>
      <c r="G262" s="338">
        <v>5</v>
      </c>
      <c r="H262" s="337" t="s">
        <v>2473</v>
      </c>
      <c r="I262" s="339"/>
    </row>
    <row r="263" spans="2:9" x14ac:dyDescent="0.4">
      <c r="B263" s="336" t="s">
        <v>1791</v>
      </c>
      <c r="C263" s="337" t="s">
        <v>1792</v>
      </c>
      <c r="D263" s="337" t="s">
        <v>1793</v>
      </c>
      <c r="E263" s="340"/>
      <c r="F263" s="340"/>
      <c r="G263" s="340"/>
      <c r="H263" s="340"/>
      <c r="I263" s="337" t="s">
        <v>2428</v>
      </c>
    </row>
    <row r="264" spans="2:9" x14ac:dyDescent="0.4">
      <c r="B264" s="336" t="s">
        <v>1794</v>
      </c>
      <c r="C264" s="337" t="s">
        <v>1795</v>
      </c>
      <c r="D264" s="337" t="s">
        <v>1796</v>
      </c>
      <c r="E264" s="337" t="s">
        <v>1261</v>
      </c>
      <c r="F264" s="337" t="s">
        <v>1218</v>
      </c>
      <c r="G264" s="338">
        <v>1</v>
      </c>
      <c r="H264" s="337" t="s">
        <v>2435</v>
      </c>
      <c r="I264" s="339"/>
    </row>
    <row r="265" spans="2:9" x14ac:dyDescent="0.4">
      <c r="B265" s="336" t="s">
        <v>1797</v>
      </c>
      <c r="C265" s="337" t="s">
        <v>1798</v>
      </c>
      <c r="D265" s="337" t="s">
        <v>1665</v>
      </c>
      <c r="E265" s="337" t="s">
        <v>1261</v>
      </c>
      <c r="F265" s="337" t="s">
        <v>1246</v>
      </c>
      <c r="G265" s="339"/>
      <c r="H265" s="339"/>
      <c r="I265" s="339"/>
    </row>
    <row r="266" spans="2:9" ht="22.5" customHeight="1" x14ac:dyDescent="0.4">
      <c r="B266" s="336" t="s">
        <v>1799</v>
      </c>
      <c r="C266" s="337" t="s">
        <v>1800</v>
      </c>
      <c r="D266" s="337" t="s">
        <v>1787</v>
      </c>
      <c r="E266" s="337" t="s">
        <v>1261</v>
      </c>
      <c r="F266" s="337" t="s">
        <v>989</v>
      </c>
      <c r="G266" s="338">
        <v>6</v>
      </c>
      <c r="H266" s="339"/>
      <c r="I266" s="339"/>
    </row>
    <row r="267" spans="2:9" ht="22.5" customHeight="1" x14ac:dyDescent="0.4">
      <c r="B267" s="336" t="s">
        <v>1801</v>
      </c>
      <c r="C267" s="337" t="s">
        <v>1802</v>
      </c>
      <c r="D267" s="337" t="s">
        <v>1787</v>
      </c>
      <c r="E267" s="337" t="s">
        <v>1217</v>
      </c>
      <c r="F267" s="337" t="s">
        <v>990</v>
      </c>
      <c r="G267" s="338">
        <v>6</v>
      </c>
      <c r="H267" s="339"/>
      <c r="I267" s="339"/>
    </row>
    <row r="268" spans="2:9" x14ac:dyDescent="0.4">
      <c r="B268" s="336" t="s">
        <v>1803</v>
      </c>
      <c r="C268" s="337" t="s">
        <v>1804</v>
      </c>
      <c r="D268" s="337" t="s">
        <v>1805</v>
      </c>
      <c r="E268" s="337" t="s">
        <v>1261</v>
      </c>
      <c r="F268" s="337" t="s">
        <v>1223</v>
      </c>
      <c r="G268" s="338">
        <v>6</v>
      </c>
      <c r="H268" s="339"/>
      <c r="I268" s="339"/>
    </row>
    <row r="269" spans="2:9" ht="19.5" x14ac:dyDescent="0.4">
      <c r="B269" s="333" t="s">
        <v>2382</v>
      </c>
      <c r="C269" s="334" t="s">
        <v>2383</v>
      </c>
      <c r="D269" s="334" t="s">
        <v>2384</v>
      </c>
      <c r="E269" s="335" t="s">
        <v>2385</v>
      </c>
      <c r="F269" s="334" t="s">
        <v>2389</v>
      </c>
      <c r="G269" s="334" t="s">
        <v>2386</v>
      </c>
      <c r="H269" s="334" t="s">
        <v>2387</v>
      </c>
      <c r="I269" s="334" t="s">
        <v>2388</v>
      </c>
    </row>
    <row r="270" spans="2:9" x14ac:dyDescent="0.4">
      <c r="B270" s="336" t="s">
        <v>1806</v>
      </c>
      <c r="C270" s="337" t="s">
        <v>1807</v>
      </c>
      <c r="D270" s="337" t="s">
        <v>1805</v>
      </c>
      <c r="E270" s="337" t="s">
        <v>1217</v>
      </c>
      <c r="F270" s="337" t="s">
        <v>1250</v>
      </c>
      <c r="G270" s="338">
        <v>6</v>
      </c>
      <c r="H270" s="339"/>
      <c r="I270" s="339"/>
    </row>
    <row r="271" spans="2:9" ht="22.5" customHeight="1" x14ac:dyDescent="0.4">
      <c r="B271" s="336" t="s">
        <v>1808</v>
      </c>
      <c r="C271" s="337" t="s">
        <v>1809</v>
      </c>
      <c r="D271" s="337" t="s">
        <v>1787</v>
      </c>
      <c r="E271" s="337" t="s">
        <v>1217</v>
      </c>
      <c r="F271" s="337" t="s">
        <v>1223</v>
      </c>
      <c r="G271" s="338">
        <v>6</v>
      </c>
      <c r="H271" s="339"/>
      <c r="I271" s="339"/>
    </row>
    <row r="272" spans="2:9" ht="22.5" customHeight="1" x14ac:dyDescent="0.4">
      <c r="B272" s="336" t="s">
        <v>1810</v>
      </c>
      <c r="C272" s="337" t="s">
        <v>1811</v>
      </c>
      <c r="D272" s="337" t="s">
        <v>1787</v>
      </c>
      <c r="E272" s="337" t="s">
        <v>1261</v>
      </c>
      <c r="F272" s="337" t="s">
        <v>1218</v>
      </c>
      <c r="G272" s="338">
        <v>6</v>
      </c>
      <c r="H272" s="339"/>
      <c r="I272" s="339"/>
    </row>
    <row r="273" spans="2:10" x14ac:dyDescent="0.4">
      <c r="B273" s="336" t="s">
        <v>1812</v>
      </c>
      <c r="C273" s="337" t="s">
        <v>1813</v>
      </c>
      <c r="D273" s="337" t="s">
        <v>1814</v>
      </c>
      <c r="E273" s="337" t="s">
        <v>1261</v>
      </c>
      <c r="F273" s="337" t="s">
        <v>1223</v>
      </c>
      <c r="G273" s="338">
        <v>6</v>
      </c>
      <c r="H273" s="339"/>
      <c r="I273" s="339"/>
    </row>
    <row r="274" spans="2:10" x14ac:dyDescent="0.4">
      <c r="B274" s="336" t="s">
        <v>1815</v>
      </c>
      <c r="C274" s="337" t="s">
        <v>1816</v>
      </c>
      <c r="D274" s="337" t="s">
        <v>1814</v>
      </c>
      <c r="E274" s="337" t="s">
        <v>1217</v>
      </c>
      <c r="F274" s="337" t="s">
        <v>1250</v>
      </c>
      <c r="G274" s="338">
        <v>6</v>
      </c>
      <c r="H274" s="339"/>
      <c r="I274" s="339"/>
    </row>
    <row r="275" spans="2:10" ht="22.5" customHeight="1" x14ac:dyDescent="0.4">
      <c r="B275" s="336" t="s">
        <v>1817</v>
      </c>
      <c r="C275" s="337" t="s">
        <v>1818</v>
      </c>
      <c r="D275" s="337" t="s">
        <v>1787</v>
      </c>
      <c r="E275" s="337" t="s">
        <v>1261</v>
      </c>
      <c r="F275" s="337" t="s">
        <v>1246</v>
      </c>
      <c r="G275" s="339"/>
      <c r="H275" s="337" t="s">
        <v>2410</v>
      </c>
      <c r="I275" s="339"/>
    </row>
    <row r="276" spans="2:10" ht="22.5" customHeight="1" x14ac:dyDescent="0.4">
      <c r="B276" s="336" t="s">
        <v>1817</v>
      </c>
      <c r="C276" s="337" t="s">
        <v>1819</v>
      </c>
      <c r="D276" s="337" t="s">
        <v>1787</v>
      </c>
      <c r="E276" s="337" t="s">
        <v>1217</v>
      </c>
      <c r="F276" s="337" t="s">
        <v>1246</v>
      </c>
      <c r="G276" s="339"/>
      <c r="H276" s="337" t="s">
        <v>2410</v>
      </c>
      <c r="I276" s="339"/>
    </row>
    <row r="277" spans="2:10" ht="22.5" customHeight="1" x14ac:dyDescent="0.4">
      <c r="B277" s="336" t="s">
        <v>1820</v>
      </c>
      <c r="C277" s="337" t="s">
        <v>1821</v>
      </c>
      <c r="D277" s="337" t="s">
        <v>1787</v>
      </c>
      <c r="E277" s="337" t="s">
        <v>1261</v>
      </c>
      <c r="F277" s="337" t="s">
        <v>1246</v>
      </c>
      <c r="G277" s="339"/>
      <c r="H277" s="337" t="s">
        <v>2410</v>
      </c>
      <c r="I277" s="339"/>
    </row>
    <row r="278" spans="2:10" ht="22.5" customHeight="1" x14ac:dyDescent="0.4">
      <c r="B278" s="336" t="s">
        <v>1820</v>
      </c>
      <c r="C278" s="337" t="s">
        <v>1822</v>
      </c>
      <c r="D278" s="337" t="s">
        <v>1787</v>
      </c>
      <c r="E278" s="337" t="s">
        <v>1217</v>
      </c>
      <c r="F278" s="337" t="s">
        <v>1246</v>
      </c>
      <c r="G278" s="339"/>
      <c r="H278" s="337" t="s">
        <v>2410</v>
      </c>
      <c r="I278" s="339"/>
    </row>
    <row r="279" spans="2:10" ht="22.5" customHeight="1" x14ac:dyDescent="0.4">
      <c r="B279" s="336" t="s">
        <v>1823</v>
      </c>
      <c r="C279" s="337" t="s">
        <v>1824</v>
      </c>
      <c r="D279" s="337" t="s">
        <v>1787</v>
      </c>
      <c r="E279" s="337" t="s">
        <v>1261</v>
      </c>
      <c r="F279" s="337" t="s">
        <v>1246</v>
      </c>
      <c r="G279" s="339"/>
      <c r="H279" s="337" t="s">
        <v>2410</v>
      </c>
      <c r="I279" s="339"/>
    </row>
    <row r="280" spans="2:10" ht="19.5" x14ac:dyDescent="0.4">
      <c r="B280" s="336" t="s">
        <v>1823</v>
      </c>
      <c r="C280" s="337" t="s">
        <v>1825</v>
      </c>
      <c r="D280" s="337" t="s">
        <v>1787</v>
      </c>
      <c r="E280" s="337" t="s">
        <v>1217</v>
      </c>
      <c r="F280" s="337" t="s">
        <v>1246</v>
      </c>
      <c r="G280" s="339"/>
      <c r="H280" s="337" t="s">
        <v>2410</v>
      </c>
      <c r="I280" s="339"/>
    </row>
    <row r="281" spans="2:10" x14ac:dyDescent="0.4">
      <c r="B281" s="341"/>
      <c r="C281" s="341" t="s">
        <v>2444</v>
      </c>
      <c r="D281" s="342"/>
      <c r="E281" s="342"/>
      <c r="F281" s="342"/>
      <c r="G281" s="342"/>
      <c r="H281" s="342"/>
      <c r="I281" s="342"/>
      <c r="J281" s="342"/>
    </row>
    <row r="282" spans="2:10" ht="19.5" x14ac:dyDescent="0.4">
      <c r="B282" s="333" t="s">
        <v>2382</v>
      </c>
      <c r="C282" s="334" t="s">
        <v>2383</v>
      </c>
      <c r="D282" s="334" t="s">
        <v>2384</v>
      </c>
      <c r="E282" s="335" t="s">
        <v>2385</v>
      </c>
      <c r="F282" s="334" t="s">
        <v>2389</v>
      </c>
      <c r="G282" s="334" t="s">
        <v>2386</v>
      </c>
      <c r="H282" s="334" t="s">
        <v>2387</v>
      </c>
      <c r="I282" s="334" t="s">
        <v>2388</v>
      </c>
    </row>
    <row r="283" spans="2:10" x14ac:dyDescent="0.4">
      <c r="B283" s="336" t="s">
        <v>1826</v>
      </c>
      <c r="C283" s="337" t="s">
        <v>1827</v>
      </c>
      <c r="D283" s="337" t="s">
        <v>1338</v>
      </c>
      <c r="E283" s="337" t="s">
        <v>1217</v>
      </c>
      <c r="F283" s="337" t="s">
        <v>990</v>
      </c>
      <c r="G283" s="338">
        <v>3</v>
      </c>
      <c r="H283" s="337" t="s">
        <v>2423</v>
      </c>
      <c r="I283" s="339"/>
    </row>
    <row r="284" spans="2:10" x14ac:dyDescent="0.4">
      <c r="B284" s="336" t="s">
        <v>1828</v>
      </c>
      <c r="C284" s="337" t="s">
        <v>1829</v>
      </c>
      <c r="D284" s="337" t="s">
        <v>1341</v>
      </c>
      <c r="E284" s="340"/>
      <c r="F284" s="340"/>
      <c r="G284" s="340"/>
      <c r="H284" s="340"/>
      <c r="I284" s="337" t="s">
        <v>2428</v>
      </c>
    </row>
    <row r="285" spans="2:10" x14ac:dyDescent="0.4">
      <c r="B285" s="336" t="s">
        <v>1830</v>
      </c>
      <c r="C285" s="337" t="s">
        <v>1831</v>
      </c>
      <c r="D285" s="337" t="s">
        <v>1344</v>
      </c>
      <c r="E285" s="337" t="s">
        <v>1261</v>
      </c>
      <c r="F285" s="337" t="s">
        <v>990</v>
      </c>
      <c r="G285" s="338">
        <v>1</v>
      </c>
      <c r="H285" s="337" t="s">
        <v>2423</v>
      </c>
      <c r="I285" s="339"/>
    </row>
    <row r="286" spans="2:10" x14ac:dyDescent="0.4">
      <c r="B286" s="336" t="s">
        <v>1832</v>
      </c>
      <c r="C286" s="337" t="s">
        <v>1833</v>
      </c>
      <c r="D286" s="337" t="s">
        <v>1834</v>
      </c>
      <c r="E286" s="340"/>
      <c r="F286" s="340"/>
      <c r="G286" s="340"/>
      <c r="H286" s="340"/>
      <c r="I286" s="337" t="s">
        <v>2428</v>
      </c>
    </row>
    <row r="287" spans="2:10" x14ac:dyDescent="0.4">
      <c r="B287" s="336" t="s">
        <v>1835</v>
      </c>
      <c r="C287" s="337" t="s">
        <v>1836</v>
      </c>
      <c r="D287" s="337" t="s">
        <v>1347</v>
      </c>
      <c r="E287" s="337" t="s">
        <v>1217</v>
      </c>
      <c r="F287" s="337" t="s">
        <v>1250</v>
      </c>
      <c r="G287" s="338">
        <v>2</v>
      </c>
      <c r="H287" s="337" t="s">
        <v>2452</v>
      </c>
      <c r="I287" s="339"/>
    </row>
    <row r="288" spans="2:10" x14ac:dyDescent="0.4">
      <c r="B288" s="336" t="s">
        <v>1837</v>
      </c>
      <c r="C288" s="337" t="s">
        <v>1838</v>
      </c>
      <c r="D288" s="337" t="s">
        <v>1350</v>
      </c>
      <c r="E288" s="340"/>
      <c r="F288" s="340"/>
      <c r="G288" s="340"/>
      <c r="H288" s="340"/>
      <c r="I288" s="337" t="s">
        <v>2428</v>
      </c>
    </row>
    <row r="289" spans="2:10" x14ac:dyDescent="0.4">
      <c r="B289" s="336" t="s">
        <v>1839</v>
      </c>
      <c r="C289" s="337" t="s">
        <v>1840</v>
      </c>
      <c r="D289" s="337" t="s">
        <v>1841</v>
      </c>
      <c r="E289" s="337" t="s">
        <v>1261</v>
      </c>
      <c r="F289" s="337" t="s">
        <v>989</v>
      </c>
      <c r="G289" s="338">
        <v>1</v>
      </c>
      <c r="H289" s="337" t="s">
        <v>2438</v>
      </c>
      <c r="I289" s="339"/>
    </row>
    <row r="290" spans="2:10" x14ac:dyDescent="0.4">
      <c r="B290" s="336" t="s">
        <v>1842</v>
      </c>
      <c r="C290" s="337" t="s">
        <v>1843</v>
      </c>
      <c r="D290" s="337" t="s">
        <v>1844</v>
      </c>
      <c r="E290" s="337" t="s">
        <v>1217</v>
      </c>
      <c r="F290" s="337" t="s">
        <v>1223</v>
      </c>
      <c r="G290" s="338">
        <v>1</v>
      </c>
      <c r="H290" s="337" t="s">
        <v>2438</v>
      </c>
      <c r="I290" s="339"/>
    </row>
    <row r="291" spans="2:10" x14ac:dyDescent="0.4">
      <c r="B291" s="336" t="s">
        <v>1845</v>
      </c>
      <c r="C291" s="337" t="s">
        <v>1846</v>
      </c>
      <c r="D291" s="337" t="s">
        <v>1847</v>
      </c>
      <c r="E291" s="337" t="s">
        <v>1261</v>
      </c>
      <c r="F291" s="337" t="s">
        <v>1218</v>
      </c>
      <c r="G291" s="338">
        <v>2</v>
      </c>
      <c r="H291" s="337" t="s">
        <v>2439</v>
      </c>
      <c r="I291" s="339"/>
    </row>
    <row r="292" spans="2:10" x14ac:dyDescent="0.4">
      <c r="B292" s="336" t="s">
        <v>1848</v>
      </c>
      <c r="C292" s="337" t="s">
        <v>1849</v>
      </c>
      <c r="D292" s="337" t="s">
        <v>1850</v>
      </c>
      <c r="E292" s="337" t="s">
        <v>1261</v>
      </c>
      <c r="F292" s="337" t="s">
        <v>990</v>
      </c>
      <c r="G292" s="338">
        <v>1</v>
      </c>
      <c r="H292" s="337" t="s">
        <v>2438</v>
      </c>
      <c r="I292" s="339"/>
    </row>
    <row r="293" spans="2:10" x14ac:dyDescent="0.4">
      <c r="B293" s="336" t="s">
        <v>1851</v>
      </c>
      <c r="C293" s="337" t="s">
        <v>1852</v>
      </c>
      <c r="D293" s="337" t="s">
        <v>1853</v>
      </c>
      <c r="E293" s="337" t="s">
        <v>1217</v>
      </c>
      <c r="F293" s="337" t="s">
        <v>1223</v>
      </c>
      <c r="G293" s="338">
        <v>3</v>
      </c>
      <c r="H293" s="337" t="s">
        <v>2426</v>
      </c>
      <c r="I293" s="339"/>
    </row>
    <row r="294" spans="2:10" x14ac:dyDescent="0.4">
      <c r="B294" s="336" t="s">
        <v>1854</v>
      </c>
      <c r="C294" s="337" t="s">
        <v>1855</v>
      </c>
      <c r="D294" s="337" t="s">
        <v>1856</v>
      </c>
      <c r="E294" s="337" t="s">
        <v>1217</v>
      </c>
      <c r="F294" s="337" t="s">
        <v>1218</v>
      </c>
      <c r="G294" s="338">
        <v>2</v>
      </c>
      <c r="H294" s="337" t="s">
        <v>2438</v>
      </c>
      <c r="I294" s="339"/>
    </row>
    <row r="295" spans="2:10" x14ac:dyDescent="0.4">
      <c r="B295" s="336" t="s">
        <v>1857</v>
      </c>
      <c r="C295" s="337" t="s">
        <v>1858</v>
      </c>
      <c r="D295" s="337" t="s">
        <v>1850</v>
      </c>
      <c r="E295" s="337" t="s">
        <v>1261</v>
      </c>
      <c r="F295" s="337" t="s">
        <v>989</v>
      </c>
      <c r="G295" s="338">
        <v>4</v>
      </c>
      <c r="H295" s="337" t="s">
        <v>2438</v>
      </c>
      <c r="I295" s="339"/>
    </row>
    <row r="296" spans="2:10" x14ac:dyDescent="0.4">
      <c r="B296" s="336" t="s">
        <v>1857</v>
      </c>
      <c r="C296" s="337" t="s">
        <v>1859</v>
      </c>
      <c r="D296" s="337" t="s">
        <v>1850</v>
      </c>
      <c r="E296" s="337" t="s">
        <v>1217</v>
      </c>
      <c r="F296" s="337" t="s">
        <v>989</v>
      </c>
      <c r="G296" s="338">
        <v>4</v>
      </c>
      <c r="H296" s="337" t="s">
        <v>2438</v>
      </c>
      <c r="I296" s="339"/>
    </row>
    <row r="297" spans="2:10" x14ac:dyDescent="0.4">
      <c r="B297" s="336" t="s">
        <v>1860</v>
      </c>
      <c r="C297" s="337" t="s">
        <v>1861</v>
      </c>
      <c r="D297" s="337" t="s">
        <v>1850</v>
      </c>
      <c r="E297" s="337" t="s">
        <v>1261</v>
      </c>
      <c r="F297" s="337" t="s">
        <v>989</v>
      </c>
      <c r="G297" s="338">
        <v>4</v>
      </c>
      <c r="H297" s="337" t="s">
        <v>2438</v>
      </c>
      <c r="I297" s="339"/>
    </row>
    <row r="298" spans="2:10" x14ac:dyDescent="0.4">
      <c r="B298" s="336" t="s">
        <v>1860</v>
      </c>
      <c r="C298" s="337" t="s">
        <v>1862</v>
      </c>
      <c r="D298" s="337" t="s">
        <v>1850</v>
      </c>
      <c r="E298" s="337" t="s">
        <v>1217</v>
      </c>
      <c r="F298" s="337" t="s">
        <v>989</v>
      </c>
      <c r="G298" s="338">
        <v>4</v>
      </c>
      <c r="H298" s="337" t="s">
        <v>2438</v>
      </c>
      <c r="I298" s="339"/>
    </row>
    <row r="299" spans="2:10" x14ac:dyDescent="0.4">
      <c r="B299" s="336" t="s">
        <v>1863</v>
      </c>
      <c r="C299" s="337" t="s">
        <v>1864</v>
      </c>
      <c r="D299" s="337" t="s">
        <v>1865</v>
      </c>
      <c r="E299" s="337" t="s">
        <v>1217</v>
      </c>
      <c r="F299" s="337" t="s">
        <v>1246</v>
      </c>
      <c r="G299" s="339"/>
      <c r="H299" s="337" t="s">
        <v>2443</v>
      </c>
      <c r="I299" s="339"/>
    </row>
    <row r="300" spans="2:10" x14ac:dyDescent="0.4">
      <c r="B300" s="336" t="s">
        <v>1866</v>
      </c>
      <c r="C300" s="337" t="s">
        <v>1867</v>
      </c>
      <c r="D300" s="337" t="s">
        <v>1281</v>
      </c>
      <c r="E300" s="337" t="s">
        <v>1261</v>
      </c>
      <c r="F300" s="337" t="s">
        <v>1223</v>
      </c>
      <c r="G300" s="338">
        <v>2</v>
      </c>
      <c r="H300" s="337" t="s">
        <v>2419</v>
      </c>
      <c r="I300" s="339"/>
    </row>
    <row r="301" spans="2:10" x14ac:dyDescent="0.4">
      <c r="B301" s="336" t="s">
        <v>1868</v>
      </c>
      <c r="C301" s="337" t="s">
        <v>1869</v>
      </c>
      <c r="D301" s="337" t="s">
        <v>1870</v>
      </c>
      <c r="E301" s="337" t="s">
        <v>1261</v>
      </c>
      <c r="F301" s="337" t="s">
        <v>1250</v>
      </c>
      <c r="G301" s="338">
        <v>2</v>
      </c>
      <c r="H301" s="337" t="s">
        <v>2440</v>
      </c>
      <c r="I301" s="339"/>
    </row>
    <row r="302" spans="2:10" x14ac:dyDescent="0.4">
      <c r="B302" s="336" t="s">
        <v>1871</v>
      </c>
      <c r="C302" s="337" t="s">
        <v>1872</v>
      </c>
      <c r="D302" s="337" t="s">
        <v>1873</v>
      </c>
      <c r="E302" s="337" t="s">
        <v>1217</v>
      </c>
      <c r="F302" s="337" t="s">
        <v>990</v>
      </c>
      <c r="G302" s="338">
        <v>2</v>
      </c>
      <c r="H302" s="337" t="s">
        <v>2392</v>
      </c>
      <c r="I302" s="339"/>
    </row>
    <row r="303" spans="2:10" x14ac:dyDescent="0.4">
      <c r="B303" s="336" t="s">
        <v>1966</v>
      </c>
      <c r="C303" s="337" t="s">
        <v>1878</v>
      </c>
      <c r="D303" s="337" t="s">
        <v>1879</v>
      </c>
      <c r="E303" s="337" t="s">
        <v>1261</v>
      </c>
      <c r="F303" s="337" t="s">
        <v>990</v>
      </c>
      <c r="G303" s="338">
        <v>1</v>
      </c>
      <c r="H303" s="337" t="s">
        <v>2487</v>
      </c>
      <c r="I303" s="339"/>
    </row>
    <row r="304" spans="2:10" ht="18" customHeight="1" x14ac:dyDescent="0.4">
      <c r="B304" s="332"/>
      <c r="C304" s="332" t="s">
        <v>2488</v>
      </c>
      <c r="D304" s="332"/>
      <c r="E304" s="332"/>
      <c r="F304" s="332"/>
      <c r="G304" s="332"/>
      <c r="H304" s="332"/>
      <c r="I304" s="332"/>
      <c r="J304" s="332"/>
    </row>
    <row r="305" spans="2:9" ht="19.5" x14ac:dyDescent="0.4">
      <c r="B305" s="333" t="s">
        <v>2382</v>
      </c>
      <c r="C305" s="334" t="s">
        <v>2383</v>
      </c>
      <c r="D305" s="334" t="s">
        <v>2384</v>
      </c>
      <c r="E305" s="335" t="s">
        <v>2385</v>
      </c>
      <c r="F305" s="334" t="s">
        <v>2389</v>
      </c>
      <c r="G305" s="334" t="s">
        <v>2386</v>
      </c>
      <c r="H305" s="334" t="s">
        <v>2387</v>
      </c>
      <c r="I305" s="334" t="s">
        <v>2388</v>
      </c>
    </row>
    <row r="306" spans="2:9" x14ac:dyDescent="0.4">
      <c r="B306" s="336" t="s">
        <v>1880</v>
      </c>
      <c r="C306" s="337" t="s">
        <v>1881</v>
      </c>
      <c r="D306" s="337" t="s">
        <v>1882</v>
      </c>
      <c r="E306" s="337" t="s">
        <v>1261</v>
      </c>
      <c r="F306" s="337" t="s">
        <v>1883</v>
      </c>
      <c r="G306" s="339"/>
      <c r="H306" s="339"/>
      <c r="I306" s="339"/>
    </row>
    <row r="307" spans="2:9" x14ac:dyDescent="0.4">
      <c r="B307" s="336" t="s">
        <v>1884</v>
      </c>
      <c r="C307" s="337" t="s">
        <v>1885</v>
      </c>
      <c r="D307" s="337" t="s">
        <v>1882</v>
      </c>
      <c r="E307" s="337" t="s">
        <v>1217</v>
      </c>
      <c r="F307" s="337" t="s">
        <v>1883</v>
      </c>
      <c r="G307" s="339"/>
      <c r="H307" s="339"/>
      <c r="I307" s="339"/>
    </row>
    <row r="308" spans="2:9" x14ac:dyDescent="0.4">
      <c r="B308" s="336" t="s">
        <v>1886</v>
      </c>
      <c r="C308" s="337" t="s">
        <v>1887</v>
      </c>
      <c r="D308" s="337" t="s">
        <v>1882</v>
      </c>
      <c r="E308" s="337" t="s">
        <v>1261</v>
      </c>
      <c r="F308" s="337" t="s">
        <v>1883</v>
      </c>
      <c r="G308" s="339"/>
      <c r="H308" s="339"/>
      <c r="I308" s="339"/>
    </row>
    <row r="309" spans="2:9" x14ac:dyDescent="0.4">
      <c r="B309" s="336" t="s">
        <v>1888</v>
      </c>
      <c r="C309" s="337" t="s">
        <v>1889</v>
      </c>
      <c r="D309" s="337" t="s">
        <v>1882</v>
      </c>
      <c r="E309" s="337" t="s">
        <v>1217</v>
      </c>
      <c r="F309" s="337" t="s">
        <v>1883</v>
      </c>
      <c r="G309" s="339"/>
      <c r="H309" s="339"/>
      <c r="I309" s="339"/>
    </row>
    <row r="310" spans="2:9" x14ac:dyDescent="0.4">
      <c r="B310" s="336" t="s">
        <v>1890</v>
      </c>
      <c r="C310" s="337" t="s">
        <v>1891</v>
      </c>
      <c r="D310" s="337" t="s">
        <v>1882</v>
      </c>
      <c r="E310" s="337" t="s">
        <v>1261</v>
      </c>
      <c r="F310" s="337" t="s">
        <v>1883</v>
      </c>
      <c r="G310" s="339"/>
      <c r="H310" s="339"/>
      <c r="I310" s="339"/>
    </row>
    <row r="311" spans="2:9" x14ac:dyDescent="0.4">
      <c r="B311" s="336" t="s">
        <v>1892</v>
      </c>
      <c r="C311" s="337" t="s">
        <v>1893</v>
      </c>
      <c r="D311" s="337" t="s">
        <v>1882</v>
      </c>
      <c r="E311" s="337" t="s">
        <v>1217</v>
      </c>
      <c r="F311" s="337" t="s">
        <v>1883</v>
      </c>
      <c r="G311" s="339"/>
      <c r="H311" s="339"/>
      <c r="I311" s="339"/>
    </row>
    <row r="312" spans="2:9" x14ac:dyDescent="0.4">
      <c r="B312" s="336" t="s">
        <v>1894</v>
      </c>
      <c r="C312" s="337" t="s">
        <v>1895</v>
      </c>
      <c r="D312" s="337" t="s">
        <v>1882</v>
      </c>
      <c r="E312" s="337" t="s">
        <v>1261</v>
      </c>
      <c r="F312" s="337" t="s">
        <v>1883</v>
      </c>
      <c r="G312" s="339"/>
      <c r="H312" s="339"/>
      <c r="I312" s="339"/>
    </row>
    <row r="313" spans="2:9" x14ac:dyDescent="0.4">
      <c r="B313" s="336" t="s">
        <v>1896</v>
      </c>
      <c r="C313" s="337" t="s">
        <v>1897</v>
      </c>
      <c r="D313" s="337" t="s">
        <v>1882</v>
      </c>
      <c r="E313" s="337" t="s">
        <v>1217</v>
      </c>
      <c r="F313" s="337" t="s">
        <v>1883</v>
      </c>
      <c r="G313" s="339"/>
      <c r="H313" s="339"/>
      <c r="I313" s="339"/>
    </row>
    <row r="314" spans="2:9" x14ac:dyDescent="0.4">
      <c r="B314" s="336" t="s">
        <v>1898</v>
      </c>
      <c r="C314" s="337" t="s">
        <v>1899</v>
      </c>
      <c r="D314" s="337" t="s">
        <v>1882</v>
      </c>
      <c r="E314" s="337" t="s">
        <v>1261</v>
      </c>
      <c r="F314" s="337" t="s">
        <v>1883</v>
      </c>
      <c r="G314" s="339"/>
      <c r="H314" s="337" t="s">
        <v>2410</v>
      </c>
      <c r="I314" s="339"/>
    </row>
    <row r="315" spans="2:9" x14ac:dyDescent="0.4">
      <c r="B315" s="336" t="s">
        <v>1898</v>
      </c>
      <c r="C315" s="337" t="s">
        <v>1900</v>
      </c>
      <c r="D315" s="337" t="s">
        <v>1882</v>
      </c>
      <c r="E315" s="337" t="s">
        <v>1217</v>
      </c>
      <c r="F315" s="337" t="s">
        <v>1883</v>
      </c>
      <c r="G315" s="339"/>
      <c r="H315" s="337" t="s">
        <v>2410</v>
      </c>
      <c r="I315" s="339"/>
    </row>
    <row r="316" spans="2:9" x14ac:dyDescent="0.4">
      <c r="B316" s="336" t="s">
        <v>1901</v>
      </c>
      <c r="C316" s="337" t="s">
        <v>1902</v>
      </c>
      <c r="D316" s="337" t="s">
        <v>1338</v>
      </c>
      <c r="E316" s="340"/>
      <c r="F316" s="340"/>
      <c r="G316" s="340"/>
      <c r="H316" s="340"/>
      <c r="I316" s="337" t="s">
        <v>2428</v>
      </c>
    </row>
    <row r="317" spans="2:9" x14ac:dyDescent="0.4">
      <c r="B317" s="336" t="s">
        <v>1903</v>
      </c>
      <c r="C317" s="337" t="s">
        <v>1904</v>
      </c>
      <c r="D317" s="337" t="s">
        <v>1341</v>
      </c>
      <c r="E317" s="340"/>
      <c r="F317" s="340"/>
      <c r="G317" s="340"/>
      <c r="H317" s="340"/>
      <c r="I317" s="337" t="s">
        <v>2428</v>
      </c>
    </row>
    <row r="318" spans="2:9" x14ac:dyDescent="0.4">
      <c r="B318" s="336" t="s">
        <v>1905</v>
      </c>
      <c r="C318" s="337" t="s">
        <v>1906</v>
      </c>
      <c r="D318" s="337" t="s">
        <v>1344</v>
      </c>
      <c r="E318" s="340"/>
      <c r="F318" s="340"/>
      <c r="G318" s="340"/>
      <c r="H318" s="340"/>
      <c r="I318" s="337" t="s">
        <v>2428</v>
      </c>
    </row>
    <row r="319" spans="2:9" x14ac:dyDescent="0.4">
      <c r="B319" s="336" t="s">
        <v>1907</v>
      </c>
      <c r="C319" s="337" t="s">
        <v>1908</v>
      </c>
      <c r="D319" s="337" t="s">
        <v>1347</v>
      </c>
      <c r="E319" s="337" t="s">
        <v>1261</v>
      </c>
      <c r="F319" s="337" t="s">
        <v>1883</v>
      </c>
      <c r="G319" s="339"/>
      <c r="H319" s="339"/>
      <c r="I319" s="339"/>
    </row>
    <row r="320" spans="2:9" x14ac:dyDescent="0.4">
      <c r="B320" s="336" t="s">
        <v>1909</v>
      </c>
      <c r="C320" s="337" t="s">
        <v>1910</v>
      </c>
      <c r="D320" s="337" t="s">
        <v>1834</v>
      </c>
      <c r="E320" s="337" t="s">
        <v>1217</v>
      </c>
      <c r="F320" s="337" t="s">
        <v>1883</v>
      </c>
      <c r="G320" s="339"/>
      <c r="H320" s="339"/>
      <c r="I320" s="339"/>
    </row>
    <row r="321" spans="2:10" x14ac:dyDescent="0.4">
      <c r="B321" s="336" t="s">
        <v>1911</v>
      </c>
      <c r="C321" s="337" t="s">
        <v>1912</v>
      </c>
      <c r="D321" s="337" t="s">
        <v>1338</v>
      </c>
      <c r="E321" s="337" t="s">
        <v>1261</v>
      </c>
      <c r="F321" s="337" t="s">
        <v>1883</v>
      </c>
      <c r="G321" s="339"/>
      <c r="H321" s="339"/>
      <c r="I321" s="339"/>
    </row>
    <row r="322" spans="2:10" ht="18" customHeight="1" x14ac:dyDescent="0.4">
      <c r="B322" s="332"/>
      <c r="C322" s="332" t="s">
        <v>2489</v>
      </c>
      <c r="D322" s="332"/>
      <c r="E322" s="332"/>
      <c r="F322" s="332"/>
      <c r="G322" s="332"/>
      <c r="H322" s="332"/>
      <c r="I322" s="332"/>
      <c r="J322" s="332"/>
    </row>
    <row r="323" spans="2:10" ht="19.5" x14ac:dyDescent="0.4">
      <c r="B323" s="333" t="s">
        <v>2382</v>
      </c>
      <c r="C323" s="334" t="s">
        <v>2383</v>
      </c>
      <c r="D323" s="334" t="s">
        <v>2384</v>
      </c>
      <c r="E323" s="335" t="s">
        <v>2385</v>
      </c>
      <c r="F323" s="334" t="s">
        <v>2389</v>
      </c>
      <c r="G323" s="334" t="s">
        <v>2386</v>
      </c>
      <c r="H323" s="334" t="s">
        <v>2387</v>
      </c>
      <c r="I323" s="334" t="s">
        <v>2388</v>
      </c>
    </row>
    <row r="324" spans="2:10" x14ac:dyDescent="0.4">
      <c r="B324" s="336" t="s">
        <v>1913</v>
      </c>
      <c r="C324" s="337" t="s">
        <v>1914</v>
      </c>
      <c r="D324" s="337" t="s">
        <v>1915</v>
      </c>
      <c r="E324" s="340"/>
      <c r="F324" s="340"/>
      <c r="G324" s="340"/>
      <c r="H324" s="340"/>
      <c r="I324" s="337" t="s">
        <v>2428</v>
      </c>
    </row>
    <row r="325" spans="2:10" x14ac:dyDescent="0.4">
      <c r="B325" s="336" t="s">
        <v>1916</v>
      </c>
      <c r="C325" s="337" t="s">
        <v>1917</v>
      </c>
      <c r="D325" s="337" t="s">
        <v>1918</v>
      </c>
      <c r="E325" s="337" t="s">
        <v>1217</v>
      </c>
      <c r="F325" s="337" t="s">
        <v>990</v>
      </c>
      <c r="G325" s="338">
        <v>1</v>
      </c>
      <c r="H325" s="337" t="s">
        <v>2438</v>
      </c>
      <c r="I325" s="339"/>
    </row>
    <row r="326" spans="2:10" x14ac:dyDescent="0.4">
      <c r="B326" s="336" t="s">
        <v>1919</v>
      </c>
      <c r="C326" s="337" t="s">
        <v>1920</v>
      </c>
      <c r="D326" s="337" t="s">
        <v>1921</v>
      </c>
      <c r="E326" s="337" t="s">
        <v>1217</v>
      </c>
      <c r="F326" s="337" t="s">
        <v>990</v>
      </c>
      <c r="G326" s="338">
        <v>2</v>
      </c>
      <c r="H326" s="337" t="s">
        <v>2439</v>
      </c>
      <c r="I326" s="339"/>
    </row>
    <row r="327" spans="2:10" x14ac:dyDescent="0.4">
      <c r="B327" s="336" t="s">
        <v>1922</v>
      </c>
      <c r="C327" s="337" t="s">
        <v>1923</v>
      </c>
      <c r="D327" s="337" t="s">
        <v>1924</v>
      </c>
      <c r="E327" s="340"/>
      <c r="F327" s="340"/>
      <c r="G327" s="340"/>
      <c r="H327" s="340"/>
      <c r="I327" s="337" t="s">
        <v>2428</v>
      </c>
    </row>
    <row r="328" spans="2:10" x14ac:dyDescent="0.4">
      <c r="B328" s="336" t="s">
        <v>1925</v>
      </c>
      <c r="C328" s="337" t="s">
        <v>1926</v>
      </c>
      <c r="D328" s="337" t="s">
        <v>1927</v>
      </c>
      <c r="E328" s="340"/>
      <c r="F328" s="340"/>
      <c r="G328" s="340"/>
      <c r="H328" s="340"/>
      <c r="I328" s="337" t="s">
        <v>2428</v>
      </c>
    </row>
    <row r="329" spans="2:10" x14ac:dyDescent="0.4">
      <c r="B329" s="336" t="s">
        <v>1928</v>
      </c>
      <c r="C329" s="337" t="s">
        <v>1929</v>
      </c>
      <c r="D329" s="337" t="s">
        <v>1930</v>
      </c>
      <c r="E329" s="337" t="s">
        <v>1261</v>
      </c>
      <c r="F329" s="337" t="s">
        <v>1246</v>
      </c>
      <c r="G329" s="339"/>
      <c r="H329" s="337" t="s">
        <v>2438</v>
      </c>
      <c r="I329" s="339"/>
    </row>
    <row r="330" spans="2:10" x14ac:dyDescent="0.4">
      <c r="B330" s="336" t="s">
        <v>1931</v>
      </c>
      <c r="C330" s="337" t="s">
        <v>1932</v>
      </c>
      <c r="D330" s="337" t="s">
        <v>2490</v>
      </c>
      <c r="E330" s="337" t="s">
        <v>1217</v>
      </c>
      <c r="F330" s="337" t="s">
        <v>1246</v>
      </c>
      <c r="G330" s="339"/>
      <c r="H330" s="337" t="s">
        <v>2438</v>
      </c>
      <c r="I330" s="339"/>
    </row>
    <row r="331" spans="2:10" x14ac:dyDescent="0.4">
      <c r="B331" s="336" t="s">
        <v>1934</v>
      </c>
      <c r="C331" s="337" t="s">
        <v>1935</v>
      </c>
      <c r="D331" s="337" t="s">
        <v>1936</v>
      </c>
      <c r="E331" s="337" t="s">
        <v>1937</v>
      </c>
      <c r="F331" s="337" t="s">
        <v>1250</v>
      </c>
      <c r="G331" s="338">
        <v>5</v>
      </c>
      <c r="H331" s="339"/>
      <c r="I331" s="337" t="s">
        <v>1938</v>
      </c>
    </row>
    <row r="332" spans="2:10" x14ac:dyDescent="0.4">
      <c r="B332" s="336" t="s">
        <v>1939</v>
      </c>
      <c r="C332" s="337" t="s">
        <v>1940</v>
      </c>
      <c r="D332" s="337" t="s">
        <v>2491</v>
      </c>
      <c r="E332" s="337" t="s">
        <v>1261</v>
      </c>
      <c r="F332" s="337" t="s">
        <v>1246</v>
      </c>
      <c r="G332" s="339"/>
      <c r="H332" s="337" t="s">
        <v>2438</v>
      </c>
      <c r="I332" s="339"/>
    </row>
    <row r="333" spans="2:10" x14ac:dyDescent="0.4">
      <c r="B333" s="336" t="s">
        <v>1942</v>
      </c>
      <c r="C333" s="337" t="s">
        <v>1943</v>
      </c>
      <c r="D333" s="337" t="s">
        <v>1944</v>
      </c>
      <c r="E333" s="337" t="s">
        <v>1261</v>
      </c>
      <c r="F333" s="337" t="s">
        <v>989</v>
      </c>
      <c r="G333" s="338">
        <v>6</v>
      </c>
      <c r="H333" s="339"/>
      <c r="I333" s="339"/>
    </row>
    <row r="334" spans="2:10" x14ac:dyDescent="0.4">
      <c r="B334" s="336" t="s">
        <v>1945</v>
      </c>
      <c r="C334" s="337" t="s">
        <v>1946</v>
      </c>
      <c r="D334" s="337" t="s">
        <v>1944</v>
      </c>
      <c r="E334" s="337" t="s">
        <v>1217</v>
      </c>
      <c r="F334" s="337" t="s">
        <v>989</v>
      </c>
      <c r="G334" s="338">
        <v>6</v>
      </c>
      <c r="H334" s="339"/>
      <c r="I334" s="339"/>
    </row>
    <row r="335" spans="2:10" x14ac:dyDescent="0.4">
      <c r="B335" s="336" t="s">
        <v>1947</v>
      </c>
      <c r="C335" s="337" t="s">
        <v>1948</v>
      </c>
      <c r="D335" s="337" t="s">
        <v>1944</v>
      </c>
      <c r="E335" s="337" t="s">
        <v>1261</v>
      </c>
      <c r="F335" s="337" t="s">
        <v>1218</v>
      </c>
      <c r="G335" s="338">
        <v>5</v>
      </c>
      <c r="H335" s="339"/>
      <c r="I335" s="339"/>
    </row>
    <row r="336" spans="2:10" x14ac:dyDescent="0.4">
      <c r="B336" s="336" t="s">
        <v>1949</v>
      </c>
      <c r="C336" s="337" t="s">
        <v>1950</v>
      </c>
      <c r="D336" s="337" t="s">
        <v>1944</v>
      </c>
      <c r="E336" s="337" t="s">
        <v>1217</v>
      </c>
      <c r="F336" s="337" t="s">
        <v>1218</v>
      </c>
      <c r="G336" s="338">
        <v>5</v>
      </c>
      <c r="H336" s="339"/>
      <c r="I336" s="339"/>
    </row>
    <row r="337" spans="2:10" x14ac:dyDescent="0.4">
      <c r="B337" s="336" t="s">
        <v>1951</v>
      </c>
      <c r="C337" s="337" t="s">
        <v>1952</v>
      </c>
      <c r="D337" s="337" t="s">
        <v>1944</v>
      </c>
      <c r="E337" s="337" t="s">
        <v>1261</v>
      </c>
      <c r="F337" s="337" t="s">
        <v>990</v>
      </c>
      <c r="G337" s="338">
        <v>5</v>
      </c>
      <c r="H337" s="339"/>
      <c r="I337" s="339"/>
    </row>
    <row r="338" spans="2:10" x14ac:dyDescent="0.4">
      <c r="B338" s="336" t="s">
        <v>1953</v>
      </c>
      <c r="C338" s="337" t="s">
        <v>1954</v>
      </c>
      <c r="D338" s="337" t="s">
        <v>1944</v>
      </c>
      <c r="E338" s="337" t="s">
        <v>1217</v>
      </c>
      <c r="F338" s="337" t="s">
        <v>990</v>
      </c>
      <c r="G338" s="338">
        <v>5</v>
      </c>
      <c r="H338" s="339"/>
      <c r="I338" s="339"/>
    </row>
    <row r="339" spans="2:10" ht="19.5" x14ac:dyDescent="0.4">
      <c r="B339" s="336" t="s">
        <v>1955</v>
      </c>
      <c r="C339" s="337" t="s">
        <v>1956</v>
      </c>
      <c r="D339" s="337" t="s">
        <v>1944</v>
      </c>
      <c r="E339" s="337" t="s">
        <v>1937</v>
      </c>
      <c r="F339" s="337" t="s">
        <v>1883</v>
      </c>
      <c r="G339" s="339"/>
      <c r="H339" s="339"/>
      <c r="I339" s="337" t="s">
        <v>1938</v>
      </c>
    </row>
    <row r="340" spans="2:10" x14ac:dyDescent="0.4">
      <c r="B340" s="336" t="s">
        <v>1957</v>
      </c>
      <c r="C340" s="337" t="s">
        <v>1958</v>
      </c>
      <c r="D340" s="337" t="s">
        <v>1944</v>
      </c>
      <c r="E340" s="337" t="s">
        <v>1261</v>
      </c>
      <c r="F340" s="337" t="s">
        <v>1246</v>
      </c>
      <c r="G340" s="339"/>
      <c r="H340" s="337" t="s">
        <v>2410</v>
      </c>
      <c r="I340" s="339"/>
    </row>
    <row r="341" spans="2:10" x14ac:dyDescent="0.4">
      <c r="B341" s="336" t="s">
        <v>1957</v>
      </c>
      <c r="C341" s="337" t="s">
        <v>1959</v>
      </c>
      <c r="D341" s="337" t="s">
        <v>1944</v>
      </c>
      <c r="E341" s="337" t="s">
        <v>1217</v>
      </c>
      <c r="F341" s="337" t="s">
        <v>1246</v>
      </c>
      <c r="G341" s="339"/>
      <c r="H341" s="337" t="s">
        <v>2410</v>
      </c>
      <c r="I341" s="339"/>
    </row>
    <row r="342" spans="2:10" x14ac:dyDescent="0.4">
      <c r="B342" s="336" t="s">
        <v>1002</v>
      </c>
      <c r="C342" s="337" t="s">
        <v>1961</v>
      </c>
      <c r="D342" s="337" t="s">
        <v>1944</v>
      </c>
      <c r="E342" s="337" t="s">
        <v>1261</v>
      </c>
      <c r="F342" s="337" t="s">
        <v>1246</v>
      </c>
      <c r="G342" s="339"/>
      <c r="H342" s="337" t="s">
        <v>2410</v>
      </c>
      <c r="I342" s="339"/>
    </row>
    <row r="343" spans="2:10" x14ac:dyDescent="0.4">
      <c r="B343" s="336" t="s">
        <v>1960</v>
      </c>
      <c r="C343" s="337" t="s">
        <v>1962</v>
      </c>
      <c r="D343" s="337" t="s">
        <v>1944</v>
      </c>
      <c r="E343" s="337" t="s">
        <v>1217</v>
      </c>
      <c r="F343" s="337" t="s">
        <v>1246</v>
      </c>
      <c r="G343" s="339"/>
      <c r="H343" s="337" t="s">
        <v>2410</v>
      </c>
      <c r="I343" s="339"/>
    </row>
    <row r="344" spans="2:10" x14ac:dyDescent="0.4">
      <c r="B344" s="336" t="s">
        <v>1963</v>
      </c>
      <c r="C344" s="337" t="s">
        <v>1964</v>
      </c>
      <c r="D344" s="337" t="s">
        <v>1944</v>
      </c>
      <c r="E344" s="337" t="s">
        <v>1261</v>
      </c>
      <c r="F344" s="337" t="s">
        <v>1246</v>
      </c>
      <c r="G344" s="339"/>
      <c r="H344" s="337" t="s">
        <v>2410</v>
      </c>
      <c r="I344" s="339"/>
    </row>
    <row r="345" spans="2:10" x14ac:dyDescent="0.4">
      <c r="B345" s="336" t="s">
        <v>1963</v>
      </c>
      <c r="C345" s="337" t="s">
        <v>1965</v>
      </c>
      <c r="D345" s="337" t="s">
        <v>1944</v>
      </c>
      <c r="E345" s="337" t="s">
        <v>1217</v>
      </c>
      <c r="F345" s="337" t="s">
        <v>1246</v>
      </c>
      <c r="G345" s="339"/>
      <c r="H345" s="337" t="s">
        <v>2410</v>
      </c>
      <c r="I345" s="339"/>
    </row>
    <row r="346" spans="2:10" ht="18" customHeight="1" x14ac:dyDescent="0.4">
      <c r="B346" s="332"/>
      <c r="C346" s="332" t="s">
        <v>2280</v>
      </c>
      <c r="D346" s="332"/>
      <c r="E346" s="332"/>
      <c r="F346" s="332"/>
      <c r="G346" s="332"/>
      <c r="H346" s="332"/>
      <c r="I346" s="332"/>
      <c r="J346" s="332"/>
    </row>
    <row r="347" spans="2:10" ht="19.5" x14ac:dyDescent="0.4">
      <c r="B347" s="333" t="s">
        <v>2382</v>
      </c>
      <c r="C347" s="334" t="s">
        <v>2383</v>
      </c>
      <c r="D347" s="334" t="s">
        <v>2384</v>
      </c>
      <c r="E347" s="335" t="s">
        <v>2385</v>
      </c>
      <c r="F347" s="334" t="s">
        <v>2389</v>
      </c>
      <c r="G347" s="334" t="s">
        <v>2386</v>
      </c>
      <c r="H347" s="334" t="s">
        <v>2387</v>
      </c>
      <c r="I347" s="334" t="s">
        <v>2388</v>
      </c>
    </row>
    <row r="348" spans="2:10" x14ac:dyDescent="0.4">
      <c r="B348" s="336" t="s">
        <v>1967</v>
      </c>
      <c r="C348" s="337" t="s">
        <v>1968</v>
      </c>
      <c r="D348" s="337" t="s">
        <v>1969</v>
      </c>
      <c r="E348" s="337" t="s">
        <v>1261</v>
      </c>
      <c r="F348" s="337" t="s">
        <v>1218</v>
      </c>
      <c r="G348" s="338">
        <v>1</v>
      </c>
      <c r="H348" s="337" t="s">
        <v>938</v>
      </c>
      <c r="I348" s="339"/>
    </row>
    <row r="349" spans="2:10" x14ac:dyDescent="0.4">
      <c r="B349" s="336" t="s">
        <v>1970</v>
      </c>
      <c r="C349" s="337" t="s">
        <v>1971</v>
      </c>
      <c r="D349" s="337" t="s">
        <v>2492</v>
      </c>
      <c r="E349" s="337" t="s">
        <v>1261</v>
      </c>
      <c r="F349" s="337" t="s">
        <v>989</v>
      </c>
      <c r="G349" s="338">
        <v>2</v>
      </c>
      <c r="H349" s="337" t="s">
        <v>2443</v>
      </c>
      <c r="I349" s="339"/>
    </row>
    <row r="350" spans="2:10" x14ac:dyDescent="0.4">
      <c r="B350" s="336" t="s">
        <v>966</v>
      </c>
      <c r="C350" s="337" t="s">
        <v>2493</v>
      </c>
      <c r="D350" s="337" t="s">
        <v>2494</v>
      </c>
      <c r="E350" s="337" t="s">
        <v>1261</v>
      </c>
      <c r="F350" s="337" t="s">
        <v>1246</v>
      </c>
      <c r="G350" s="339"/>
      <c r="H350" s="337" t="s">
        <v>2487</v>
      </c>
      <c r="I350" s="337" t="s">
        <v>2495</v>
      </c>
    </row>
    <row r="351" spans="2:10" x14ac:dyDescent="0.4">
      <c r="B351" s="336" t="s">
        <v>953</v>
      </c>
      <c r="C351" s="337" t="s">
        <v>1875</v>
      </c>
      <c r="D351" s="337" t="s">
        <v>1876</v>
      </c>
      <c r="E351" s="337" t="s">
        <v>1217</v>
      </c>
      <c r="F351" s="337" t="s">
        <v>989</v>
      </c>
      <c r="G351" s="338">
        <v>1</v>
      </c>
      <c r="H351" s="337" t="s">
        <v>2440</v>
      </c>
      <c r="I351" s="339"/>
    </row>
    <row r="352" spans="2:10" ht="19.5" x14ac:dyDescent="0.4">
      <c r="B352" s="336" t="s">
        <v>1973</v>
      </c>
      <c r="C352" s="337" t="s">
        <v>1974</v>
      </c>
      <c r="D352" s="337" t="s">
        <v>1975</v>
      </c>
      <c r="E352" s="337" t="s">
        <v>1261</v>
      </c>
      <c r="F352" s="337" t="s">
        <v>1246</v>
      </c>
      <c r="G352" s="339"/>
      <c r="H352" s="337" t="s">
        <v>2496</v>
      </c>
      <c r="I352" s="337" t="s">
        <v>2497</v>
      </c>
    </row>
    <row r="353" spans="2:9" x14ac:dyDescent="0.4">
      <c r="B353" s="336" t="s">
        <v>1976</v>
      </c>
      <c r="C353" s="337" t="s">
        <v>1977</v>
      </c>
      <c r="D353" s="337" t="s">
        <v>1978</v>
      </c>
      <c r="E353" s="337" t="s">
        <v>1217</v>
      </c>
      <c r="F353" s="337" t="s">
        <v>990</v>
      </c>
      <c r="G353" s="338">
        <v>1</v>
      </c>
      <c r="H353" s="337" t="s">
        <v>2443</v>
      </c>
      <c r="I353" s="339"/>
    </row>
    <row r="354" spans="2:9" x14ac:dyDescent="0.4">
      <c r="B354" s="336" t="s">
        <v>1979</v>
      </c>
      <c r="C354" s="337" t="s">
        <v>1980</v>
      </c>
      <c r="D354" s="337" t="s">
        <v>1981</v>
      </c>
      <c r="E354" s="337" t="s">
        <v>1261</v>
      </c>
      <c r="F354" s="337" t="s">
        <v>1223</v>
      </c>
      <c r="G354" s="338">
        <v>1</v>
      </c>
      <c r="H354" s="337" t="s">
        <v>2440</v>
      </c>
      <c r="I354" s="339"/>
    </row>
    <row r="355" spans="2:9" ht="19.5" x14ac:dyDescent="0.4">
      <c r="B355" s="336" t="s">
        <v>1982</v>
      </c>
      <c r="C355" s="337" t="s">
        <v>1983</v>
      </c>
      <c r="D355" s="337" t="s">
        <v>1984</v>
      </c>
      <c r="E355" s="337" t="s">
        <v>1217</v>
      </c>
      <c r="F355" s="337" t="s">
        <v>1246</v>
      </c>
      <c r="G355" s="339"/>
      <c r="H355" s="337" t="s">
        <v>2496</v>
      </c>
      <c r="I355" s="339"/>
    </row>
    <row r="356" spans="2:9" x14ac:dyDescent="0.4">
      <c r="B356" s="336" t="s">
        <v>1985</v>
      </c>
      <c r="C356" s="337" t="s">
        <v>1986</v>
      </c>
      <c r="D356" s="337" t="s">
        <v>2498</v>
      </c>
      <c r="E356" s="340"/>
      <c r="F356" s="340"/>
      <c r="G356" s="340"/>
      <c r="H356" s="340"/>
      <c r="I356" s="337" t="s">
        <v>2428</v>
      </c>
    </row>
    <row r="357" spans="2:9" x14ac:dyDescent="0.4">
      <c r="B357" s="336" t="s">
        <v>2499</v>
      </c>
      <c r="C357" s="337" t="s">
        <v>2500</v>
      </c>
      <c r="D357" s="337" t="s">
        <v>2033</v>
      </c>
      <c r="E357" s="337" t="s">
        <v>1261</v>
      </c>
      <c r="F357" s="337" t="s">
        <v>1246</v>
      </c>
      <c r="G357" s="339"/>
      <c r="H357" s="337" t="s">
        <v>2501</v>
      </c>
      <c r="I357" s="339"/>
    </row>
    <row r="358" spans="2:9" x14ac:dyDescent="0.4">
      <c r="B358" s="336" t="s">
        <v>1988</v>
      </c>
      <c r="C358" s="337" t="s">
        <v>1989</v>
      </c>
      <c r="D358" s="337" t="s">
        <v>1990</v>
      </c>
      <c r="E358" s="337" t="s">
        <v>1217</v>
      </c>
      <c r="F358" s="337" t="s">
        <v>1250</v>
      </c>
      <c r="G358" s="338">
        <v>4</v>
      </c>
      <c r="H358" s="337" t="s">
        <v>2443</v>
      </c>
      <c r="I358" s="339"/>
    </row>
    <row r="359" spans="2:9" x14ac:dyDescent="0.4">
      <c r="B359" s="336" t="s">
        <v>1991</v>
      </c>
      <c r="C359" s="337" t="s">
        <v>1992</v>
      </c>
      <c r="D359" s="337" t="s">
        <v>1993</v>
      </c>
      <c r="E359" s="337" t="s">
        <v>1261</v>
      </c>
      <c r="F359" s="337" t="s">
        <v>1218</v>
      </c>
      <c r="G359" s="338">
        <v>2</v>
      </c>
      <c r="H359" s="337" t="s">
        <v>2496</v>
      </c>
      <c r="I359" s="339"/>
    </row>
    <row r="360" spans="2:9" x14ac:dyDescent="0.4">
      <c r="B360" s="336" t="s">
        <v>1877</v>
      </c>
      <c r="C360" s="337" t="s">
        <v>2502</v>
      </c>
      <c r="D360" s="337" t="s">
        <v>2503</v>
      </c>
      <c r="E360" s="337" t="s">
        <v>1217</v>
      </c>
      <c r="F360" s="337" t="s">
        <v>1223</v>
      </c>
      <c r="G360" s="338">
        <v>2</v>
      </c>
      <c r="H360" s="337" t="s">
        <v>2440</v>
      </c>
      <c r="I360" s="339"/>
    </row>
    <row r="361" spans="2:9" ht="19.5" x14ac:dyDescent="0.4">
      <c r="B361" s="336" t="s">
        <v>1994</v>
      </c>
      <c r="C361" s="337" t="s">
        <v>1995</v>
      </c>
      <c r="D361" s="337" t="s">
        <v>2008</v>
      </c>
      <c r="E361" s="337" t="s">
        <v>1261</v>
      </c>
      <c r="F361" s="337" t="s">
        <v>990</v>
      </c>
      <c r="G361" s="338">
        <v>3</v>
      </c>
      <c r="H361" s="337" t="s">
        <v>2437</v>
      </c>
      <c r="I361" s="337" t="s">
        <v>2504</v>
      </c>
    </row>
    <row r="362" spans="2:9" x14ac:dyDescent="0.4">
      <c r="B362" s="336" t="s">
        <v>1997</v>
      </c>
      <c r="C362" s="337" t="s">
        <v>1998</v>
      </c>
      <c r="D362" s="337" t="s">
        <v>1999</v>
      </c>
      <c r="E362" s="337" t="s">
        <v>1261</v>
      </c>
      <c r="F362" s="337" t="s">
        <v>1223</v>
      </c>
      <c r="G362" s="338">
        <v>1</v>
      </c>
      <c r="H362" s="337" t="s">
        <v>2443</v>
      </c>
      <c r="I362" s="339"/>
    </row>
    <row r="363" spans="2:9" x14ac:dyDescent="0.4">
      <c r="B363" s="336" t="s">
        <v>2000</v>
      </c>
      <c r="C363" s="337" t="s">
        <v>2001</v>
      </c>
      <c r="D363" s="337" t="s">
        <v>2002</v>
      </c>
      <c r="E363" s="337" t="s">
        <v>1261</v>
      </c>
      <c r="F363" s="337" t="s">
        <v>1250</v>
      </c>
      <c r="G363" s="338">
        <v>1</v>
      </c>
      <c r="H363" s="337" t="s">
        <v>2443</v>
      </c>
      <c r="I363" s="339"/>
    </row>
    <row r="364" spans="2:9" ht="19.5" x14ac:dyDescent="0.4">
      <c r="B364" s="336" t="s">
        <v>2003</v>
      </c>
      <c r="C364" s="337" t="s">
        <v>2004</v>
      </c>
      <c r="D364" s="337" t="s">
        <v>2005</v>
      </c>
      <c r="E364" s="337" t="s">
        <v>1217</v>
      </c>
      <c r="F364" s="337" t="s">
        <v>989</v>
      </c>
      <c r="G364" s="338">
        <v>1</v>
      </c>
      <c r="H364" s="337" t="s">
        <v>2443</v>
      </c>
      <c r="I364" s="339"/>
    </row>
    <row r="365" spans="2:9" ht="19.5" x14ac:dyDescent="0.4">
      <c r="B365" s="336" t="s">
        <v>1003</v>
      </c>
      <c r="C365" s="337" t="s">
        <v>2007</v>
      </c>
      <c r="D365" s="337" t="s">
        <v>2008</v>
      </c>
      <c r="E365" s="337" t="s">
        <v>1261</v>
      </c>
      <c r="F365" s="337" t="s">
        <v>1218</v>
      </c>
      <c r="G365" s="338">
        <v>2</v>
      </c>
      <c r="H365" s="337" t="s">
        <v>2440</v>
      </c>
      <c r="I365" s="339"/>
    </row>
    <row r="366" spans="2:9" x14ac:dyDescent="0.4">
      <c r="B366" s="336" t="s">
        <v>2009</v>
      </c>
      <c r="C366" s="337" t="s">
        <v>2010</v>
      </c>
      <c r="D366" s="337" t="s">
        <v>2011</v>
      </c>
      <c r="E366" s="337" t="s">
        <v>1217</v>
      </c>
      <c r="F366" s="337" t="s">
        <v>1218</v>
      </c>
      <c r="G366" s="338">
        <v>1</v>
      </c>
      <c r="H366" s="337" t="s">
        <v>2487</v>
      </c>
      <c r="I366" s="339"/>
    </row>
    <row r="367" spans="2:9" x14ac:dyDescent="0.4">
      <c r="B367" s="336" t="s">
        <v>2012</v>
      </c>
      <c r="C367" s="337" t="s">
        <v>2013</v>
      </c>
      <c r="D367" s="337" t="s">
        <v>2505</v>
      </c>
      <c r="E367" s="337" t="s">
        <v>1217</v>
      </c>
      <c r="F367" s="337" t="s">
        <v>1250</v>
      </c>
      <c r="G367" s="338">
        <v>3</v>
      </c>
      <c r="H367" s="339"/>
      <c r="I367" s="339"/>
    </row>
    <row r="368" spans="2:9" x14ac:dyDescent="0.4">
      <c r="B368" s="336" t="s">
        <v>2015</v>
      </c>
      <c r="C368" s="337" t="s">
        <v>2016</v>
      </c>
      <c r="D368" s="337" t="s">
        <v>2505</v>
      </c>
      <c r="E368" s="337" t="s">
        <v>1217</v>
      </c>
      <c r="F368" s="337" t="s">
        <v>1250</v>
      </c>
      <c r="G368" s="338">
        <v>3</v>
      </c>
      <c r="H368" s="339"/>
      <c r="I368" s="339"/>
    </row>
    <row r="369" spans="2:9" x14ac:dyDescent="0.4">
      <c r="B369" s="336" t="s">
        <v>2017</v>
      </c>
      <c r="C369" s="337" t="s">
        <v>2018</v>
      </c>
      <c r="D369" s="337" t="s">
        <v>2506</v>
      </c>
      <c r="E369" s="337" t="s">
        <v>1217</v>
      </c>
      <c r="F369" s="337" t="s">
        <v>1250</v>
      </c>
      <c r="G369" s="338">
        <v>3</v>
      </c>
      <c r="H369" s="339"/>
      <c r="I369" s="339"/>
    </row>
    <row r="370" spans="2:9" x14ac:dyDescent="0.4">
      <c r="B370" s="336" t="s">
        <v>2019</v>
      </c>
      <c r="C370" s="337" t="s">
        <v>2020</v>
      </c>
      <c r="D370" s="337" t="s">
        <v>2506</v>
      </c>
      <c r="E370" s="337" t="s">
        <v>1217</v>
      </c>
      <c r="F370" s="337" t="s">
        <v>1250</v>
      </c>
      <c r="G370" s="338">
        <v>3</v>
      </c>
      <c r="H370" s="339"/>
      <c r="I370" s="339"/>
    </row>
    <row r="371" spans="2:9" ht="19.5" x14ac:dyDescent="0.4">
      <c r="B371" s="336" t="s">
        <v>2021</v>
      </c>
      <c r="C371" s="337" t="s">
        <v>2022</v>
      </c>
      <c r="D371" s="337" t="s">
        <v>2014</v>
      </c>
      <c r="E371" s="337" t="s">
        <v>1217</v>
      </c>
      <c r="F371" s="337" t="s">
        <v>1250</v>
      </c>
      <c r="G371" s="338">
        <v>3</v>
      </c>
      <c r="H371" s="339"/>
      <c r="I371" s="339"/>
    </row>
    <row r="372" spans="2:9" ht="19.5" x14ac:dyDescent="0.4">
      <c r="B372" s="336" t="s">
        <v>2023</v>
      </c>
      <c r="C372" s="337" t="s">
        <v>2024</v>
      </c>
      <c r="D372" s="337" t="s">
        <v>2014</v>
      </c>
      <c r="E372" s="337" t="s">
        <v>1217</v>
      </c>
      <c r="F372" s="337" t="s">
        <v>1250</v>
      </c>
      <c r="G372" s="338">
        <v>3</v>
      </c>
      <c r="H372" s="339"/>
      <c r="I372" s="339"/>
    </row>
    <row r="373" spans="2:9" ht="19.5" x14ac:dyDescent="0.4">
      <c r="B373" s="336" t="s">
        <v>2025</v>
      </c>
      <c r="C373" s="337" t="s">
        <v>2026</v>
      </c>
      <c r="D373" s="337" t="s">
        <v>2027</v>
      </c>
      <c r="E373" s="337" t="s">
        <v>1261</v>
      </c>
      <c r="F373" s="337" t="s">
        <v>1250</v>
      </c>
      <c r="G373" s="338">
        <v>4</v>
      </c>
      <c r="H373" s="337" t="s">
        <v>2443</v>
      </c>
      <c r="I373" s="339"/>
    </row>
    <row r="374" spans="2:9" x14ac:dyDescent="0.4">
      <c r="B374" s="336" t="s">
        <v>2028</v>
      </c>
      <c r="C374" s="337" t="s">
        <v>2029</v>
      </c>
      <c r="D374" s="337" t="s">
        <v>2030</v>
      </c>
      <c r="E374" s="337" t="s">
        <v>1261</v>
      </c>
      <c r="F374" s="337" t="s">
        <v>1223</v>
      </c>
      <c r="G374" s="338">
        <v>2</v>
      </c>
      <c r="H374" s="337" t="s">
        <v>2443</v>
      </c>
      <c r="I374" s="339"/>
    </row>
    <row r="375" spans="2:9" x14ac:dyDescent="0.4">
      <c r="B375" s="336" t="s">
        <v>2031</v>
      </c>
      <c r="C375" s="337" t="s">
        <v>2032</v>
      </c>
      <c r="D375" s="337" t="s">
        <v>2033</v>
      </c>
      <c r="E375" s="337" t="s">
        <v>1217</v>
      </c>
      <c r="F375" s="337" t="s">
        <v>989</v>
      </c>
      <c r="G375" s="338">
        <v>2</v>
      </c>
      <c r="H375" s="337" t="s">
        <v>2487</v>
      </c>
      <c r="I375" s="339"/>
    </row>
    <row r="376" spans="2:9" ht="19.5" x14ac:dyDescent="0.4">
      <c r="B376" s="336" t="s">
        <v>2040</v>
      </c>
      <c r="C376" s="337" t="s">
        <v>2041</v>
      </c>
      <c r="D376" s="337" t="s">
        <v>2042</v>
      </c>
      <c r="E376" s="337" t="s">
        <v>1261</v>
      </c>
      <c r="F376" s="337" t="s">
        <v>1246</v>
      </c>
      <c r="G376" s="339"/>
      <c r="H376" s="337" t="s">
        <v>2410</v>
      </c>
      <c r="I376" s="339"/>
    </row>
    <row r="377" spans="2:9" ht="22.5" customHeight="1" x14ac:dyDescent="0.4">
      <c r="B377" s="336" t="s">
        <v>2043</v>
      </c>
      <c r="C377" s="337" t="s">
        <v>2044</v>
      </c>
      <c r="D377" s="337" t="s">
        <v>2045</v>
      </c>
      <c r="E377" s="337" t="s">
        <v>1261</v>
      </c>
      <c r="F377" s="337" t="s">
        <v>1246</v>
      </c>
      <c r="G377" s="339"/>
      <c r="H377" s="337" t="s">
        <v>2410</v>
      </c>
      <c r="I377" s="339"/>
    </row>
    <row r="378" spans="2:9" ht="22.5" customHeight="1" x14ac:dyDescent="0.4">
      <c r="B378" s="336" t="s">
        <v>2046</v>
      </c>
      <c r="C378" s="337" t="s">
        <v>2047</v>
      </c>
      <c r="D378" s="337" t="s">
        <v>2048</v>
      </c>
      <c r="E378" s="337" t="s">
        <v>1261</v>
      </c>
      <c r="F378" s="337" t="s">
        <v>1246</v>
      </c>
      <c r="G378" s="339"/>
      <c r="H378" s="337" t="s">
        <v>2410</v>
      </c>
      <c r="I378" s="339"/>
    </row>
    <row r="379" spans="2:9" ht="19.5" x14ac:dyDescent="0.4">
      <c r="B379" s="333" t="s">
        <v>2382</v>
      </c>
      <c r="C379" s="334" t="s">
        <v>2383</v>
      </c>
      <c r="D379" s="334" t="s">
        <v>2384</v>
      </c>
      <c r="E379" s="335" t="s">
        <v>2385</v>
      </c>
      <c r="F379" s="334" t="s">
        <v>2389</v>
      </c>
      <c r="G379" s="334" t="s">
        <v>2386</v>
      </c>
      <c r="H379" s="334" t="s">
        <v>2387</v>
      </c>
      <c r="I379" s="334" t="s">
        <v>2388</v>
      </c>
    </row>
    <row r="380" spans="2:9" x14ac:dyDescent="0.4">
      <c r="B380" s="336" t="s">
        <v>2049</v>
      </c>
      <c r="C380" s="337" t="s">
        <v>2050</v>
      </c>
      <c r="D380" s="337" t="s">
        <v>2051</v>
      </c>
      <c r="E380" s="337" t="s">
        <v>1261</v>
      </c>
      <c r="F380" s="337" t="s">
        <v>1557</v>
      </c>
      <c r="G380" s="339"/>
      <c r="H380" s="339"/>
      <c r="I380" s="339"/>
    </row>
    <row r="381" spans="2:9" x14ac:dyDescent="0.4">
      <c r="B381" s="336" t="s">
        <v>2052</v>
      </c>
      <c r="C381" s="337" t="s">
        <v>2053</v>
      </c>
      <c r="D381" s="337" t="s">
        <v>2051</v>
      </c>
      <c r="E381" s="337" t="s">
        <v>1217</v>
      </c>
      <c r="F381" s="337" t="s">
        <v>1557</v>
      </c>
      <c r="G381" s="339"/>
      <c r="H381" s="339"/>
      <c r="I381" s="339"/>
    </row>
    <row r="382" spans="2:9" x14ac:dyDescent="0.4">
      <c r="B382" s="336" t="s">
        <v>2054</v>
      </c>
      <c r="C382" s="337" t="s">
        <v>2055</v>
      </c>
      <c r="D382" s="337" t="s">
        <v>2051</v>
      </c>
      <c r="E382" s="337" t="s">
        <v>1261</v>
      </c>
      <c r="F382" s="337" t="s">
        <v>1557</v>
      </c>
      <c r="G382" s="339"/>
      <c r="H382" s="339"/>
      <c r="I382" s="339"/>
    </row>
    <row r="383" spans="2:9" x14ac:dyDescent="0.4">
      <c r="B383" s="336" t="s">
        <v>2056</v>
      </c>
      <c r="C383" s="337" t="s">
        <v>2057</v>
      </c>
      <c r="D383" s="337" t="s">
        <v>2051</v>
      </c>
      <c r="E383" s="337" t="s">
        <v>1217</v>
      </c>
      <c r="F383" s="337" t="s">
        <v>1557</v>
      </c>
      <c r="G383" s="339"/>
      <c r="H383" s="339"/>
      <c r="I383" s="339"/>
    </row>
    <row r="384" spans="2:9" ht="19.5" x14ac:dyDescent="0.4">
      <c r="B384" s="336" t="s">
        <v>2058</v>
      </c>
      <c r="C384" s="337" t="s">
        <v>2059</v>
      </c>
      <c r="D384" s="337" t="s">
        <v>2060</v>
      </c>
      <c r="E384" s="337" t="s">
        <v>1261</v>
      </c>
      <c r="F384" s="337" t="s">
        <v>1557</v>
      </c>
      <c r="G384" s="339"/>
      <c r="H384" s="339"/>
      <c r="I384" s="339"/>
    </row>
    <row r="385" spans="2:9" ht="19.5" x14ac:dyDescent="0.4">
      <c r="B385" s="336" t="s">
        <v>2061</v>
      </c>
      <c r="C385" s="337" t="s">
        <v>2062</v>
      </c>
      <c r="D385" s="337" t="s">
        <v>2060</v>
      </c>
      <c r="E385" s="337" t="s">
        <v>1217</v>
      </c>
      <c r="F385" s="337" t="s">
        <v>1557</v>
      </c>
      <c r="G385" s="339"/>
      <c r="H385" s="339"/>
      <c r="I385" s="339"/>
    </row>
    <row r="386" spans="2:9" ht="19.5" x14ac:dyDescent="0.4">
      <c r="B386" s="336" t="s">
        <v>2063</v>
      </c>
      <c r="C386" s="337" t="s">
        <v>2064</v>
      </c>
      <c r="D386" s="337" t="s">
        <v>2060</v>
      </c>
      <c r="E386" s="337" t="s">
        <v>1261</v>
      </c>
      <c r="F386" s="337" t="s">
        <v>1557</v>
      </c>
      <c r="G386" s="339"/>
      <c r="H386" s="339"/>
      <c r="I386" s="339"/>
    </row>
    <row r="387" spans="2:9" ht="19.5" x14ac:dyDescent="0.4">
      <c r="B387" s="336" t="s">
        <v>2065</v>
      </c>
      <c r="C387" s="337" t="s">
        <v>2066</v>
      </c>
      <c r="D387" s="337" t="s">
        <v>2060</v>
      </c>
      <c r="E387" s="337" t="s">
        <v>1217</v>
      </c>
      <c r="F387" s="337" t="s">
        <v>1557</v>
      </c>
      <c r="G387" s="339"/>
      <c r="H387" s="339"/>
      <c r="I387" s="339"/>
    </row>
    <row r="388" spans="2:9" ht="22.5" customHeight="1" x14ac:dyDescent="0.4">
      <c r="B388" s="336" t="s">
        <v>2067</v>
      </c>
      <c r="C388" s="337" t="s">
        <v>2068</v>
      </c>
      <c r="D388" s="337" t="s">
        <v>2069</v>
      </c>
      <c r="E388" s="337" t="s">
        <v>1261</v>
      </c>
      <c r="F388" s="337" t="s">
        <v>1557</v>
      </c>
      <c r="G388" s="339"/>
      <c r="H388" s="339"/>
      <c r="I388" s="339"/>
    </row>
    <row r="389" spans="2:9" ht="22.5" customHeight="1" x14ac:dyDescent="0.4">
      <c r="B389" s="336" t="s">
        <v>2070</v>
      </c>
      <c r="C389" s="337" t="s">
        <v>2071</v>
      </c>
      <c r="D389" s="337" t="s">
        <v>2069</v>
      </c>
      <c r="E389" s="337" t="s">
        <v>1217</v>
      </c>
      <c r="F389" s="337" t="s">
        <v>1557</v>
      </c>
      <c r="G389" s="339"/>
      <c r="H389" s="339"/>
      <c r="I389" s="339"/>
    </row>
    <row r="390" spans="2:9" ht="22.5" customHeight="1" x14ac:dyDescent="0.4">
      <c r="B390" s="336" t="s">
        <v>2072</v>
      </c>
      <c r="C390" s="337" t="s">
        <v>2073</v>
      </c>
      <c r="D390" s="337" t="s">
        <v>2069</v>
      </c>
      <c r="E390" s="337" t="s">
        <v>1261</v>
      </c>
      <c r="F390" s="337" t="s">
        <v>1557</v>
      </c>
      <c r="G390" s="339"/>
      <c r="H390" s="339"/>
      <c r="I390" s="339"/>
    </row>
    <row r="391" spans="2:9" ht="22.5" customHeight="1" x14ac:dyDescent="0.4">
      <c r="B391" s="336" t="s">
        <v>2074</v>
      </c>
      <c r="C391" s="337" t="s">
        <v>2075</v>
      </c>
      <c r="D391" s="337" t="s">
        <v>2069</v>
      </c>
      <c r="E391" s="337" t="s">
        <v>1217</v>
      </c>
      <c r="F391" s="337" t="s">
        <v>1557</v>
      </c>
      <c r="G391" s="339"/>
      <c r="H391" s="339"/>
      <c r="I391" s="339"/>
    </row>
    <row r="392" spans="2:9" ht="19.5" x14ac:dyDescent="0.4">
      <c r="B392" s="336" t="s">
        <v>2076</v>
      </c>
      <c r="C392" s="337" t="s">
        <v>2077</v>
      </c>
      <c r="D392" s="337" t="s">
        <v>2042</v>
      </c>
      <c r="E392" s="337" t="s">
        <v>1261</v>
      </c>
      <c r="F392" s="337" t="s">
        <v>1246</v>
      </c>
      <c r="G392" s="339"/>
      <c r="H392" s="337" t="s">
        <v>2410</v>
      </c>
      <c r="I392" s="339"/>
    </row>
    <row r="393" spans="2:9" ht="19.5" x14ac:dyDescent="0.4">
      <c r="B393" s="336" t="s">
        <v>2076</v>
      </c>
      <c r="C393" s="337" t="s">
        <v>2078</v>
      </c>
      <c r="D393" s="337" t="s">
        <v>2042</v>
      </c>
      <c r="E393" s="337" t="s">
        <v>1217</v>
      </c>
      <c r="F393" s="337" t="s">
        <v>1246</v>
      </c>
      <c r="G393" s="339"/>
      <c r="H393" s="337" t="s">
        <v>2410</v>
      </c>
      <c r="I393" s="339"/>
    </row>
    <row r="394" spans="2:9" ht="19.5" x14ac:dyDescent="0.4">
      <c r="B394" s="336" t="s">
        <v>2079</v>
      </c>
      <c r="C394" s="337" t="s">
        <v>2080</v>
      </c>
      <c r="D394" s="337" t="s">
        <v>2042</v>
      </c>
      <c r="E394" s="337" t="s">
        <v>1261</v>
      </c>
      <c r="F394" s="337" t="s">
        <v>1246</v>
      </c>
      <c r="G394" s="339"/>
      <c r="H394" s="337" t="s">
        <v>2410</v>
      </c>
      <c r="I394" s="339"/>
    </row>
    <row r="395" spans="2:9" ht="19.5" x14ac:dyDescent="0.4">
      <c r="B395" s="336" t="s">
        <v>2079</v>
      </c>
      <c r="C395" s="337" t="s">
        <v>2081</v>
      </c>
      <c r="D395" s="337" t="s">
        <v>2042</v>
      </c>
      <c r="E395" s="337" t="s">
        <v>1217</v>
      </c>
      <c r="F395" s="337" t="s">
        <v>1246</v>
      </c>
      <c r="G395" s="339"/>
      <c r="H395" s="337" t="s">
        <v>2410</v>
      </c>
      <c r="I395" s="339"/>
    </row>
    <row r="396" spans="2:9" ht="19.5" x14ac:dyDescent="0.4">
      <c r="B396" s="336" t="s">
        <v>2082</v>
      </c>
      <c r="C396" s="337" t="s">
        <v>2083</v>
      </c>
      <c r="D396" s="337" t="s">
        <v>2042</v>
      </c>
      <c r="E396" s="337" t="s">
        <v>1261</v>
      </c>
      <c r="F396" s="337" t="s">
        <v>1246</v>
      </c>
      <c r="G396" s="339"/>
      <c r="H396" s="337" t="s">
        <v>2410</v>
      </c>
      <c r="I396" s="339"/>
    </row>
    <row r="397" spans="2:9" ht="19.5" x14ac:dyDescent="0.4">
      <c r="B397" s="336" t="s">
        <v>2082</v>
      </c>
      <c r="C397" s="337" t="s">
        <v>2084</v>
      </c>
      <c r="D397" s="337" t="s">
        <v>2042</v>
      </c>
      <c r="E397" s="337" t="s">
        <v>1217</v>
      </c>
      <c r="F397" s="337" t="s">
        <v>1246</v>
      </c>
      <c r="G397" s="339"/>
      <c r="H397" s="337" t="s">
        <v>2410</v>
      </c>
      <c r="I397" s="339"/>
    </row>
    <row r="398" spans="2:9" ht="22.5" customHeight="1" x14ac:dyDescent="0.4">
      <c r="B398" s="336" t="s">
        <v>2085</v>
      </c>
      <c r="C398" s="337" t="s">
        <v>2086</v>
      </c>
      <c r="D398" s="337" t="s">
        <v>2045</v>
      </c>
      <c r="E398" s="337" t="s">
        <v>1261</v>
      </c>
      <c r="F398" s="337" t="s">
        <v>1246</v>
      </c>
      <c r="G398" s="339"/>
      <c r="H398" s="337" t="s">
        <v>2410</v>
      </c>
      <c r="I398" s="339"/>
    </row>
    <row r="399" spans="2:9" ht="22.5" customHeight="1" x14ac:dyDescent="0.4">
      <c r="B399" s="336" t="s">
        <v>2085</v>
      </c>
      <c r="C399" s="337" t="s">
        <v>2087</v>
      </c>
      <c r="D399" s="337" t="s">
        <v>2045</v>
      </c>
      <c r="E399" s="337" t="s">
        <v>1217</v>
      </c>
      <c r="F399" s="337" t="s">
        <v>1246</v>
      </c>
      <c r="G399" s="339"/>
      <c r="H399" s="337" t="s">
        <v>2410</v>
      </c>
      <c r="I399" s="339"/>
    </row>
    <row r="400" spans="2:9" ht="22.5" customHeight="1" x14ac:dyDescent="0.4">
      <c r="B400" s="336" t="s">
        <v>2088</v>
      </c>
      <c r="C400" s="337" t="s">
        <v>2089</v>
      </c>
      <c r="D400" s="337" t="s">
        <v>2045</v>
      </c>
      <c r="E400" s="337" t="s">
        <v>1261</v>
      </c>
      <c r="F400" s="337" t="s">
        <v>1246</v>
      </c>
      <c r="G400" s="339"/>
      <c r="H400" s="337" t="s">
        <v>2410</v>
      </c>
      <c r="I400" s="339"/>
    </row>
    <row r="401" spans="2:9" ht="22.5" customHeight="1" x14ac:dyDescent="0.4">
      <c r="B401" s="336" t="s">
        <v>2088</v>
      </c>
      <c r="C401" s="337" t="s">
        <v>2090</v>
      </c>
      <c r="D401" s="337" t="s">
        <v>2045</v>
      </c>
      <c r="E401" s="337" t="s">
        <v>1217</v>
      </c>
      <c r="F401" s="337" t="s">
        <v>1246</v>
      </c>
      <c r="G401" s="339"/>
      <c r="H401" s="337" t="s">
        <v>2410</v>
      </c>
      <c r="I401" s="339"/>
    </row>
    <row r="402" spans="2:9" ht="22.5" customHeight="1" x14ac:dyDescent="0.4">
      <c r="B402" s="336" t="s">
        <v>2091</v>
      </c>
      <c r="C402" s="337" t="s">
        <v>2092</v>
      </c>
      <c r="D402" s="337" t="s">
        <v>2045</v>
      </c>
      <c r="E402" s="337" t="s">
        <v>1261</v>
      </c>
      <c r="F402" s="337" t="s">
        <v>1246</v>
      </c>
      <c r="G402" s="339"/>
      <c r="H402" s="337" t="s">
        <v>2410</v>
      </c>
      <c r="I402" s="339"/>
    </row>
    <row r="403" spans="2:9" ht="22.5" customHeight="1" x14ac:dyDescent="0.4">
      <c r="B403" s="336" t="s">
        <v>2091</v>
      </c>
      <c r="C403" s="337" t="s">
        <v>2093</v>
      </c>
      <c r="D403" s="337" t="s">
        <v>2045</v>
      </c>
      <c r="E403" s="337" t="s">
        <v>1217</v>
      </c>
      <c r="F403" s="337" t="s">
        <v>1246</v>
      </c>
      <c r="G403" s="339"/>
      <c r="H403" s="337" t="s">
        <v>2410</v>
      </c>
      <c r="I403" s="339"/>
    </row>
    <row r="404" spans="2:9" ht="22.5" customHeight="1" x14ac:dyDescent="0.4">
      <c r="B404" s="336" t="s">
        <v>2094</v>
      </c>
      <c r="C404" s="337" t="s">
        <v>2095</v>
      </c>
      <c r="D404" s="337" t="s">
        <v>2048</v>
      </c>
      <c r="E404" s="337" t="s">
        <v>1261</v>
      </c>
      <c r="F404" s="337" t="s">
        <v>1246</v>
      </c>
      <c r="G404" s="339"/>
      <c r="H404" s="337" t="s">
        <v>2410</v>
      </c>
      <c r="I404" s="339"/>
    </row>
    <row r="405" spans="2:9" ht="22.5" customHeight="1" x14ac:dyDescent="0.4">
      <c r="B405" s="336" t="s">
        <v>2094</v>
      </c>
      <c r="C405" s="337" t="s">
        <v>2096</v>
      </c>
      <c r="D405" s="337" t="s">
        <v>2048</v>
      </c>
      <c r="E405" s="337" t="s">
        <v>1217</v>
      </c>
      <c r="F405" s="337" t="s">
        <v>1246</v>
      </c>
      <c r="G405" s="339"/>
      <c r="H405" s="337" t="s">
        <v>2410</v>
      </c>
      <c r="I405" s="339"/>
    </row>
    <row r="406" spans="2:9" ht="22.5" customHeight="1" x14ac:dyDescent="0.4">
      <c r="B406" s="336" t="s">
        <v>2097</v>
      </c>
      <c r="C406" s="337" t="s">
        <v>2098</v>
      </c>
      <c r="D406" s="337" t="s">
        <v>2048</v>
      </c>
      <c r="E406" s="337" t="s">
        <v>1261</v>
      </c>
      <c r="F406" s="337" t="s">
        <v>1246</v>
      </c>
      <c r="G406" s="339"/>
      <c r="H406" s="337" t="s">
        <v>2410</v>
      </c>
      <c r="I406" s="339"/>
    </row>
    <row r="407" spans="2:9" ht="22.5" customHeight="1" x14ac:dyDescent="0.4">
      <c r="B407" s="336" t="s">
        <v>2097</v>
      </c>
      <c r="C407" s="337" t="s">
        <v>2099</v>
      </c>
      <c r="D407" s="337" t="s">
        <v>2048</v>
      </c>
      <c r="E407" s="337" t="s">
        <v>1217</v>
      </c>
      <c r="F407" s="337" t="s">
        <v>1246</v>
      </c>
      <c r="G407" s="339"/>
      <c r="H407" s="337" t="s">
        <v>2410</v>
      </c>
      <c r="I407" s="339"/>
    </row>
    <row r="408" spans="2:9" ht="22.5" customHeight="1" x14ac:dyDescent="0.4">
      <c r="B408" s="336" t="s">
        <v>2100</v>
      </c>
      <c r="C408" s="337" t="s">
        <v>2101</v>
      </c>
      <c r="D408" s="337" t="s">
        <v>2048</v>
      </c>
      <c r="E408" s="337" t="s">
        <v>1261</v>
      </c>
      <c r="F408" s="337" t="s">
        <v>1246</v>
      </c>
      <c r="G408" s="339"/>
      <c r="H408" s="337" t="s">
        <v>2410</v>
      </c>
      <c r="I408" s="339"/>
    </row>
    <row r="409" spans="2:9" ht="22.5" customHeight="1" x14ac:dyDescent="0.4">
      <c r="B409" s="336" t="s">
        <v>2100</v>
      </c>
      <c r="C409" s="337" t="s">
        <v>2102</v>
      </c>
      <c r="D409" s="337" t="s">
        <v>2048</v>
      </c>
      <c r="E409" s="337" t="s">
        <v>1217</v>
      </c>
      <c r="F409" s="337" t="s">
        <v>1246</v>
      </c>
      <c r="G409" s="339"/>
      <c r="H409" s="337" t="s">
        <v>2410</v>
      </c>
      <c r="I409" s="339"/>
    </row>
    <row r="410" spans="2:9" ht="22.5" customHeight="1" x14ac:dyDescent="0.4">
      <c r="B410" s="343"/>
      <c r="C410" s="343" t="s">
        <v>1019</v>
      </c>
      <c r="D410" s="344"/>
      <c r="E410" s="344"/>
      <c r="F410" s="344"/>
      <c r="G410" s="345"/>
      <c r="H410" s="344"/>
      <c r="I410" s="345"/>
    </row>
    <row r="411" spans="2:9" ht="22.5" customHeight="1" x14ac:dyDescent="0.4">
      <c r="B411" s="346" t="s">
        <v>2182</v>
      </c>
      <c r="C411" s="184" t="s">
        <v>2185</v>
      </c>
      <c r="D411" s="347" t="s">
        <v>1015</v>
      </c>
      <c r="E411" s="347" t="s">
        <v>2177</v>
      </c>
      <c r="F411" s="184" t="s">
        <v>1020</v>
      </c>
      <c r="G411" s="183">
        <v>2</v>
      </c>
      <c r="H411" s="183" t="s">
        <v>1023</v>
      </c>
      <c r="I411" s="183"/>
    </row>
    <row r="412" spans="2:9" ht="22.5" customHeight="1" x14ac:dyDescent="0.4">
      <c r="B412" s="346" t="s">
        <v>2183</v>
      </c>
      <c r="C412" s="184" t="s">
        <v>2186</v>
      </c>
      <c r="D412" s="347" t="s">
        <v>1015</v>
      </c>
      <c r="E412" s="347" t="s">
        <v>2178</v>
      </c>
      <c r="F412" s="184" t="s">
        <v>1020</v>
      </c>
      <c r="G412" s="183">
        <v>2</v>
      </c>
      <c r="H412" s="183" t="s">
        <v>1023</v>
      </c>
      <c r="I412" s="183"/>
    </row>
    <row r="413" spans="2:9" x14ac:dyDescent="0.4">
      <c r="B413" s="346" t="s">
        <v>2170</v>
      </c>
      <c r="C413" s="184" t="s">
        <v>2187</v>
      </c>
      <c r="D413" s="347" t="s">
        <v>1016</v>
      </c>
      <c r="E413" s="347" t="s">
        <v>2175</v>
      </c>
      <c r="F413" s="184" t="s">
        <v>1021</v>
      </c>
      <c r="G413" s="183">
        <v>2</v>
      </c>
      <c r="H413" s="183" t="s">
        <v>1022</v>
      </c>
      <c r="I413" s="183"/>
    </row>
    <row r="414" spans="2:9" x14ac:dyDescent="0.4">
      <c r="B414" s="351" t="s">
        <v>2184</v>
      </c>
      <c r="C414" s="352" t="s">
        <v>2188</v>
      </c>
      <c r="D414" s="353" t="s">
        <v>1016</v>
      </c>
      <c r="E414" s="353" t="s">
        <v>2176</v>
      </c>
      <c r="F414" s="352" t="s">
        <v>1021</v>
      </c>
      <c r="G414" s="354">
        <v>2</v>
      </c>
      <c r="H414" s="354" t="s">
        <v>1022</v>
      </c>
      <c r="I414" s="354"/>
    </row>
  </sheetData>
  <phoneticPr fontId="5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1F69B645DBB0745AA90BDCDB478E0D5" ma:contentTypeVersion="13" ma:contentTypeDescription="新しいドキュメントを作成します。" ma:contentTypeScope="" ma:versionID="d8e763c8ab5eb3b810b9b944252fca16">
  <xsd:schema xmlns:xsd="http://www.w3.org/2001/XMLSchema" xmlns:xs="http://www.w3.org/2001/XMLSchema" xmlns:p="http://schemas.microsoft.com/office/2006/metadata/properties" xmlns:ns3="579ccffd-0d42-4f62-a52d-c431618ac3b4" xmlns:ns4="bdc54189-3450-47d7-976d-3d6b90291d46" targetNamespace="http://schemas.microsoft.com/office/2006/metadata/properties" ma:root="true" ma:fieldsID="e705c1380b3864dc3c15bda4ad628cb5" ns3:_="" ns4:_="">
    <xsd:import namespace="579ccffd-0d42-4f62-a52d-c431618ac3b4"/>
    <xsd:import namespace="bdc54189-3450-47d7-976d-3d6b90291d4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9ccffd-0d42-4f62-a52d-c431618ac3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c54189-3450-47d7-976d-3d6b90291d4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7F148E-0C1A-42E8-BAD0-DC48E4991F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8D4772-8F5A-43E9-AE10-C82B4C43EA02}">
  <ds:schemaRefs>
    <ds:schemaRef ds:uri="579ccffd-0d42-4f62-a52d-c431618ac3b4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  <ds:schemaRef ds:uri="bdc54189-3450-47d7-976d-3d6b90291d46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A0F1DCF-DA23-46CC-AF72-A757388C1F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9ccffd-0d42-4f62-a52d-c431618ac3b4"/>
    <ds:schemaRef ds:uri="bdc54189-3450-47d7-976d-3d6b90291d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17</vt:i4>
      </vt:variant>
    </vt:vector>
  </HeadingPairs>
  <TitlesOfParts>
    <vt:vector size="31" baseType="lpstr">
      <vt:lpstr>サポートマニュアル</vt:lpstr>
      <vt:lpstr>成績管理表</vt:lpstr>
      <vt:lpstr>先取履修</vt:lpstr>
      <vt:lpstr>１年春</vt:lpstr>
      <vt:lpstr>１年秋</vt:lpstr>
      <vt:lpstr>２年春</vt:lpstr>
      <vt:lpstr>２年秋</vt:lpstr>
      <vt:lpstr>総合単位表</vt:lpstr>
      <vt:lpstr>成績表</vt:lpstr>
      <vt:lpstr>2020科目一覧</vt:lpstr>
      <vt:lpstr>2020時間割一覧</vt:lpstr>
      <vt:lpstr>2019科目一覧</vt:lpstr>
      <vt:lpstr>2019時間割一覧</vt:lpstr>
      <vt:lpstr>GPT・GPAグラフ</vt:lpstr>
      <vt:lpstr>応用物理</vt:lpstr>
      <vt:lpstr>化学</vt:lpstr>
      <vt:lpstr>化学・生命系理工学</vt:lpstr>
      <vt:lpstr>課程</vt:lpstr>
      <vt:lpstr>海洋空間</vt:lpstr>
      <vt:lpstr>学府</vt:lpstr>
      <vt:lpstr>機械・材料・海洋系工学</vt:lpstr>
      <vt:lpstr>機械工学</vt:lpstr>
      <vt:lpstr>航空宇宙工学</vt:lpstr>
      <vt:lpstr>材料工学</vt:lpstr>
      <vt:lpstr>情報システム</vt:lpstr>
      <vt:lpstr>数学</vt:lpstr>
      <vt:lpstr>数物・電子情報系理工学</vt:lpstr>
      <vt:lpstr>大学院</vt:lpstr>
      <vt:lpstr>電気電子ネットワーク</vt:lpstr>
      <vt:lpstr>物理工学</vt:lpstr>
      <vt:lpstr>理工学府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Yoshikawa Taichi</dc:creator>
  <cp:lastModifiedBy>Yoshikawa Taichi</cp:lastModifiedBy>
  <cp:lastPrinted>2020-03-20T15:19:33Z</cp:lastPrinted>
  <dcterms:created xsi:type="dcterms:W3CDTF">2016-10-12T16:57:23Z</dcterms:created>
  <dcterms:modified xsi:type="dcterms:W3CDTF">2020-05-07T05:51:39Z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0x01010061F69B645DBB0745AA90BDCDB478E0D5</vt:lpwstr>
  </property>
</Properties>
</file>